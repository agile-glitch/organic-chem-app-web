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ons" sheetId="1" state="visible" r:id="rId1"/>
    <sheet xmlns:r="http://schemas.openxmlformats.org/officeDocument/2006/relationships" name="Mechanism" sheetId="2" state="visible" r:id="rId2"/>
    <sheet xmlns:r="http://schemas.openxmlformats.org/officeDocument/2006/relationships" name="Conditions" sheetId="3" state="visible" r:id="rId3"/>
    <sheet xmlns:r="http://schemas.openxmlformats.org/officeDocument/2006/relationships" name="Solvents" sheetId="4" state="visible" r:id="rId4"/>
    <sheet xmlns:r="http://schemas.openxmlformats.org/officeDocument/2006/relationships" name="Nucleophiles" sheetId="5" state="visible" r:id="rId5"/>
    <sheet xmlns:r="http://schemas.openxmlformats.org/officeDocument/2006/relationships" name="Halide_Pathways" sheetId="6" state="visible" r:id="rId6"/>
    <sheet xmlns:r="http://schemas.openxmlformats.org/officeDocument/2006/relationships" name="Condition_Suggestions" sheetId="7" state="visible" r:id="rId7"/>
    <sheet xmlns:r="http://schemas.openxmlformats.org/officeDocument/2006/relationships" name="Rearrangements" sheetId="8" state="visible" r:id="rId8"/>
    <sheet xmlns:r="http://schemas.openxmlformats.org/officeDocument/2006/relationships" name="Known_No_Reaction" sheetId="9" state="visible" r:id="rId9"/>
    <sheet xmlns:r="http://schemas.openxmlformats.org/officeDocument/2006/relationships" name="Directing_Groups" sheetId="10" state="visible" r:id="rId10"/>
    <sheet xmlns:r="http://schemas.openxmlformats.org/officeDocument/2006/relationships" name="Reactivity_Order" sheetId="11" state="visible" r:id="rId11"/>
    <sheet xmlns:r="http://schemas.openxmlformats.org/officeDocument/2006/relationships" name="Fragment_Conditions" sheetId="12" state="visible" r:id="rId12"/>
    <sheet xmlns:r="http://schemas.openxmlformats.org/officeDocument/2006/relationships" name="Acids_Bases" sheetId="13" state="visible" r:id="rId13"/>
    <sheet xmlns:r="http://schemas.openxmlformats.org/officeDocument/2006/relationships" name="Interferences" sheetId="14" state="visible" r:id="rId14"/>
    <sheet xmlns:r="http://schemas.openxmlformats.org/officeDocument/2006/relationships" name="How to use" sheetId="15" state="visible" r:id="rId15"/>
    <sheet xmlns:r="http://schemas.openxmlformats.org/officeDocument/2006/relationships" name="Reagents" sheetId="16" state="visible" r:id="rId16"/>
    <sheet xmlns:r="http://schemas.openxmlformats.org/officeDocument/2006/relationships" name="Byproducts" sheetId="17" state="visible" r:id="rId17"/>
  </sheets>
  <definedNames>
    <definedName name="_xlnm._FilterDatabase" localSheetId="0" hidden="1">'Reactions'!$A$1:$AA$103</definedName>
    <definedName name="_xlnm._FilterDatabase" localSheetId="1" hidden="1">'Mechanism'!$A$1:$T$164</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3" hidden="1">'Interferences'!$A$1:$AF$264</definedName>
    <definedName name="_xlnm._FilterDatabase" localSheetId="15" hidden="1">'Reagents'!$A$1:$J$1201</definedName>
    <definedName name="_xlnm._FilterDatabase" localSheetId="16" hidden="1">'Byproducts'!$A$1:$F$578</definedName>
  </definedNames>
  <calcPr calcId="124519" fullCalcOnLoad="1"/>
</workbook>
</file>

<file path=xl/styles.xml><?xml version="1.0" encoding="utf-8"?>
<styleSheet xmlns="http://schemas.openxmlformats.org/spreadsheetml/2006/main">
  <numFmts count="3">
    <numFmt numFmtId="164" formatCode="0.0E+0"/>
    <numFmt numFmtId="165" formatCode="0.0%"/>
    <numFmt numFmtId="166" formatCode="+0.00;-0.00;0.00"/>
  </numFmts>
  <fonts count="7">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
      <name val="Arial"/>
      <b val="1"/>
      <color rgb="FFFFFFFF"/>
      <sz val="10"/>
    </font>
  </fonts>
  <fills count="4">
    <fill>
      <patternFill/>
    </fill>
    <fill>
      <patternFill patternType="gray125"/>
    </fill>
    <fill>
      <patternFill patternType="solid">
        <fgColor rgb="001F4E78"/>
      </patternFill>
    </fill>
    <fill>
      <patternFill patternType="solid">
        <fgColor rgb="FF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3" borderId="0" applyAlignment="1" pivotButton="0" quotePrefix="0" xfId="0">
      <alignment horizontal="center" vertical="center" wrapText="1"/>
    </xf>
    <xf numFmtId="165" fontId="2" fillId="0" borderId="0" applyAlignment="1" pivotButton="0" quotePrefix="0" xfId="0">
      <alignment vertical="top" wrapText="1"/>
    </xf>
    <xf numFmtId="166"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F019,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CC(=O)O.CCO&gt;O=S(=O)(O)O&gt;CCOC(C)=O.O | cond=ethanol, reflux</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F001 carboxylic acid + F003 alcohol (1°)</t>
        </is>
      </c>
      <c r="L2" s="2" t="inlineStr">
        <is>
          <t>F004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F001,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C=C(C)C&gt;BrBr&gt;CC(C)(O)CBr.Br | cond=room temperature, water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F006 alkene, terminal (=CH2)</t>
        </is>
      </c>
      <c r="L3" s="2" t="inlineStr">
        <is>
          <t>F033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C1=CCCCC1&gt;BrBr&gt;Br[C@H]1CCCC[C@@H]1Br | cond=dichloromethane, room temperature</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F005 alkene (C=C)</t>
        </is>
      </c>
      <c r="L4" s="2" t="inlineStr">
        <is>
          <t>F032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C=CC&gt;Br&gt;CCCBr | cond=light</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F006 alkene, terminal (=CH2)</t>
        </is>
      </c>
      <c r="L5" s="2" t="inlineStr">
        <is>
          <t>F010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C=CC&gt;Br&gt;CC(C)Br | cond=0 C, dichloromethane</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F006 alkene, terminal (=CH2)</t>
        </is>
      </c>
      <c r="L6" s="2" t="inlineStr">
        <is>
          <t>F010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C=C(C)C&gt;O=S(=O)(O)O&gt;CC(C)(C)O | cond=25 C, water</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 dilute</t>
        </is>
      </c>
      <c r="I7" s="2" t="inlineStr">
        <is>
          <t>tert-butanol (DKGAVHZHDRPRBM-UHFFFAOYSA-N)</t>
        </is>
      </c>
      <c r="J7" s="2" t="inlineStr"/>
      <c r="K7" s="2" t="inlineStr">
        <is>
          <t>F006 alkene, terminal (=CH2)</t>
        </is>
      </c>
      <c r="L7" s="2" t="inlineStr">
        <is>
          <t>F016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C=CC&gt;B&gt;CCCO | cond=0 C, tetrahydrofuran</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F006 alkene, terminal (=CH2)</t>
        </is>
      </c>
      <c r="L8" s="2" t="inlineStr">
        <is>
          <t>F003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C1=CCCCC1&gt;[H][H]&gt;C1CCCCC1 | cond=ethanol, room temperature</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F005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C1=CCCCC1&gt;O=C(OO)c1cccc(Cl)c1&gt;O=C(O)c1cccc(Cl)c1.C1CC[C@H]2O[C@H]2C1 | cond=dichloromethane, room temperature</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F005 alkene (C=C)</t>
        </is>
      </c>
      <c r="L10" s="2" t="inlineStr">
        <is>
          <t>F023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C1=CCCCC1&gt;[O]=[Os](=[O])(=[O])=[O]&gt;O[C@@H]1CCCC[C@@H]1O | cond=acetone, room temperature, water</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F005 alkene (C=C)</t>
        </is>
      </c>
      <c r="L11" s="2" t="inlineStr">
        <is>
          <t>F017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 1 step without arrows)</t>
        </is>
      </c>
    </row>
    <row r="12">
      <c r="A12" s="2" t="inlineStr">
        <is>
          <t>R011</t>
        </is>
      </c>
      <c r="B12" s="3" t="inlineStr">
        <is>
          <t>CC=C(C)C&gt;O=[O+][O-]&gt;CC(C)=O.CC=O | cond=-78 C, dichloromethane</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F005 alkene (C=C)</t>
        </is>
      </c>
      <c r="L12" s="2" t="inlineStr">
        <is>
          <t>F018 aldehyde + F019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 1 step without arrows)</t>
        </is>
      </c>
    </row>
    <row r="13">
      <c r="A13" s="2" t="inlineStr">
        <is>
          <t>R012</t>
        </is>
      </c>
      <c r="B13" s="3" t="inlineStr">
        <is>
          <t>C1=CCCCC1&gt;O=C1CCC(=O)N1Br&gt;BrC1C=CCCC1.O=C1CCC(=O)N1 | cond=light</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F037 allylic CH2</t>
        </is>
      </c>
      <c r="L13" s="2" t="inlineStr">
        <is>
          <t>F010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CC#CC&gt;[H][H]&gt;CCCC | cond=ethanol, room temperature</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F007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CC#CC&gt;[H][H].[Pb].[Pd]&gt;C/C=C\C | cond=room temperature</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F007 alkyne (C≡C)</t>
        </is>
      </c>
      <c r="L15" s="2" t="inlineStr">
        <is>
          <t>F005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CC#CC&gt;N.[Na]&gt;C/C=C/C | cond=-33 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F007 alkyne (C≡C)</t>
        </is>
      </c>
      <c r="L16" s="2" t="inlineStr">
        <is>
          <t>F005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C#CC&gt;O=S(=O)([O-])[O-].[Hg+2]&gt;CC(C)=O | cond=60 C, water</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F008 alkyne, terminal (C≡C–H)</t>
        </is>
      </c>
      <c r="L17" s="2" t="inlineStr">
        <is>
          <t>F019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c1ccccc1&gt;BrBr.[Br][Fe]([Br])[Br]&gt;Brc1ccccc1.Br | cond=anhydrous, room temperature</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F009 arene C–H</t>
        </is>
      </c>
      <c r="L18" s="2" t="inlineStr">
        <is>
          <t>F013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c1ccccc1&gt;O=S(=O)(O)O.O=[N+]([O-])O&gt;O=[N+]([O-])c1ccccc1.O | cond=50 C</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 concentrated</t>
        </is>
      </c>
      <c r="I19" s="2" t="inlineStr">
        <is>
          <t>nitrobenzene (LQNUZADURLCDLV-UHFFFAOYSA-N)</t>
        </is>
      </c>
      <c r="J19" s="2" t="inlineStr">
        <is>
          <t>water (XLYOFNOQVPJJNP-UHFFFAOYSA-N)</t>
        </is>
      </c>
      <c r="K19" s="2" t="inlineStr">
        <is>
          <t>F009 arene C–H</t>
        </is>
      </c>
      <c r="L19" s="2" t="inlineStr">
        <is>
          <t>F025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c1ccccc1.CC(=O)Cl&gt;[Cl][Al]([Cl])[Cl]&gt;CC(=O)c1ccccc1.Cl | cond=anhydrous, dichloromethane</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F009 arene C–H + F020 acyl chloride</t>
        </is>
      </c>
      <c r="L20" s="2" t="inlineStr">
        <is>
          <t>F019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c1ccccc1.CC(C)(C)Cl&gt;[Cl][Al]([Cl])[Cl]&gt;CC(C)(C)c1ccccc1.Cl | cond=anhydrous, dichloromethane</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F009 arene C–H + F011 alkyl chloride</t>
        </is>
      </c>
      <c r="L21" s="2" t="inlineStr">
        <is>
          <t>F038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Cc1ccccc1&gt;O=C1CCC(=O)N1Br&gt;BrCc1ccccc1.O=C1CCC(=O)N1 | cond=light</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F035 aryl methyl (benzylic C–H)</t>
        </is>
      </c>
      <c r="L22" s="2" t="inlineStr">
        <is>
          <t>F036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Cc1ccccc1&gt;[K+].[O]=[Mn](=[O])(=[O])[O-]&gt;O=C(O)c1ccccc1 | cond=reflux, water</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F035 aryl methyl (benzylic C–H)</t>
        </is>
      </c>
      <c r="L23" s="2" t="inlineStr">
        <is>
          <t>F001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 2 steps without arrows)</t>
        </is>
      </c>
    </row>
    <row r="24">
      <c r="A24" s="2" t="inlineStr">
        <is>
          <t>R023</t>
        </is>
      </c>
      <c r="B24" s="3" t="inlineStr">
        <is>
          <t>O=[N+]([O-])c1ccccc1&gt;Cl.[Fe]&gt;Nc1ccccc1.O | cond=ethanol, reflux</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F025 nitroarene</t>
        </is>
      </c>
      <c r="L24" s="2" t="inlineStr">
        <is>
          <t>F026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 3 steps without arrows)</t>
        </is>
      </c>
    </row>
    <row r="25">
      <c r="A25" s="2" t="inlineStr">
        <is>
          <t>R024</t>
        </is>
      </c>
      <c r="B25" s="3" t="inlineStr">
        <is>
          <t>Nc1ccccc1&gt;Cl.O=N[O-].[Na+]&gt;N#[N+]c1ccccc1.O | cond=0 C, water</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F026 arylamine (aniline NH2)</t>
        </is>
      </c>
      <c r="L25" s="2" t="inlineStr">
        <is>
          <t>F027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N#[N+]c1ccccc1&gt;[Cu][Br]&gt;Brc1ccccc1.N#N | cond=room temperature</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F027 aryl diazonium</t>
        </is>
      </c>
      <c r="L26" s="2" t="inlineStr">
        <is>
          <t>F013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CCCCBr&gt;[C-]#N.[Na+]&gt;CCCCC#N.[Br-].[Na+] | cond=DMSO</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F010 alkyl bromide</t>
        </is>
      </c>
      <c r="L27" s="2" t="inlineStr">
        <is>
          <t>F022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CCBr&gt;CC[O-].[Na+]&gt;CCOCC.[Br-].[Na+] | cond=ethanol</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F010 alkyl bromide</t>
        </is>
      </c>
      <c r="L28" s="2" t="inlineStr">
        <is>
          <t>F024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CCCCCl&gt;[I-].[Na+]&gt;CCCCI.[Cl-].[Na+] | cond=acetone, reflux</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F011 alkyl chloride</t>
        </is>
      </c>
      <c r="L29" s="2" t="inlineStr">
        <is>
          <t>F012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CCC(C)(C)Br&gt;CC(C)(C)[O-].[K+]&gt;C=C(C)CC.CC(C)(C)O.[Br-].[K+] | cond=room temperature, tetrahydrofuran</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F010 alkyl bromide</t>
        </is>
      </c>
      <c r="L30" s="2" t="inlineStr">
        <is>
          <t>F006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CCC(C)(C)Br&gt;CC[O-].[Na+]&gt;CC=C(C)C.CCO.[Br-].[Na+] | cond=ethanol, reflux</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F010 alkyl bromide</t>
        </is>
      </c>
      <c r="L31" s="2" t="inlineStr">
        <is>
          <t>F005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CCCCO&gt;BrP(Br)Br&gt;CCCCBr.OP(O)O | cond=0 C, diethyl ether</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F014 alcohol (on sp3 C)</t>
        </is>
      </c>
      <c r="L32" s="2" t="inlineStr">
        <is>
          <t>F010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CCCCO&gt;O=S(Cl)Cl&gt;CCCCCl.O=S=O.Cl | cond=reflux</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F014 alcohol (on sp3 C)</t>
        </is>
      </c>
      <c r="L33" s="2" t="inlineStr">
        <is>
          <t>F011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CCCCO&gt;[O]=[Cr](=[O])([O-])[Cl].c1cc[nH+]cc1&gt;CCCC=O | cond=anhydrous, dichloromethane</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F014 alcohol (on sp3 C)</t>
        </is>
      </c>
      <c r="L34" s="2" t="inlineStr">
        <is>
          <t>F018 aldehyde | F019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 1 step without arrows)</t>
        </is>
      </c>
    </row>
    <row r="35">
      <c r="A35" s="2" t="inlineStr">
        <is>
          <t>R034</t>
        </is>
      </c>
      <c r="B35" s="3" t="inlineStr">
        <is>
          <t>CCCCO&gt;O=S(=O)(O)O.[O]=[Cr](=[O])=[O]&gt;CCCC(=O)O | cond=0 C, acetone</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F003 alcohol (1°)</t>
        </is>
      </c>
      <c r="L35" s="2" t="inlineStr">
        <is>
          <t>F001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 2 steps without arrows)</t>
        </is>
      </c>
    </row>
    <row r="36">
      <c r="A36" s="2" t="inlineStr">
        <is>
          <t>R035</t>
        </is>
      </c>
      <c r="B36" s="3" t="inlineStr">
        <is>
          <t>OC1CCCCC1&gt;O=S(=O)(O)O&gt;C1=CCCCC1.O | cond=160 C</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 concentrated</t>
        </is>
      </c>
      <c r="I36" s="2" t="inlineStr">
        <is>
          <t>cyclohexene (HGCIXCUEYOPUTN-UHFFFAOYSA-N)</t>
        </is>
      </c>
      <c r="J36" s="2" t="inlineStr">
        <is>
          <t>water (XLYOFNOQVPJJNP-UHFFFAOYSA-N)</t>
        </is>
      </c>
      <c r="K36" s="2" t="inlineStr">
        <is>
          <t>F014 alcohol (on sp3 C)</t>
        </is>
      </c>
      <c r="L36" s="2" t="inlineStr">
        <is>
          <t>F005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F014,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O=C(O)c1ccccc1&gt;O=S(Cl)Cl&gt;O=C(Cl)c1ccccc1.O=S=O.Cl | cond=reflux</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F001 carboxylic acid</t>
        </is>
      </c>
      <c r="L37" s="2" t="inlineStr">
        <is>
          <t>F020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O=C1CCCCC1&gt;[BH4-].[Na+]&gt;OC1CCCCC1 | cond=0 C, methanol</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F018 aldehyde | F019 ketone</t>
        </is>
      </c>
      <c r="L38" s="2" t="inlineStr">
        <is>
          <t>F014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COC(=O)c1ccccc1&gt;[AlH4-].[Li+]&gt;OCc1ccccc1.CO | cond=anhydrous, tetrahydrofuran</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F004 ester</t>
        </is>
      </c>
      <c r="L39" s="2" t="inlineStr">
        <is>
          <t>F014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CC(C)=O&gt;[CH3][Mg][Br]&gt;CC(C)(C)O | cond=anhydrous, diethyl ether</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F018 aldehyde | F019 ketone</t>
        </is>
      </c>
      <c r="L40" s="2" t="inlineStr">
        <is>
          <t>F014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[Br][Mg][c]1ccccc1&gt;O=C=O&gt;O=C(O)c1ccccc1 | cond=anhydrous, diethyl ether</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F029 Grignard (C–MgBr)</t>
        </is>
      </c>
      <c r="L41" s="2" t="inlineStr">
        <is>
          <t>F001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O=C1CCCCC1&gt;C=P(c1ccccc1)(c1ccccc1)c1ccccc1&gt;O=P(c1ccccc1)(c1ccccc1)c1ccccc1.C=C1CCCCC1 | cond=room temperature, tetrahydrofuran</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F018 aldehyde | F019 ketone</t>
        </is>
      </c>
      <c r="L42" s="2" t="inlineStr">
        <is>
          <t>F006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O=C1CCCCC1.OCCO&gt;Cc1ccc(S(=O)(=O)O)cc1&gt;C1CCC2(CC1)OCCO2.O | cond=reflux, toluene</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F018 aldehyde | F019 ketone + F017 1,2-diol</t>
        </is>
      </c>
      <c r="L43" s="2" t="inlineStr">
        <is>
          <t>F039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F019,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O=Cc1ccccc1.Nc1ccccc1&gt;Cc1ccc(S(=O)(=O)O)cc1&gt;C(=Nc1ccccc1)c1ccccc1.O | cond=reflux, toluene</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F018 aldehyde | F019 ketone + F002 amine (1°) | F026 arylamine (aniline NH2)</t>
        </is>
      </c>
      <c r="L44" s="2" t="inlineStr">
        <is>
          <t>F031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O=C1CCCCC1.CN&gt;[BH3-]C#N.[Na+]&gt;CNC1CCCCC1.O | cond=methanol</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F018 aldehyde | F019 ketone + F002 amine (1°) | F034 amine (2°)</t>
        </is>
      </c>
      <c r="L45" s="2" t="inlineStr">
        <is>
          <t>F034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O=Cc1ccccc1.CC(C)=O&gt;[Na+].[OH-]&gt;CC(=O)C=Cc1ccccc1.O | cond=ethanol, room temperature, water</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F019 ketone + F018 aldehyde</t>
        </is>
      </c>
      <c r="L46" s="2" t="inlineStr">
        <is>
          <t>F040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F019,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O=C1CCCCC1&gt;O=C(OO)c1cccc(Cl)c1&gt;O=C(O)c1cccc(Cl)c1.O=C1CCCCCO1 | cond=dichloromethane, room temperature</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F019 ketone</t>
        </is>
      </c>
      <c r="L47" s="2" t="inlineStr">
        <is>
          <t>F004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CCOC(=O)c1ccccc1&gt;[Na+].[OH-]&gt;O=C(O)c1ccccc1.CCO | cond=reflux, water</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F004 ester</t>
        </is>
      </c>
      <c r="L48" s="2" t="inlineStr">
        <is>
          <t>F001 carboxylic acid + F014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Nc1ccccc1.CC(=O)Cl&gt;c1ccncc1&gt;CC(=O)Nc1ccccc1.Cl | cond=0 C, dichloromethane</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F020 acyl chloride + F002 amine (1°) | F026 arylamine (aniline NH2)</t>
        </is>
      </c>
      <c r="L49" s="2" t="inlineStr">
        <is>
          <t>F021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O=C(O)c1ccccc1O&gt;CC(=O)OC(C)=O&gt;CC(=O)Oc1ccccc1C(=O)O.CC(=O)O | cond=85 C</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F028 phenol</t>
        </is>
      </c>
      <c r="L50" s="2" t="inlineStr">
        <is>
          <t>F004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C1CCC2OC2C1&gt;O=S(=O)(O)O&gt;O[C@H]1CCCC[C@@H]1O | cond=room temperature, water</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 dilute</t>
        </is>
      </c>
      <c r="I51" s="2" t="inlineStr">
        <is>
          <t>1,2-cyclohexanediol (PFURGBBHAOXLIO-UHFFFAOYSA-N)</t>
        </is>
      </c>
      <c r="J51" s="2" t="inlineStr"/>
      <c r="K51" s="2" t="inlineStr">
        <is>
          <t>F023 epoxide</t>
        </is>
      </c>
      <c r="L51" s="2" t="inlineStr">
        <is>
          <t>F017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O=C1C=CC(=O)O1.C=CC=C&gt;&gt;O=C1OC(=O)C2CC=CCC12 | cond=reflux, xylene</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F030 conjugated diene + F005 alkene (C=C)</t>
        </is>
      </c>
      <c r="L52" s="2" t="inlineStr">
        <is>
          <t>F005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COC(=O)c1ccccc1&gt;[CH3][Mg][Br]&gt;CC(C)(O)c1ccccc1.CO | cond=2 equiv, anhydrous, diethyl ether</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F004 ester</t>
        </is>
      </c>
      <c r="L53" s="2" t="inlineStr">
        <is>
          <t>F016 alcohol (3°) + F014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C=C(C)C&gt;Cl&gt;CC(C)(C)Cl | cond=0 C, dichloromethane</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F006 alkene, terminal (=CH2)</t>
        </is>
      </c>
      <c r="L54" s="2" t="inlineStr">
        <is>
          <t>F011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C=CC&gt;I&gt;CC(C)I | cond=0 C, dichloromethane</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F006 alkene, terminal (=CH2)</t>
        </is>
      </c>
      <c r="L55" s="2" t="inlineStr">
        <is>
          <t>F012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C1=CCCCC1&gt;ClCl&gt;ClC1CCCCC1Cl | cond=dichloromethane, room temperature</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F005 alkene (C=C)</t>
        </is>
      </c>
      <c r="L56" s="2" t="inlineStr">
        <is>
          <t>F011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C=C(C)C&gt;CC(=O)[O][Hg][O]C(C)=O&gt;CC(C)(C)O | cond=room temperature, tetrahydrofuran, water</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F006 alkene, terminal (=CH2)</t>
        </is>
      </c>
      <c r="L57" s="2" t="inlineStr">
        <is>
          <t>F016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C/C=C/C&gt;[K+].[O]=[Mn](=[O])(=[O])[O-]&gt;CC(=O)O.CC(=O)O | cond=reflux, water</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F005 alkene (C=C)</t>
        </is>
      </c>
      <c r="L58" s="2" t="inlineStr">
        <is>
          <t>F001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CC#CC&gt;BrBr&gt;CC(Br)(Br)C(C)(Br)Br | cond=2 equiv, dichloromethane, room temperature</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F007 alkyne (C≡C)</t>
        </is>
      </c>
      <c r="L59" s="2" t="inlineStr">
        <is>
          <t>F010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C#CC&gt;Br&gt;CC(C)(Br)Br | cond=2 equiv, dichloromethane</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F008 alkyne, terminal (C≡C–H)</t>
        </is>
      </c>
      <c r="L60" s="2" t="inlineStr">
        <is>
          <t>F010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C#CCCC&gt;B1C2CCCC1CCC2&gt;CCCCC=O | cond=room temperature, tetrahydrofuran</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F008 alkyne, terminal (C≡C–H)</t>
        </is>
      </c>
      <c r="L61" s="2" t="inlineStr">
        <is>
          <t>F018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C1=CCCCC1&gt;ICI.[Zn]&gt;C1CCC2CC2C1 | cond=diethyl ether, reflux</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F005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C1CCCCC1&gt;BrBr&gt;BrC1CCCCC1.Br | cond=light</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F010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c1ccccc1&gt;ClCl.[Cl][Fe]([Cl])[Cl]&gt;Clc1ccccc1.Cl | cond=anhydrous, room temperature</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F009 arene C–H</t>
        </is>
      </c>
      <c r="L64" s="2" t="inlineStr">
        <is>
          <t>F047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c1ccccc1&gt;O=S(=O)(O)O.O=S(=O)=O&gt;O=S(=O)(O)c1ccccc1 | cond=40 C</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F009 arene C–H</t>
        </is>
      </c>
      <c r="L65" s="2" t="inlineStr">
        <is>
          <t>F048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CC(=O)c1ccccc1&gt;Cl.[Zn]&gt;CCc1ccccc1 | cond=reflux, water</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 concentrated</t>
        </is>
      </c>
      <c r="I66" s="2" t="inlineStr">
        <is>
          <t>ethylbenzene (YNQLUTRBYVCPMQ-UHFFFAOYSA-N)</t>
        </is>
      </c>
      <c r="J66" s="2" t="inlineStr"/>
      <c r="K66" s="2" t="inlineStr">
        <is>
          <t>F019 ketone</t>
        </is>
      </c>
      <c r="L66" s="2" t="inlineStr">
        <is>
          <t>F038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O=C1CCCCC1&gt;NN.[K+].[OH-]&gt;C1CCCCC1.N#N.O | cond=200 C</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F019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c1ccccc1&gt;N.[Na]&gt;C1=CCC=CC1 | cond=-33 C, ethanol</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F009 arene C–H</t>
        </is>
      </c>
      <c r="L68" s="2" t="inlineStr">
        <is>
          <t>F005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Oc1ccccc1&gt;BrBr&gt;Oc1c(Br)cc(Br)cc1Br.Br | cond=3 equiv, room temperature, water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F028 phenol</t>
        </is>
      </c>
      <c r="L69" s="2" t="inlineStr">
        <is>
          <t>F013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NC(=O)c1ccccc1&gt;O=S(Cl)Cl&gt;N#Cc1ccccc1.O=S=O.Cl | cond=reflux</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F021 amide</t>
        </is>
      </c>
      <c r="L70" s="2" t="inlineStr">
        <is>
          <t>F022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N#Cc1ccccc1&gt;O=S(=O)(O)O&gt;O=C(O)c1ccccc1.N | cond=reflux, water</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F022 nitrile</t>
        </is>
      </c>
      <c r="L71" s="2" t="inlineStr">
        <is>
          <t>F001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N#Cc1ccccc1&gt;[AlH4-].[Li+]&gt;NCc1ccccc1 | cond=anhydrous, tetrahydrofuran</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F022 nitrile</t>
        </is>
      </c>
      <c r="L72" s="2" t="inlineStr">
        <is>
          <t>F002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CC(=O)N(C)C&gt;[AlH4-].[Li+]&gt;CCN(C)C | cond=anhydrous, tetrahydrofuran</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F021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CCCC(=O)O&gt;[AlH4-].[Li+]&gt;CCCCO | cond=anhydrous, tetrahydrofuran</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F001 carboxylic acid</t>
        </is>
      </c>
      <c r="L74" s="2" t="inlineStr">
        <is>
          <t>F003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COC(=O)c1ccccc1&gt;CC(C)[CH2][AlH][CH2]C(C)C&gt;O=Cc1ccccc1.CO | cond=-78 C, dichloromethane</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F004 ester</t>
        </is>
      </c>
      <c r="L75" s="2" t="inlineStr">
        <is>
          <t>F018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C1CO1&gt;[Br][Mg][c]1ccccc1&gt;OCCc1ccccc1 | cond=anhydrous, diethyl ether</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F023 epoxide</t>
        </is>
      </c>
      <c r="L76" s="2" t="inlineStr">
        <is>
          <t>F003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CC(C)=O&gt;[Li][CH2]CCC&gt;CCCCC(C)(C)O | cond=-78 C, anhydrous, tetrahydrofuran</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F019 ketone</t>
        </is>
      </c>
      <c r="L77" s="2" t="inlineStr">
        <is>
          <t>F016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CC(=O)C=Cc1ccccc1&gt;[CH3][Cu-][CH3].[Li+]&gt;CC(=O)CC(C)c1ccccc1 | cond=0 C, anhydrous, diethyl ether</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F040 enone (α,β-unsaturated carbonyl)</t>
        </is>
      </c>
      <c r="L78" s="2" t="inlineStr">
        <is>
          <t>F019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CCOC(=O)CC(=O)OCC.C=CC(C)=O&gt;CC[O-].[Na+]&gt;CCOC(=O)C(CCC(C)=O)C(=O)OCC | cond=ethanol, room temperature</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F004 ester + F040 enone (α,β-unsaturated carbonyl)</t>
        </is>
      </c>
      <c r="L79" s="2" t="inlineStr">
        <is>
          <t>F004 ester + F019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CCOC(C)=O.CCOC(C)=O&gt;CC[O-].[Na+]&gt;CCOC(=O)CC(C)=O.CCO | cond=ethanol, reflux</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F004 ester</t>
        </is>
      </c>
      <c r="L80" s="2" t="inlineStr">
        <is>
          <t>F004 ester + F019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O=Cc1ccccc1.O=Cc1ccccc1&gt;[Na+].[OH-]&gt;O=C(O)c1ccccc1.OCc1ccccc1 | cond=60 C, water</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 concentrated</t>
        </is>
      </c>
      <c r="I81" s="2" t="inlineStr">
        <is>
          <t>benzoic acid (WPYMKLBDIGXBTP-UHFFFAOYSA-N); benzyl alcohol (WVDDGKGOMKODPV-UHFFFAOYSA-N)</t>
        </is>
      </c>
      <c r="J81" s="2" t="inlineStr"/>
      <c r="K81" s="2" t="inlineStr">
        <is>
          <t>F018 aldehyde</t>
        </is>
      </c>
      <c r="L81" s="2" t="inlineStr">
        <is>
          <t>F001 carboxylic acid + F014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CC(=O)c1ccccc1&gt;II.[Na+].[OH-]&gt;O=C(O)c1ccccc1.IC(I)I | cond=3 equiv, room temperature, water</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F019 ketone</t>
        </is>
      </c>
      <c r="L82" s="2" t="inlineStr">
        <is>
          <t>F001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O=C1CCCCC1&gt;BrBr&gt;O=C1CCCCC1Br.Br | cond=acetic acid, room temperature</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F019 ketone</t>
        </is>
      </c>
      <c r="L83" s="2" t="inlineStr">
        <is>
          <t>F019 ketone + F010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CCCC(=O)O&gt;BrBr.BrP(Br)Br&gt;CCC(Br)C(=O)O.Br | cond=reflux</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F001 carboxylic acid</t>
        </is>
      </c>
      <c r="L84" s="2" t="inlineStr">
        <is>
          <t>F001 carboxylic acid + F010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CC(=O)Nc1ccccc1&gt;O=S(=O)(O)O&gt;Nc1ccccc1.CC(=O)O | cond=reflux, water</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F021 amide</t>
        </is>
      </c>
      <c r="L85" s="2" t="inlineStr">
        <is>
          <t>F001 carboxylic acid + F026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CC(=O)Cl.CCO&gt;c1ccncc1&gt;CCOC(C)=O.Cl | cond=0 C, dichloromethane</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F020 acyl chloride + F014 alcohol (on sp3 C)</t>
        </is>
      </c>
      <c r="L86" s="2" t="inlineStr">
        <is>
          <t>F004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CC(=O)Cl&gt;O&gt;CC(=O)O.Cl | cond=room temperature</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F020 acyl chloride</t>
        </is>
      </c>
      <c r="L87" s="2" t="inlineStr">
        <is>
          <t>F001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Nc1ccccc1&gt;CC(=O)OC(C)=O&gt;CC(=O)Nc1ccccc1.CC(=O)O | cond=room temperature</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F026 arylamine (aniline NH2) | F002 amine (1°)</t>
        </is>
      </c>
      <c r="L88" s="2" t="inlineStr">
        <is>
          <t>F021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NC(=O)c1ccccc1&gt;BrBr.[Na+].[OH-]&gt;Nc1ccccc1.O=C=O | cond=70 C, water</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F021 amide</t>
        </is>
      </c>
      <c r="L89" s="2" t="inlineStr">
        <is>
          <t>F026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C1CCC2(CC1)OCCO2&gt;O=S(=O)(O)O&gt;O=C1CCCCC1.OCCO | cond=room temperature, water</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 dilute</t>
        </is>
      </c>
      <c r="I90" s="2" t="inlineStr">
        <is>
          <t>cyclohexanone (JHIVVAPYMSGYDF-UHFFFAOYSA-N); ethylene glycol (LYCAIKOWRPUZTN-UHFFFAOYSA-N)</t>
        </is>
      </c>
      <c r="J90" s="2" t="inlineStr"/>
      <c r="K90" s="2" t="inlineStr">
        <is>
          <t>F039 acetal / ketal</t>
        </is>
      </c>
      <c r="L90" s="2" t="inlineStr">
        <is>
          <t>F019 ketone + F017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O=Cc1ccccc1&gt;N.N.[Ag+]&gt;O=C(O)c1ccccc1 | cond=room temperature, water</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F018 aldehyde</t>
        </is>
      </c>
      <c r="L91" s="2" t="inlineStr">
        <is>
          <t>F001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CCCCO&gt;CS(C)=O.O=C(Cl)C(=O)Cl&gt;CCCC=O.CSC | cond=-78 C, dichloromethane</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F014 alcohol (on sp3 C)</t>
        </is>
      </c>
      <c r="L92" s="2" t="inlineStr">
        <is>
          <t>F018 aldehyde | F019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CC(C)(O)C(C)(C)O&gt;O=S(=O)(O)O&gt;CC(=O)C(C)(C)C.O | cond=100 C</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F017 1,2-diol</t>
        </is>
      </c>
      <c r="L93" s="2" t="inlineStr">
        <is>
          <t>F019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ON=C1CCCCC1&gt;O=S(=O)(O)O&gt;O=C1CCCCCN1 | cond=100 C</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 concentrated</t>
        </is>
      </c>
      <c r="I94" s="2" t="inlineStr">
        <is>
          <t>ε-caprolactam (JBKVHLHDHHXQEQ-UHFFFAOYSA-N)</t>
        </is>
      </c>
      <c r="J94" s="2" t="inlineStr"/>
      <c r="K94" s="2" t="inlineStr">
        <is>
          <t>F049 oxime</t>
        </is>
      </c>
      <c r="L94" s="2" t="inlineStr">
        <is>
          <t>F021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O=C1CCCCC1&gt;NO&gt;ON=C1CCCCC1.O | cond=ethanol, room temperature</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F019 ketone</t>
        </is>
      </c>
      <c r="L95" s="2" t="inlineStr">
        <is>
          <t>F049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CC(C)=O&gt;C#N&gt;CC(C)(O)C#N | cond=room temperature, water</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F019 ketone</t>
        </is>
      </c>
      <c r="L96" s="2" t="inlineStr">
        <is>
          <t>F022 nitrile + F016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O=C(O)c1ccccc1.CN&gt;C(=NC1CCCCC1)=NC1CCCCC1&gt;O=C(NC1CCCCC1)NC1CCCCC1.CNC(=O)c1ccccc1 | cond=dichloromethane, room temperature</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F001 carboxylic acid + F002 amine (1°)</t>
        </is>
      </c>
      <c r="L97" s="2" t="inlineStr">
        <is>
          <t>F021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CCOC(C)=O&gt;O=S(=O)(O)O&gt;CC(=O)O.CCO | cond=reflux, water</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 dilute</t>
        </is>
      </c>
      <c r="I98" s="2" t="inlineStr">
        <is>
          <t>acetic acid (QTBSBXVTEAMEQO-UHFFFAOYSA-N); ethanol (LFQSCWFLJHTTHZ-UHFFFAOYSA-N)</t>
        </is>
      </c>
      <c r="J98" s="2" t="inlineStr"/>
      <c r="K98" s="2" t="inlineStr">
        <is>
          <t>F004 ester</t>
        </is>
      </c>
      <c r="L98" s="2" t="inlineStr">
        <is>
          <t>F001 carboxylic acid + F014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COC(=O)c1ccccc1.CCO&gt;CC[O-].[Na+]&gt;CCOC(=O)c1ccccc1.CO | cond=ethanol, reflux</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F004 ester + F003 alcohol (1°)</t>
        </is>
      </c>
      <c r="L99" s="2" t="inlineStr">
        <is>
          <t>F004 ester + F014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Oc1ccccc1.CI&gt;[Na+].[OH-]&gt;COc1ccccc1 | cond=room temperature, water</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F028 phenol + F043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CC1CO1&gt;C[O-].[Na+]&gt;COCC(C)O | cond=methanol, room temperature</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F023 epoxide</t>
        </is>
      </c>
      <c r="L101" s="2" t="inlineStr">
        <is>
          <t>F024 ether (dialkyl) + F015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C/C=C/C&gt;O=[O+][O-].OO&gt;CC(=O)O.CC(=O)O | cond=-78 C, dichloromethane</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F005 alkene (C=C)</t>
        </is>
      </c>
      <c r="L102" s="2" t="inlineStr">
        <is>
          <t>F001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CC(Br)C(C)Br&gt;[NH2-].[Na+]&gt;CC#CC | cond=2 equiv, NH3</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F032 vicinal dibromide</t>
        </is>
      </c>
      <c r="L103" s="2" t="inlineStr">
        <is>
          <t>F007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(radical)</t>
        </is>
      </c>
      <c r="D12" s="2" t="inlineStr">
        <is>
          <t>the weak O–O bond of the peroxide (light or heat): one electron to each O</t>
        </is>
      </c>
      <c r="E12" s="2" t="inlineStr">
        <is>
          <t>RO• then takes the H of H–Br; one electron of H–Br goes with Br</t>
        </is>
      </c>
      <c r="F12" s="2" t="inlineStr">
        <is>
          <t>RO–H</t>
        </is>
      </c>
      <c r="G12" s="2" t="inlineStr">
        <is>
          <t>O–O; H–Br</t>
        </is>
      </c>
      <c r="H12" s="2" t="n"/>
      <c r="I12" s="2" t="n"/>
      <c r="J12" s="2" t="n"/>
      <c r="K12" s="2" t="n"/>
      <c r="L12" s="2">
        <f>IF(AND(ISNUMBER(I12),ISNUMBER(K12)),K12-I12,"")</f>
        <v/>
      </c>
      <c r="M12" s="4">
        <f>IF(ISNUMBER(L12),10^L12,"")</f>
        <v/>
      </c>
      <c r="N12" s="2">
        <f>IF(ISNUMBER(L12),IF(L12&gt;=0,"downhill (favoured)","uphill (small amount)"),"")</f>
        <v/>
      </c>
      <c r="O12" s="2" t="n"/>
      <c r="P12" s="2" t="n"/>
      <c r="Q12" s="3" t="inlineStr">
        <is>
          <t>CC(C)(C)[O]</t>
        </is>
      </c>
      <c r="R12" s="2" t="inlineStr">
        <is>
          <t>Each fishhook arrow moves ONE electron. RO• then takes the H of H–Br, giving the bromine atom (Br•) that starts the chain.</t>
        </is>
      </c>
      <c r="S12" s="3" t="inlineStr">
        <is>
          <t>CC(C)(C)[O:1][O:2]C(C)(C)C</t>
        </is>
      </c>
      <c r="T12" s="3" t="inlineStr">
        <is>
          <t>~1-2&gt;1; ~1-2&gt;2</t>
        </is>
      </c>
    </row>
    <row r="13">
      <c r="A13" s="2" t="inlineStr">
        <is>
          <t>R004</t>
        </is>
      </c>
      <c r="B13" s="2" t="n">
        <v>2</v>
      </c>
      <c r="C13" s="2" t="inlineStr">
        <is>
          <t>propagation 1: Br• adds</t>
        </is>
      </c>
      <c r="D13" s="2" t="inlineStr">
        <is>
          <t>Br• and one π electron of the C=C</t>
        </is>
      </c>
      <c r="E13" s="2" t="inlineStr">
        <is>
          <t>a new C–Br bond at the CH2 end; the other π electron stays on the middle C</t>
        </is>
      </c>
      <c r="F13" s="2" t="inlineStr">
        <is>
          <t>C–Br (at CH2)</t>
        </is>
      </c>
      <c r="G13" s="2" t="inlineStr">
        <is>
          <t>C=C (π)</t>
        </is>
      </c>
      <c r="H13" s="2" t="n"/>
      <c r="I13" s="2" t="n"/>
      <c r="J13" s="2" t="n"/>
      <c r="K13" s="2" t="n"/>
      <c r="L13" s="2">
        <f>IF(AND(ISNUMBER(I13),ISNUMBER(K13)),K13-I13,"")</f>
        <v/>
      </c>
      <c r="M13" s="4">
        <f>IF(ISNUMBER(L13),10^L13,"")</f>
        <v/>
      </c>
      <c r="N13" s="2">
        <f>IF(ISNUMBER(L13),IF(L13&gt;=0,"downhill (favoured)","uphill (small amount)"),"")</f>
        <v/>
      </c>
      <c r="O13" s="2" t="n"/>
      <c r="P13" s="2" t="n"/>
      <c r="Q13" s="3" t="inlineStr">
        <is>
          <t>C[CH]CBr</t>
        </is>
      </c>
      <c r="R13" s="2" t="inlineStr">
        <is>
          <t>Br adds to the end that leaves the more stable 2° radical: anti-Markovnikov.</t>
        </is>
      </c>
      <c r="S13" s="3" t="inlineStr">
        <is>
          <t>[Br:1].[CH2:2]=[CH:3]C</t>
        </is>
      </c>
      <c r="T13" s="3" t="inlineStr">
        <is>
          <t>~1&gt;1-2; ~2-3&gt;1-2; ~2-3&gt;3</t>
        </is>
      </c>
    </row>
    <row r="14">
      <c r="A14" s="2" t="inlineStr">
        <is>
          <t>R004</t>
        </is>
      </c>
      <c r="B14" s="2" t="n">
        <v>3</v>
      </c>
      <c r="C14" s="2" t="inlineStr">
        <is>
          <t>propagation 2: H abstraction</t>
        </is>
      </c>
      <c r="D14" s="2" t="inlineStr">
        <is>
          <t>the radical C and one electron of the H–Br bond</t>
        </is>
      </c>
      <c r="E14" s="2" t="inlineStr">
        <is>
          <t>a new C–H bond; the other H–Br electron stays on Br (a new Br•)</t>
        </is>
      </c>
      <c r="F14" s="2" t="inlineStr">
        <is>
          <t>C–H</t>
        </is>
      </c>
      <c r="G14" s="2" t="inlineStr">
        <is>
          <t>H–Br</t>
        </is>
      </c>
      <c r="H14" s="2" t="n"/>
      <c r="I14" s="2" t="n"/>
      <c r="J14" s="2" t="n"/>
      <c r="K14" s="2" t="n"/>
      <c r="L14" s="2">
        <f>IF(AND(ISNUMBER(I14),ISNUMBER(K14)),K14-I14,"")</f>
        <v/>
      </c>
      <c r="M14" s="4">
        <f>IF(ISNUMBER(L14),10^L14,"")</f>
        <v/>
      </c>
      <c r="N14" s="2">
        <f>IF(ISNUMBER(L14),IF(L14&gt;=0,"downhill (favoured)","uphill (small amount)"),"")</f>
        <v/>
      </c>
      <c r="O14" s="2" t="n"/>
      <c r="P14" s="2" t="n"/>
      <c r="Q14" s="3" t="inlineStr">
        <is>
          <t>CCCBr.[Br]</t>
        </is>
      </c>
      <c r="R14" s="2" t="inlineStr">
        <is>
          <t>Br• is regenerated, so the chain repeats.</t>
        </is>
      </c>
      <c r="S14" s="3" t="inlineStr">
        <is>
          <t>C[CH:1]CBr.[H:2][Br:3]</t>
        </is>
      </c>
      <c r="T14" s="3" t="inlineStr">
        <is>
          <t>~1&gt;1-2; ~2-3&gt;1-2; ~2-3&gt;3</t>
        </is>
      </c>
    </row>
    <row r="15">
      <c r="A15" s="2" t="inlineStr">
        <is>
          <t>R005</t>
        </is>
      </c>
      <c r="B15" s="2" t="n">
        <v>1</v>
      </c>
      <c r="C15" s="2" t="inlineStr">
        <is>
          <t>protonation (electrophilic addition)</t>
        </is>
      </c>
      <c r="D15" s="2" t="inlineStr">
        <is>
          <t>the C=C π electrons</t>
        </is>
      </c>
      <c r="E15" s="2" t="inlineStr">
        <is>
          <t>the H of HBr; the H–Br bond's electrons go to Br (Br⁻)</t>
        </is>
      </c>
      <c r="F15" s="2" t="inlineStr">
        <is>
          <t>C–H (at CH2)</t>
        </is>
      </c>
      <c r="G15" s="2" t="inlineStr">
        <is>
          <t>H–Br; C=C (π)</t>
        </is>
      </c>
      <c r="H15" s="2" t="n"/>
      <c r="I15" s="2" t="n"/>
      <c r="J15" s="2" t="n"/>
      <c r="K15" s="2" t="n"/>
      <c r="L15" s="2">
        <f>IF(AND(ISNUMBER(I15),ISNUMBER(K15)),K15-I15,"")</f>
        <v/>
      </c>
      <c r="M15" s="4">
        <f>IF(ISNUMBER(L15),10^L15,"")</f>
        <v/>
      </c>
      <c r="N15" s="2">
        <f>IF(ISNUMBER(L15),IF(L15&gt;=0,"downhill (favoured)","uphill (small amount)"),"")</f>
        <v/>
      </c>
      <c r="O15" s="2" t="inlineStr">
        <is>
          <t>bromide</t>
        </is>
      </c>
      <c r="P15" s="2" t="n">
        <v>-9</v>
      </c>
      <c r="Q15" s="3" t="inlineStr">
        <is>
          <t>C[CH+]C.[Br-]</t>
        </is>
      </c>
      <c r="R15" s="2" t="inlineStr">
        <is>
          <t>H goes to the CH2 so the cation forms on the 2° C (more stable than 1°).</t>
        </is>
      </c>
      <c r="S15" s="3" t="inlineStr">
        <is>
          <t>C[CH:1]=[CH2:2].[H:3][Br:4]</t>
        </is>
      </c>
      <c r="T15" s="3" t="inlineStr">
        <is>
          <t>1-2&gt;2-3; 3-4&gt;4</t>
        </is>
      </c>
    </row>
    <row r="16">
      <c r="A16" s="2" t="inlineStr">
        <is>
          <t>R005</t>
        </is>
      </c>
      <c r="B16" s="2" t="n">
        <v>2</v>
      </c>
      <c r="C16" s="2" t="inlineStr">
        <is>
          <t>nucleophile captures the cation</t>
        </is>
      </c>
      <c r="D16" s="2" t="inlineStr">
        <is>
          <t>a lone pair on Br⁻</t>
        </is>
      </c>
      <c r="E16" s="2" t="inlineStr">
        <is>
          <t>the carbocation C</t>
        </is>
      </c>
      <c r="F16" s="2" t="inlineStr">
        <is>
          <t>C–Br</t>
        </is>
      </c>
      <c r="G16" s="2" t="inlineStr"/>
      <c r="H16" s="2" t="n"/>
      <c r="I16" s="2" t="n"/>
      <c r="J16" s="2" t="n"/>
      <c r="K16" s="2" t="n"/>
      <c r="L16" s="2">
        <f>IF(AND(ISNUMBER(I16),ISNUMBER(K16)),K16-I16,"")</f>
        <v/>
      </c>
      <c r="M16" s="4">
        <f>IF(ISNUMBER(L16),10^L16,"")</f>
        <v/>
      </c>
      <c r="N16" s="2">
        <f>IF(ISNUMBER(L16),IF(L16&gt;=0,"downhill (favoured)","uphill (small amount)"),"")</f>
        <v/>
      </c>
      <c r="O16" s="2" t="n"/>
      <c r="P16" s="2" t="n"/>
      <c r="Q16" s="3" t="inlineStr">
        <is>
          <t>CC(C)Br</t>
        </is>
      </c>
      <c r="R16" s="2" t="inlineStr">
        <is>
          <t>Markovnikov product.</t>
        </is>
      </c>
      <c r="S16" s="3" t="inlineStr">
        <is>
          <t>C[CH+:1]C.[Br-:2]</t>
        </is>
      </c>
      <c r="T16" s="3" t="inlineStr">
        <is>
          <t>2&gt;1</t>
        </is>
      </c>
    </row>
    <row r="17">
      <c r="A17" s="2" t="inlineStr">
        <is>
          <t>R006</t>
        </is>
      </c>
      <c r="B17" s="2" t="n">
        <v>1</v>
      </c>
      <c r="C17" s="2" t="inlineStr">
        <is>
          <t>protonation</t>
        </is>
      </c>
      <c r="D17" s="2" t="inlineStr">
        <is>
          <t>the C=C π electrons</t>
        </is>
      </c>
      <c r="E17" s="2" t="inlineStr">
        <is>
          <t>an H of H3O⁺ (from H2SO4); that O–H bond's electrons go to O (water)</t>
        </is>
      </c>
      <c r="F17" s="2" t="inlineStr">
        <is>
          <t>C–H (at CH2)</t>
        </is>
      </c>
      <c r="G17" s="2" t="inlineStr">
        <is>
          <t>O–H; C=C (π)</t>
        </is>
      </c>
      <c r="H17" s="2" t="n"/>
      <c r="I17" s="2" t="n"/>
      <c r="J17" s="2" t="n"/>
      <c r="K17" s="2" t="n"/>
      <c r="L17" s="2">
        <f>IF(AND(ISNUMBER(I17),ISNUMBER(K17)),K17-I17,"")</f>
        <v/>
      </c>
      <c r="M17" s="4">
        <f>IF(ISNUMBER(L17),10^L17,"")</f>
        <v/>
      </c>
      <c r="N17" s="2">
        <f>IF(ISNUMBER(L17),IF(L17&gt;=0,"downhill (favoured)","uphill (small amount)"),"")</f>
        <v/>
      </c>
      <c r="O17" s="2" t="inlineStr">
        <is>
          <t>water</t>
        </is>
      </c>
      <c r="P17" s="2" t="n">
        <v>-1.7</v>
      </c>
      <c r="Q17" s="3" t="inlineStr">
        <is>
          <t>C[C+](C)C.O</t>
        </is>
      </c>
      <c r="R17" s="2" t="inlineStr">
        <is>
          <t>The 3° carbocation forms (Markovnikov).</t>
        </is>
      </c>
      <c r="S17" s="3" t="inlineStr">
        <is>
          <t>C[C:1](C)=[CH2:2].[H:3][OH2+:4]</t>
        </is>
      </c>
      <c r="T17" s="3" t="inlineStr">
        <is>
          <t>1-2&gt;2-3; 3-4&gt;4</t>
        </is>
      </c>
    </row>
    <row r="18">
      <c r="A18" s="2" t="inlineStr">
        <is>
          <t>R006</t>
        </is>
      </c>
      <c r="B18" s="2" t="n">
        <v>2</v>
      </c>
      <c r="C18" s="2" t="inlineStr">
        <is>
          <t>water adds</t>
        </is>
      </c>
      <c r="D18" s="2" t="inlineStr">
        <is>
          <t>a lone pair on water's O</t>
        </is>
      </c>
      <c r="E18" s="2" t="inlineStr">
        <is>
          <t>the carbocation C</t>
        </is>
      </c>
      <c r="F18" s="2" t="inlineStr">
        <is>
          <t>C–O</t>
        </is>
      </c>
      <c r="G18" s="2" t="inlineStr"/>
      <c r="H18" s="2" t="n"/>
      <c r="I18" s="2" t="n"/>
      <c r="J18" s="2" t="n"/>
      <c r="K18" s="2" t="n"/>
      <c r="L18" s="2">
        <f>IF(AND(ISNUMBER(I18),ISNUMBER(K18)),K18-I18,"")</f>
        <v/>
      </c>
      <c r="M18" s="4">
        <f>IF(ISNUMBER(L18),10^L18,"")</f>
        <v/>
      </c>
      <c r="N18" s="2">
        <f>IF(ISNUMBER(L18),IF(L18&gt;=0,"downhill (favoured)","uphill (small amount)"),"")</f>
        <v/>
      </c>
      <c r="O18" s="2" t="n"/>
      <c r="P18" s="2" t="n"/>
      <c r="Q18" s="3" t="inlineStr">
        <is>
          <t>CC(C)(C)[OH2+]</t>
        </is>
      </c>
      <c r="R18" s="2" t="inlineStr"/>
      <c r="S18" s="3" t="inlineStr">
        <is>
          <t>C[C+:1](C)C.[OH2:2]</t>
        </is>
      </c>
      <c r="T18" s="3" t="inlineStr">
        <is>
          <t>2&gt;1</t>
        </is>
      </c>
    </row>
    <row r="19">
      <c r="A19" s="2" t="inlineStr">
        <is>
          <t>R006</t>
        </is>
      </c>
      <c r="B19" s="2" t="n">
        <v>3</v>
      </c>
      <c r="C19" s="2" t="inlineStr">
        <is>
          <t>proton transfer</t>
        </is>
      </c>
      <c r="D19" s="2" t="inlineStr">
        <is>
          <t>a lone pair on another water</t>
        </is>
      </c>
      <c r="E19" s="2" t="inlineStr">
        <is>
          <t>an H on the oxonium O</t>
        </is>
      </c>
      <c r="F19" s="2" t="inlineStr">
        <is>
          <t>H–OH2⁺</t>
        </is>
      </c>
      <c r="G19" s="2" t="inlineStr">
        <is>
          <t>O–H</t>
        </is>
      </c>
      <c r="H19" s="2" t="inlineStr">
        <is>
          <t>the oxonium (R–OH2⁺)</t>
        </is>
      </c>
      <c r="I19" s="2" t="n">
        <v>-2</v>
      </c>
      <c r="J19" s="2" t="inlineStr">
        <is>
          <t>H3O⁺</t>
        </is>
      </c>
      <c r="K19" s="2" t="n">
        <v>-1.7</v>
      </c>
      <c r="L19" s="2">
        <f>IF(AND(ISNUMBER(I19),ISNUMBER(K19)),K19-I19,"")</f>
        <v/>
      </c>
      <c r="M19" s="4">
        <f>IF(ISNUMBER(L19),10^L19,"")</f>
        <v/>
      </c>
      <c r="N19" s="2">
        <f>IF(ISNUMBER(L19),IF(L19&gt;=0,"downhill (favoured)","uphill (small amount)"),"")</f>
        <v/>
      </c>
      <c r="O19" s="2" t="n"/>
      <c r="P19" s="2" t="n"/>
      <c r="Q19" s="3" t="inlineStr">
        <is>
          <t>CC(C)(C)O.[OH3+]</t>
        </is>
      </c>
      <c r="R19" s="2" t="inlineStr">
        <is>
          <t>H3O⁺ is given back: acid catalysis.</t>
        </is>
      </c>
      <c r="S19" s="3" t="inlineStr">
        <is>
          <t>CC(C)(C)[O+:1]([H:2])[H].[OH2:3]</t>
        </is>
      </c>
      <c r="T19" s="3" t="inlineStr">
        <is>
          <t>3&gt;2; 2-1&gt;1</t>
        </is>
      </c>
    </row>
    <row r="20">
      <c r="A20" s="2" t="inlineStr">
        <is>
          <t>R007</t>
        </is>
      </c>
      <c r="B20" s="2" t="n">
        <v>1</v>
      </c>
      <c r="C20" s="2" t="inlineStr">
        <is>
          <t>hydroboration (concerted, syn)</t>
        </is>
      </c>
      <c r="D20" s="2" t="inlineStr">
        <is>
          <t>the C=C π electrons</t>
        </is>
      </c>
      <c r="E20" s="2" t="inlineStr">
        <is>
          <t>the empty p orbital on B; a B–H bond's electrons go to the more substituted C (4-centre TS)</t>
        </is>
      </c>
      <c r="F20" s="2" t="inlineStr">
        <is>
          <t>C–B (at CH2); C–H (at CH)</t>
        </is>
      </c>
      <c r="G20" s="2" t="inlineStr">
        <is>
          <t>B–H; C=C (π)</t>
        </is>
      </c>
      <c r="H20" s="2" t="n"/>
      <c r="I20" s="2" t="n"/>
      <c r="J20" s="2" t="n"/>
      <c r="K20" s="2" t="n"/>
      <c r="L20" s="2">
        <f>IF(AND(ISNUMBER(I20),ISNUMBER(K20)),K20-I20,"")</f>
        <v/>
      </c>
      <c r="M20" s="4">
        <f>IF(ISNUMBER(L20),10^L20,"")</f>
        <v/>
      </c>
      <c r="N20" s="2">
        <f>IF(ISNUMBER(L20),IF(L20&gt;=0,"downhill (favoured)","uphill (small amount)"),"")</f>
        <v/>
      </c>
      <c r="O20" s="2" t="n"/>
      <c r="P20" s="2" t="n"/>
      <c r="Q20" s="3" t="inlineStr">
        <is>
          <t>BCCC</t>
        </is>
      </c>
      <c r="R20" s="2" t="inlineStr">
        <is>
          <t>B goes to the less hindered CH2 end; H and B add to the same face.</t>
        </is>
      </c>
      <c r="S20" s="3" t="inlineStr">
        <is>
          <t>C[CH:1]=[CH2:2].[BH2:3][H:4]</t>
        </is>
      </c>
      <c r="T20" s="3" t="inlineStr">
        <is>
          <t>1-2&gt;2-3; 3-4&gt;1-4</t>
        </is>
      </c>
    </row>
    <row r="21">
      <c r="A21" s="2" t="inlineStr">
        <is>
          <t>R007</t>
        </is>
      </c>
      <c r="B21" s="2" t="n">
        <v>2</v>
      </c>
      <c r="C21" s="2" t="inlineStr">
        <is>
          <t>hydroperoxide adds to B</t>
        </is>
      </c>
      <c r="D21" s="2" t="inlineStr">
        <is>
          <t>a lone pair on HOO⁻ (from H2O2 + NaOH)</t>
        </is>
      </c>
      <c r="E21" s="2" t="inlineStr">
        <is>
          <t>the empty p orbital on B</t>
        </is>
      </c>
      <c r="F21" s="2" t="inlineStr">
        <is>
          <t>B–O</t>
        </is>
      </c>
      <c r="G21" s="2" t="inlineStr"/>
      <c r="H21" s="2" t="n"/>
      <c r="I21" s="2" t="n"/>
      <c r="J21" s="2" t="n"/>
      <c r="K21" s="2" t="n"/>
      <c r="L21" s="2">
        <f>IF(AND(ISNUMBER(I21),ISNUMBER(K21)),K21-I21,"")</f>
        <v/>
      </c>
      <c r="M21" s="4">
        <f>IF(ISNUMBER(L21),10^L21,"")</f>
        <v/>
      </c>
      <c r="N21" s="2">
        <f>IF(ISNUMBER(L21),IF(L21&gt;=0,"downhill (favoured)","uphill (small amount)"),"")</f>
        <v/>
      </c>
      <c r="O21" s="2" t="n"/>
      <c r="P21" s="2" t="n"/>
      <c r="Q21" s="3" t="inlineStr">
        <is>
          <t>CCC[BH2-]OO</t>
        </is>
      </c>
      <c r="R21" s="2" t="inlineStr"/>
      <c r="S21" s="3" t="inlineStr">
        <is>
          <t>CCC[BH2:1].[O-:2]O</t>
        </is>
      </c>
      <c r="T21" s="3" t="inlineStr">
        <is>
          <t>2&gt;1</t>
        </is>
      </c>
    </row>
    <row r="22">
      <c r="A22" s="2" t="inlineStr">
        <is>
          <t>R007</t>
        </is>
      </c>
      <c r="B22" s="2" t="n">
        <v>3</v>
      </c>
      <c r="C22" s="2" t="inlineStr">
        <is>
          <t>1,2-shift (C migrates B → O)</t>
        </is>
      </c>
      <c r="D22" s="2" t="inlineStr">
        <is>
          <t>the C–B bond's electrons</t>
        </is>
      </c>
      <c r="E22" s="2" t="inlineStr">
        <is>
          <t>the O next to B; the O–O bond's electrons leave with the other O as HO⁻</t>
        </is>
      </c>
      <c r="F22" s="2" t="inlineStr">
        <is>
          <t>C–O</t>
        </is>
      </c>
      <c r="G22" s="2" t="inlineStr">
        <is>
          <t>C–B; O–O</t>
        </is>
      </c>
      <c r="H22" s="2" t="n"/>
      <c r="I22" s="2" t="n"/>
      <c r="J22" s="2" t="n"/>
      <c r="K22" s="2" t="n"/>
      <c r="L22" s="2">
        <f>IF(AND(ISNUMBER(I22),ISNUMBER(K22)),K22-I22,"")</f>
        <v/>
      </c>
      <c r="M22" s="4">
        <f>IF(ISNUMBER(L22),10^L22,"")</f>
        <v/>
      </c>
      <c r="N22" s="2">
        <f>IF(ISNUMBER(L22),IF(L22&gt;=0,"downhill (favoured)","uphill (small amount)"),"")</f>
        <v/>
      </c>
      <c r="O22" s="2" t="inlineStr">
        <is>
          <t>hydroxide</t>
        </is>
      </c>
      <c r="P22" s="2" t="n">
        <v>15.7</v>
      </c>
      <c r="Q22" s="3" t="inlineStr">
        <is>
          <t>CCCO[BH2].[OH-]</t>
        </is>
      </c>
      <c r="R22" s="2" t="inlineStr">
        <is>
          <t>The C moves with its configuration kept; the weak O–O bond pays for it.</t>
        </is>
      </c>
      <c r="S22" s="3" t="inlineStr">
        <is>
          <t>CC[CH2:1][BH2-:2][O:3][OH:4]</t>
        </is>
      </c>
      <c r="T22" s="3" t="inlineStr">
        <is>
          <t>1-2&gt;1-3; 3-4&gt;4</t>
        </is>
      </c>
    </row>
    <row r="23">
      <c r="A23" s="2" t="inlineStr">
        <is>
          <t>R007</t>
        </is>
      </c>
      <c r="B23" s="2" t="n">
        <v>4</v>
      </c>
      <c r="C23" s="2" t="inlineStr">
        <is>
          <t>hydrolysis</t>
        </is>
      </c>
      <c r="D23" s="2" t="inlineStr">
        <is>
          <t>a lone pair on HO⁻</t>
        </is>
      </c>
      <c r="E23" s="2" t="inlineStr">
        <is>
          <t>B; the B–O bond's electrons go to the alkoxide O, which takes an H from water</t>
        </is>
      </c>
      <c r="F23" s="2" t="inlineStr">
        <is>
          <t>B–OH; O–H</t>
        </is>
      </c>
      <c r="G23" s="2" t="inlineStr">
        <is>
          <t>B–O</t>
        </is>
      </c>
      <c r="H23" s="2" t="n"/>
      <c r="I23" s="2" t="n"/>
      <c r="J23" s="2" t="n"/>
      <c r="K23" s="2" t="n"/>
      <c r="L23" s="2">
        <f>IF(AND(ISNUMBER(I23),ISNUMBER(K23)),K23-I23,"")</f>
        <v/>
      </c>
      <c r="M23" s="4">
        <f>IF(ISNUMBER(L23),10^L23,"")</f>
        <v/>
      </c>
      <c r="N23" s="2">
        <f>IF(ISNUMBER(L23),IF(L23&gt;=0,"downhill (favoured)","uphill (small amount)"),"")</f>
        <v/>
      </c>
      <c r="O23" s="2" t="n"/>
      <c r="P23" s="2" t="n"/>
      <c r="Q23" s="3" t="inlineStr">
        <is>
          <t>CCC[O-].OB</t>
        </is>
      </c>
      <c r="R23" s="2" t="inlineStr">
        <is>
          <t>The alkoxide leaves boron.</t>
        </is>
      </c>
      <c r="S23" s="3" t="inlineStr">
        <is>
          <t>CCC[O:1][BH2:2].[OH-:3]</t>
        </is>
      </c>
      <c r="T23" s="3" t="inlineStr">
        <is>
          <t>3&gt;2; 2-1&gt;1</t>
        </is>
      </c>
    </row>
    <row r="24">
      <c r="A24" s="2" t="inlineStr">
        <is>
          <t>R007</t>
        </is>
      </c>
      <c r="B24" s="2" t="n">
        <v>5</v>
      </c>
      <c r="C24" s="2" t="inlineStr">
        <is>
          <t>proton transfer</t>
        </is>
      </c>
      <c r="D24" s="2" t="inlineStr">
        <is>
          <t>a lone pair on the alkoxide O</t>
        </is>
      </c>
      <c r="E24" s="2" t="inlineStr">
        <is>
          <t>an H of water</t>
        </is>
      </c>
      <c r="F24" s="2" t="inlineStr">
        <is>
          <t>O–H</t>
        </is>
      </c>
      <c r="G24" s="2" t="inlineStr">
        <is>
          <t>O–H (water)</t>
        </is>
      </c>
      <c r="H24" s="2" t="inlineStr">
        <is>
          <t>water</t>
        </is>
      </c>
      <c r="I24" s="2" t="n">
        <v>15.7</v>
      </c>
      <c r="J24" s="2" t="inlineStr">
        <is>
          <t>1-propanol</t>
        </is>
      </c>
      <c r="K24" s="2" t="n">
        <v>16</v>
      </c>
      <c r="L24" s="2">
        <f>IF(AND(ISNUMBER(I24),ISNUMBER(K24)),K24-I24,"")</f>
        <v/>
      </c>
      <c r="M24" s="4">
        <f>IF(ISNUMBER(L24),10^L24,"")</f>
        <v/>
      </c>
      <c r="N24" s="2">
        <f>IF(ISNUMBER(L24),IF(L24&gt;=0,"downhill (favoured)","uphill (small amount)"),"")</f>
        <v/>
      </c>
      <c r="O24" s="2" t="n"/>
      <c r="P24" s="2" t="n"/>
      <c r="Q24" s="3" t="inlineStr">
        <is>
          <t>CCCO.[OH-]</t>
        </is>
      </c>
      <c r="R24" s="2" t="inlineStr">
        <is>
          <t>Anti-Markovnikov alcohol.</t>
        </is>
      </c>
      <c r="S24" s="3" t="inlineStr">
        <is>
          <t>CCC[O-:1].[H:2][OH:3]</t>
        </is>
      </c>
      <c r="T24" s="3" t="inlineStr">
        <is>
          <t>1&gt;2; 2-3&gt;3</t>
        </is>
      </c>
    </row>
    <row r="25">
      <c r="A25" s="2" t="inlineStr">
        <is>
          <t>R008</t>
        </is>
      </c>
      <c r="B25" s="2" t="n">
        <v>1</v>
      </c>
      <c r="C25" s="2" t="inlineStr">
        <is>
          <t>H2 adds to the metal</t>
        </is>
      </c>
      <c r="D25" s="2" t="inlineStr">
        <is>
          <t>the H–H bond's electrons</t>
        </is>
      </c>
      <c r="E25" s="2" t="inlineStr">
        <is>
          <t>the Pd surface: two Pd–H bonds</t>
        </is>
      </c>
      <c r="F25" s="2" t="inlineStr">
        <is>
          <t>2 × Pd–H</t>
        </is>
      </c>
      <c r="G25" s="2" t="inlineStr">
        <is>
          <t>H–H</t>
        </is>
      </c>
      <c r="H25" s="2" t="n"/>
      <c r="I25" s="2" t="n"/>
      <c r="J25" s="2" t="n"/>
      <c r="K25" s="2" t="n"/>
      <c r="L25" s="2">
        <f>IF(AND(ISNUMBER(I25),ISNUMBER(K25)),K25-I25,"")</f>
        <v/>
      </c>
      <c r="M25" s="4">
        <f>IF(ISNUMBER(L25),10^L25,"")</f>
        <v/>
      </c>
      <c r="N25" s="2">
        <f>IF(ISNUMBER(L25),IF(L25&gt;=0,"downhill (favoured)","uphill (small amount)"),"")</f>
        <v/>
      </c>
      <c r="O25" s="2" t="n"/>
      <c r="P25" s="2" t="n"/>
      <c r="Q25" s="3" t="inlineStr">
        <is>
          <t>[H][Pd][H]</t>
        </is>
      </c>
      <c r="R25" s="2" t="inlineStr">
        <is>
          <t>The catalyst breaks H2 into surface-bound H atoms.</t>
        </is>
      </c>
      <c r="S25" s="3" t="inlineStr">
        <is>
          <t>[H:1][H:2].[Pd:3]</t>
        </is>
      </c>
      <c r="T25" s="3" t="inlineStr">
        <is>
          <t>1-2&gt;2-3; 3&gt;1</t>
        </is>
      </c>
    </row>
    <row r="26">
      <c r="A26" s="2" t="inlineStr">
        <is>
          <t>R008</t>
        </is>
      </c>
      <c r="B26" s="2" t="n">
        <v>2</v>
      </c>
      <c r="C26" s="2" t="inlineStr">
        <is>
          <t>alkene binds; first H moves</t>
        </is>
      </c>
      <c r="D26" s="2" t="inlineStr">
        <is>
          <t>a Pd–H bond's electrons</t>
        </is>
      </c>
      <c r="E26" s="2" t="inlineStr">
        <is>
          <t>one alkene C (its π bond is held on the Pd surface)</t>
        </is>
      </c>
      <c r="F26" s="2" t="inlineStr">
        <is>
          <t>C–H; C–Pd</t>
        </is>
      </c>
      <c r="G26" s="2" t="inlineStr">
        <is>
          <t>C=C (π); Pd–H</t>
        </is>
      </c>
      <c r="H26" s="2" t="n"/>
      <c r="I26" s="2" t="n"/>
      <c r="J26" s="2" t="n"/>
      <c r="K26" s="2" t="n"/>
      <c r="L26" s="2">
        <f>IF(AND(ISNUMBER(I26),ISNUMBER(K26)),K26-I26,"")</f>
        <v/>
      </c>
      <c r="M26" s="4">
        <f>IF(ISNUMBER(L26),10^L26,"")</f>
        <v/>
      </c>
      <c r="N26" s="2">
        <f>IF(ISNUMBER(L26),IF(L26&gt;=0,"downhill (favoured)","uphill (small amount)"),"")</f>
        <v/>
      </c>
      <c r="O26" s="2" t="n"/>
      <c r="P26" s="2" t="n"/>
      <c r="Q26" s="3" t="inlineStr">
        <is>
          <t>[H][Pd]C1CCCCC1</t>
        </is>
      </c>
      <c r="R26" s="2" t="inlineStr"/>
      <c r="S26" s="3" t="inlineStr">
        <is>
          <t>[H:1][Pd:2][H].[CH:3]1=[CH:4]CCCC1</t>
        </is>
      </c>
      <c r="T26" s="3" t="inlineStr">
        <is>
          <t>2-1&gt;1-3; 3-4&gt;4-2</t>
        </is>
      </c>
    </row>
    <row r="27">
      <c r="A27" s="2" t="inlineStr">
        <is>
          <t>R008</t>
        </is>
      </c>
      <c r="B27" s="2" t="n">
        <v>3</v>
      </c>
      <c r="C27" s="2" t="inlineStr">
        <is>
          <t>second H moves (reductive elimination)</t>
        </is>
      </c>
      <c r="D27" s="2" t="inlineStr">
        <is>
          <t>the Pd–H and Pd–C bond electrons</t>
        </is>
      </c>
      <c r="E27" s="2" t="inlineStr">
        <is>
          <t>a new C–H bond; the alkane leaves the surface</t>
        </is>
      </c>
      <c r="F27" s="2" t="inlineStr">
        <is>
          <t>C–H</t>
        </is>
      </c>
      <c r="G27" s="2" t="inlineStr">
        <is>
          <t>C–Pd; Pd–H</t>
        </is>
      </c>
      <c r="H27" s="2" t="n"/>
      <c r="I27" s="2" t="n"/>
      <c r="J27" s="2" t="n"/>
      <c r="K27" s="2" t="n"/>
      <c r="L27" s="2">
        <f>IF(AND(ISNUMBER(I27),ISNUMBER(K27)),K27-I27,"")</f>
        <v/>
      </c>
      <c r="M27" s="4">
        <f>IF(ISNUMBER(L27),10^L27,"")</f>
        <v/>
      </c>
      <c r="N27" s="2">
        <f>IF(ISNUMBER(L27),IF(L27&gt;=0,"downhill (favoured)","uphill (small amount)"),"")</f>
        <v/>
      </c>
      <c r="O27" s="2" t="n"/>
      <c r="P27" s="2" t="n"/>
      <c r="Q27" s="3" t="inlineStr">
        <is>
          <t>C1CCCCC1</t>
        </is>
      </c>
      <c r="R27" s="2" t="inlineStr">
        <is>
          <t>Both H come from the same face: syn addition.</t>
        </is>
      </c>
      <c r="S27" s="3" t="inlineStr">
        <is>
          <t>[H:1][Pd:2][CH:3]1CCCCC1</t>
        </is>
      </c>
      <c r="T27" s="3" t="inlineStr">
        <is>
          <t>1-2&gt;1-3; 2-3&gt;2</t>
        </is>
      </c>
    </row>
    <row r="28">
      <c r="A28" s="2" t="inlineStr">
        <is>
          <t>R009</t>
        </is>
      </c>
      <c r="B28" s="2" t="n">
        <v>1</v>
      </c>
      <c r="C28" s="2" t="inlineStr">
        <is>
          <t>concerted O transfer ('butterfly')</t>
        </is>
      </c>
      <c r="D28" s="2" t="inlineStr">
        <is>
          <t>the C=C π electrons</t>
        </is>
      </c>
      <c r="E28" s="2" t="inlineStr">
        <is>
          <t>the peracid's outer O; the O–O electrons go to the C=O O, whose π electrons take the O–H's H</t>
        </is>
      </c>
      <c r="F28" s="2" t="inlineStr">
        <is>
          <t>2 × C–O</t>
        </is>
      </c>
      <c r="G28" s="2" t="inlineStr">
        <is>
          <t>O–O; O–H; C=C (π)</t>
        </is>
      </c>
      <c r="H28" s="2" t="n"/>
      <c r="I28" s="2" t="n"/>
      <c r="J28" s="2" t="n"/>
      <c r="K28" s="2" t="n"/>
      <c r="L28" s="2">
        <f>IF(AND(ISNUMBER(I28),ISNUMBER(K28)),K28-I28,"")</f>
        <v/>
      </c>
      <c r="M28" s="4">
        <f>IF(ISNUMBER(L28),10^L28,"")</f>
        <v/>
      </c>
      <c r="N28" s="2">
        <f>IF(ISNUMBER(L28),IF(L28&gt;=0,"downhill (favoured)","uphill (small amount)"),"")</f>
        <v/>
      </c>
      <c r="O28" s="2" t="n"/>
      <c r="P28" s="2" t="n"/>
      <c r="Q28" s="3" t="inlineStr">
        <is>
          <t>C1CCC2OC2C1.O=C(O)c1cccc(Cl)c1</t>
        </is>
      </c>
      <c r="R28" s="2" t="inlineStr">
        <is>
          <t>One step, no intermediate; both C–O bonds form on the same face, so the alkene's geometry is kept.</t>
        </is>
      </c>
      <c r="S28" s="3" t="inlineStr">
        <is>
          <t>[CH:1]1=[CH:2]CCCC1.Clc1cccc(c1)[C:7](=[O:3])[O:4][O:5][H:6]</t>
        </is>
      </c>
      <c r="T28" s="3" t="inlineStr">
        <is>
          <t>1-2&gt;1-5; 4-5&gt;4-7; 3-7&gt;3-6; 5-6&gt;2-5</t>
        </is>
      </c>
    </row>
    <row r="29">
      <c r="A29" s="2" t="inlineStr">
        <is>
          <t>R010</t>
        </is>
      </c>
      <c r="B29" s="2" t="n">
        <v>1</v>
      </c>
      <c r="C29" s="2" t="inlineStr">
        <is>
          <t>[3+2] cycloaddition</t>
        </is>
      </c>
      <c r="D29" s="2" t="inlineStr">
        <is>
          <t>the C=C π electrons</t>
        </is>
      </c>
      <c r="E29" s="2" t="inlineStr">
        <is>
          <t>an O of OsO4; an Os=O π bond's electrons go to Os (and a second O bonds to the other C)</t>
        </is>
      </c>
      <c r="F29" s="2" t="inlineStr">
        <is>
          <t>2 × C–O</t>
        </is>
      </c>
      <c r="G29" s="2" t="inlineStr">
        <is>
          <t>C=C (π); 2 Os=O (π)</t>
        </is>
      </c>
      <c r="H29" s="2" t="n"/>
      <c r="I29" s="2" t="n"/>
      <c r="J29" s="2" t="n"/>
      <c r="K29" s="2" t="n"/>
      <c r="L29" s="2">
        <f>IF(AND(ISNUMBER(I29),ISNUMBER(K29)),K29-I29,"")</f>
        <v/>
      </c>
      <c r="M29" s="4">
        <f>IF(ISNUMBER(L29),10^L29,"")</f>
        <v/>
      </c>
      <c r="N29" s="2">
        <f>IF(ISNUMBER(L29),IF(L29&gt;=0,"downhill (favoured)","uphill (small amount)"),"")</f>
        <v/>
      </c>
      <c r="O29" s="2" t="n"/>
      <c r="P29" s="2" t="n"/>
      <c r="Q29" s="3" t="inlineStr">
        <is>
          <t>O=[Os]1(=O)OC2CCCCC2O1</t>
        </is>
      </c>
      <c r="R29" s="2" t="inlineStr">
        <is>
          <t>Cyclic osmate ester; both O add to the same face (syn).</t>
        </is>
      </c>
      <c r="S29" s="3" t="inlineStr">
        <is>
          <t>[CH:1]1=[CH:2]CCCC1.[O:3]=[Os:5](=[O:4])(=O)=O</t>
        </is>
      </c>
      <c r="T29" s="3" t="inlineStr">
        <is>
          <t>1-2&gt;1-3; 3-5&gt;5; 4-5&gt;2-4</t>
        </is>
      </c>
    </row>
    <row r="30">
      <c r="A30" s="2" t="inlineStr">
        <is>
          <t>R010</t>
        </is>
      </c>
      <c r="B30" s="2" t="n">
        <v>2</v>
      </c>
      <c r="C30" s="2" t="inlineStr">
        <is>
          <t>hydrolysis of the osmate ester</t>
        </is>
      </c>
      <c r="D30" s="2" t="inlineStr">
        <is>
          <t>lone pairs on water</t>
        </is>
      </c>
      <c r="E30" s="2" t="inlineStr">
        <is>
          <t>Os; the Os–O bonds' electrons go to the diol O (which take H from water)</t>
        </is>
      </c>
      <c r="F30" s="2" t="inlineStr">
        <is>
          <t>O–H</t>
        </is>
      </c>
      <c r="G30" s="2" t="inlineStr">
        <is>
          <t>Os–O</t>
        </is>
      </c>
      <c r="H30" s="2" t="n"/>
      <c r="I30" s="2" t="n"/>
      <c r="J30" s="2" t="n"/>
      <c r="K30" s="2" t="n"/>
      <c r="L30" s="2">
        <f>IF(AND(ISNUMBER(I30),ISNUMBER(K30)),K30-I30,"")</f>
        <v/>
      </c>
      <c r="M30" s="4">
        <f>IF(ISNUMBER(L30),10^L30,"")</f>
        <v/>
      </c>
      <c r="N30" s="2">
        <f>IF(ISNUMBER(L30),IF(L30&gt;=0,"downhill (favoured)","uphill (small amount)"),"")</f>
        <v/>
      </c>
      <c r="O30" s="2" t="n"/>
      <c r="P30" s="2" t="n"/>
      <c r="Q30" s="3" t="inlineStr">
        <is>
          <t>OC1CCCCC1O</t>
        </is>
      </c>
      <c r="R30" s="2" t="inlineStr">
        <is>
          <t>NMO re-oxidises Os(VI) to OsO4, so only a catalytic amount is needed.</t>
        </is>
      </c>
      <c r="S30" s="3" t="inlineStr">
        <is>
          <t>O=[Os:6]1(=O)[O:1]C2CCCCC2O1.[OH2:5]</t>
        </is>
      </c>
      <c r="T30" s="3" t="inlineStr"/>
    </row>
    <row r="31">
      <c r="A31" s="2" t="inlineStr">
        <is>
          <t>R011</t>
        </is>
      </c>
      <c r="B31" s="2" t="n">
        <v>1</v>
      </c>
      <c r="C31" s="2" t="inlineStr">
        <is>
          <t>[3+2] cycloaddition</t>
        </is>
      </c>
      <c r="D31" s="2" t="inlineStr">
        <is>
          <t>the C=C π electrons</t>
        </is>
      </c>
      <c r="E31" s="2" t="inlineStr">
        <is>
          <t>the end O atoms of ozone</t>
        </is>
      </c>
      <c r="F31" s="2" t="inlineStr">
        <is>
          <t>2 × C–O</t>
        </is>
      </c>
      <c r="G31" s="2" t="inlineStr">
        <is>
          <t>C=C (π)</t>
        </is>
      </c>
      <c r="H31" s="2" t="n"/>
      <c r="I31" s="2" t="n"/>
      <c r="J31" s="2" t="n"/>
      <c r="K31" s="2" t="n"/>
      <c r="L31" s="2">
        <f>IF(AND(ISNUMBER(I31),ISNUMBER(K31)),K31-I31,"")</f>
        <v/>
      </c>
      <c r="M31" s="4">
        <f>IF(ISNUMBER(L31),10^L31,"")</f>
        <v/>
      </c>
      <c r="N31" s="2">
        <f>IF(ISNUMBER(L31),IF(L31&gt;=0,"downhill (favoured)","uphill (small amount)"),"")</f>
        <v/>
      </c>
      <c r="O31" s="2" t="n"/>
      <c r="P31" s="2" t="n"/>
      <c r="Q31" s="3" t="inlineStr">
        <is>
          <t>CC1OOOC1(C)C</t>
        </is>
      </c>
      <c r="R31" s="2" t="inlineStr">
        <is>
          <t>The molozonide (1,2,3-trioxolane): unstable.</t>
        </is>
      </c>
      <c r="S31" s="3" t="inlineStr">
        <is>
          <t>C[CH:1]=[C:2](C)C.[O-:3][O+:4]=[O:5]</t>
        </is>
      </c>
      <c r="T31" s="3" t="inlineStr">
        <is>
          <t>3&gt;2; 1-2&gt;1-5; 4-5&gt;4</t>
        </is>
      </c>
    </row>
    <row r="32">
      <c r="A32" s="2" t="inlineStr">
        <is>
          <t>R011</t>
        </is>
      </c>
      <c r="B32" s="2" t="n">
        <v>2</v>
      </c>
      <c r="C32" s="2" t="inlineStr">
        <is>
          <t>retro-[3+2] (fragmentation)</t>
        </is>
      </c>
      <c r="D32" s="2" t="inlineStr">
        <is>
          <t>a C–C bond and an O–O bond</t>
        </is>
      </c>
      <c r="E32" s="2" t="inlineStr">
        <is>
          <t>a C=O on one carbon and a carbonyl oxide on the other</t>
        </is>
      </c>
      <c r="F32" s="2" t="inlineStr">
        <is>
          <t>C=O; C=O⁺</t>
        </is>
      </c>
      <c r="G32" s="2" t="inlineStr">
        <is>
          <t>C–C; O–O</t>
        </is>
      </c>
      <c r="H32" s="2" t="n"/>
      <c r="I32" s="2" t="n"/>
      <c r="J32" s="2" t="n"/>
      <c r="K32" s="2" t="n"/>
      <c r="L32" s="2">
        <f>IF(AND(ISNUMBER(I32),ISNUMBER(K32)),K32-I32,"")</f>
        <v/>
      </c>
      <c r="M32" s="4">
        <f>IF(ISNUMBER(L32),10^L32,"")</f>
        <v/>
      </c>
      <c r="N32" s="2">
        <f>IF(ISNUMBER(L32),IF(L32&gt;=0,"downhill (favoured)","uphill (small amount)"),"")</f>
        <v/>
      </c>
      <c r="O32" s="2" t="n"/>
      <c r="P32" s="2" t="n"/>
      <c r="Q32" s="3" t="inlineStr">
        <is>
          <t>CC(C)=O.C[CH]=[O+][O-]</t>
        </is>
      </c>
      <c r="R32" s="2" t="inlineStr">
        <is>
          <t>Acetone and the carbonyl oxide of acetaldehyde.</t>
        </is>
      </c>
      <c r="S32" s="3" t="inlineStr">
        <is>
          <t>C[CH:1]1[O:2][O:3][O:4][C:5]1(C)C</t>
        </is>
      </c>
      <c r="T32" s="3" t="inlineStr">
        <is>
          <t>2&gt;1-2; 1-5&gt;4-5; 3-4&gt;3</t>
        </is>
      </c>
    </row>
    <row r="33">
      <c r="A33" s="2" t="inlineStr">
        <is>
          <t>R011</t>
        </is>
      </c>
      <c r="B33" s="2" t="n">
        <v>3</v>
      </c>
      <c r="C33" s="2" t="inlineStr">
        <is>
          <t>[3+2] recombination</t>
        </is>
      </c>
      <c r="D33" s="2" t="inlineStr">
        <is>
          <t>the carbonyl oxide's ends</t>
        </is>
      </c>
      <c r="E33" s="2" t="inlineStr">
        <is>
          <t>the C=O of acetone</t>
        </is>
      </c>
      <c r="F33" s="2" t="inlineStr">
        <is>
          <t>C–O; O–C</t>
        </is>
      </c>
      <c r="G33" s="2" t="inlineStr">
        <is>
          <t>C=O (π)</t>
        </is>
      </c>
      <c r="H33" s="2" t="n"/>
      <c r="I33" s="2" t="n"/>
      <c r="J33" s="2" t="n"/>
      <c r="K33" s="2" t="n"/>
      <c r="L33" s="2">
        <f>IF(AND(ISNUMBER(I33),ISNUMBER(K33)),K33-I33,"")</f>
        <v/>
      </c>
      <c r="M33" s="4">
        <f>IF(ISNUMBER(L33),10^L33,"")</f>
        <v/>
      </c>
      <c r="N33" s="2">
        <f>IF(ISNUMBER(L33),IF(L33&gt;=0,"downhill (favoured)","uphill (small amount)"),"")</f>
        <v/>
      </c>
      <c r="O33" s="2" t="n"/>
      <c r="P33" s="2" t="n"/>
      <c r="Q33" s="3" t="inlineStr">
        <is>
          <t>CC1OC(C)(C)OO1</t>
        </is>
      </c>
      <c r="R33" s="2" t="inlineStr">
        <is>
          <t>The ozonide (1,2,4-trioxolane).</t>
        </is>
      </c>
      <c r="S33" s="3" t="inlineStr">
        <is>
          <t>C[CH:1]=[O+:2][O-:3].C[C:4](C)=[O:5]</t>
        </is>
      </c>
      <c r="T33" s="3" t="inlineStr">
        <is>
          <t>3&gt;4; 4-5&gt;1-5; 1-2&gt;2</t>
        </is>
      </c>
    </row>
    <row r="34">
      <c r="A34" s="2" t="inlineStr">
        <is>
          <t>R011</t>
        </is>
      </c>
      <c r="B34" s="2" t="n">
        <v>4</v>
      </c>
      <c r="C34" s="2" t="inlineStr">
        <is>
          <t>reduction (Me2S)</t>
        </is>
      </c>
      <c r="D34" s="2" t="inlineStr">
        <is>
          <t>a lone pair on the S of Me2S</t>
        </is>
      </c>
      <c r="E34" s="2" t="inlineStr">
        <is>
          <t>an O of the O–O bond; the O–O electrons break the ring</t>
        </is>
      </c>
      <c r="F34" s="2" t="inlineStr">
        <is>
          <t>S=O</t>
        </is>
      </c>
      <c r="G34" s="2" t="inlineStr">
        <is>
          <t>O–O</t>
        </is>
      </c>
      <c r="H34" s="2" t="n"/>
      <c r="I34" s="2" t="n"/>
      <c r="J34" s="2" t="n"/>
      <c r="K34" s="2" t="n"/>
      <c r="L34" s="2">
        <f>IF(AND(ISNUMBER(I34),ISNUMBER(K34)),K34-I34,"")</f>
        <v/>
      </c>
      <c r="M34" s="4">
        <f>IF(ISNUMBER(L34),10^L34,"")</f>
        <v/>
      </c>
      <c r="N34" s="2">
        <f>IF(ISNUMBER(L34),IF(L34&gt;=0,"downhill (favoured)","uphill (small amount)"),"")</f>
        <v/>
      </c>
      <c r="O34" s="2" t="n"/>
      <c r="P34" s="2" t="n"/>
      <c r="Q34" s="3" t="inlineStr">
        <is>
          <t>CC=O.CC(C)=O.CS(C)=O</t>
        </is>
      </c>
      <c r="R34" s="2" t="inlineStr">
        <is>
          <t>Two carbonyls (acetaldehyde + acetone) and DMSO.</t>
        </is>
      </c>
      <c r="S34" s="3" t="inlineStr">
        <is>
          <t>CC1O[C:4](C)(C)[O:3][O:2]1.C[S:5]C</t>
        </is>
      </c>
      <c r="T34" s="3" t="inlineStr"/>
    </row>
    <row r="35">
      <c r="A35" s="2" t="inlineStr">
        <is>
          <t>R012</t>
        </is>
      </c>
      <c r="B35" s="2" t="n">
        <v>1</v>
      </c>
      <c r="C35" s="2" t="inlineStr">
        <is>
          <t>initiation (radical)</t>
        </is>
      </c>
      <c r="D35" s="2" t="inlineStr">
        <is>
          <t>light splits a Br–Br bond (NBS keeps a trace of Br2): one electron to each Br</t>
        </is>
      </c>
      <c r="E35" s="2" t="inlineStr">
        <is>
          <t>two Br•</t>
        </is>
      </c>
      <c r="F35" s="2" t="inlineStr"/>
      <c r="G35" s="2" t="inlineStr">
        <is>
          <t>Br–Br</t>
        </is>
      </c>
      <c r="H35" s="2" t="n"/>
      <c r="I35" s="2" t="n"/>
      <c r="J35" s="2" t="n"/>
      <c r="K35" s="2" t="n"/>
      <c r="L35" s="2">
        <f>IF(AND(ISNUMBER(I35),ISNUMBER(K35)),K35-I35,"")</f>
        <v/>
      </c>
      <c r="M35" s="4">
        <f>IF(ISNUMBER(L35),10^L35,"")</f>
        <v/>
      </c>
      <c r="N35" s="2">
        <f>IF(ISNUMBER(L35),IF(L35&gt;=0,"downhill (favoured)","uphill (small amount)"),"")</f>
        <v/>
      </c>
      <c r="O35" s="2" t="n"/>
      <c r="P35" s="2" t="n"/>
      <c r="Q35" s="3" t="inlineStr">
        <is>
          <t>[Br]</t>
        </is>
      </c>
      <c r="R35" s="2" t="inlineStr"/>
      <c r="S35" s="3" t="inlineStr">
        <is>
          <t>[Br:1][Br:2]</t>
        </is>
      </c>
      <c r="T35" s="3" t="inlineStr">
        <is>
          <t>~1-2&gt;1; ~1-2&gt;2</t>
        </is>
      </c>
    </row>
    <row r="36">
      <c r="A36" s="2" t="inlineStr">
        <is>
          <t>R012</t>
        </is>
      </c>
      <c r="B36" s="2" t="n">
        <v>2</v>
      </c>
      <c r="C36" s="2" t="inlineStr">
        <is>
          <t>allylic H abstraction</t>
        </is>
      </c>
      <c r="D36" s="2" t="inlineStr">
        <is>
          <t>Br• and one electron of an allylic C–H</t>
        </is>
      </c>
      <c r="E36" s="2" t="inlineStr">
        <is>
          <t>a new H–Br bond; the other electron stays on C (allylic radical)</t>
        </is>
      </c>
      <c r="F36" s="2" t="inlineStr">
        <is>
          <t>H–Br</t>
        </is>
      </c>
      <c r="G36" s="2" t="inlineStr">
        <is>
          <t>C–H (allylic)</t>
        </is>
      </c>
      <c r="H36" s="2" t="n"/>
      <c r="I36" s="2" t="n"/>
      <c r="J36" s="2" t="n"/>
      <c r="K36" s="2" t="n"/>
      <c r="L36" s="2">
        <f>IF(AND(ISNUMBER(I36),ISNUMBER(K36)),K36-I36,"")</f>
        <v/>
      </c>
      <c r="M36" s="4">
        <f>IF(ISNUMBER(L36),10^L36,"")</f>
        <v/>
      </c>
      <c r="N36" s="2">
        <f>IF(ISNUMBER(L36),IF(L36&gt;=0,"downhill (favoured)","uphill (small amount)"),"")</f>
        <v/>
      </c>
      <c r="O36" s="2" t="n"/>
      <c r="P36" s="2" t="n"/>
      <c r="Q36" s="3" t="inlineStr">
        <is>
          <t>[CH]1C=CCCC1.Br</t>
        </is>
      </c>
      <c r="R36" s="2" t="inlineStr">
        <is>
          <t>The allylic radical is resonance-stabilised (the electron is shared by both ends); the allylic C–H is weak (≈ 89 kcal/mol).</t>
        </is>
      </c>
      <c r="S36" s="3" t="inlineStr">
        <is>
          <t>[Br:1].[CH:2]1=[CH:3][CH:4]([H:5])CCC1</t>
        </is>
      </c>
      <c r="T36" s="3" t="inlineStr">
        <is>
          <t>~1&gt;1-5; ~4-5&gt;1-5; ~4-5&gt;4</t>
        </is>
      </c>
    </row>
    <row r="37">
      <c r="A37" s="2" t="inlineStr">
        <is>
          <t>R012</t>
        </is>
      </c>
      <c r="B37" s="2" t="n">
        <v>3</v>
      </c>
      <c r="C37" s="2" t="inlineStr">
        <is>
          <t>Br2 regenerated</t>
        </is>
      </c>
      <c r="D37" s="2" t="inlineStr">
        <is>
          <t>the HBr just formed reacts with NBS</t>
        </is>
      </c>
      <c r="E37" s="2" t="inlineStr">
        <is>
          <t>Br2 and succinimide</t>
        </is>
      </c>
      <c r="F37" s="2" t="inlineStr">
        <is>
          <t>Br–Br</t>
        </is>
      </c>
      <c r="G37" s="2" t="inlineStr">
        <is>
          <t>N–Br; H–Br</t>
        </is>
      </c>
      <c r="H37" s="2" t="n"/>
      <c r="I37" s="2" t="n"/>
      <c r="J37" s="2" t="n"/>
      <c r="K37" s="2" t="n"/>
      <c r="L37" s="2">
        <f>IF(AND(ISNUMBER(I37),ISNUMBER(K37)),K37-I37,"")</f>
        <v/>
      </c>
      <c r="M37" s="4">
        <f>IF(ISNUMBER(L37),10^L37,"")</f>
        <v/>
      </c>
      <c r="N37" s="2">
        <f>IF(ISNUMBER(L37),IF(L37&gt;=0,"downhill (favoured)","uphill (small amount)"),"")</f>
        <v/>
      </c>
      <c r="O37" s="2" t="n"/>
      <c r="P37" s="2" t="n"/>
      <c r="Q37" s="3" t="inlineStr">
        <is>
          <t>O=C1CCC(=O)N1.BrBr</t>
        </is>
      </c>
      <c r="R37" s="2" t="inlineStr">
        <is>
          <t>NBS keeps Br2 very low, so Br2 does not add across the C=C.</t>
        </is>
      </c>
      <c r="S37" s="3" t="inlineStr">
        <is>
          <t>[H:1][Br:2].O=C1CCC(=O)[N:3]1[Br:4]</t>
        </is>
      </c>
      <c r="T37" s="3" t="inlineStr">
        <is>
          <t>2&gt;4; 3-4&gt;3; 3&gt;1; 1-2&gt;2</t>
        </is>
      </c>
    </row>
    <row r="38">
      <c r="A38" s="2" t="inlineStr">
        <is>
          <t>R012</t>
        </is>
      </c>
      <c r="B38" s="2" t="n">
        <v>4</v>
      </c>
      <c r="C38" s="2" t="inlineStr">
        <is>
          <t>bromine transfer</t>
        </is>
      </c>
      <c r="D38" s="2" t="inlineStr">
        <is>
          <t>the radical C and one electron of a Br–Br bond</t>
        </is>
      </c>
      <c r="E38" s="2" t="inlineStr">
        <is>
          <t>a new C–Br bond; the other Br becomes Br•</t>
        </is>
      </c>
      <c r="F38" s="2" t="inlineStr">
        <is>
          <t>C–Br</t>
        </is>
      </c>
      <c r="G38" s="2" t="inlineStr">
        <is>
          <t>Br–Br</t>
        </is>
      </c>
      <c r="H38" s="2" t="n"/>
      <c r="I38" s="2" t="n"/>
      <c r="J38" s="2" t="n"/>
      <c r="K38" s="2" t="n"/>
      <c r="L38" s="2">
        <f>IF(AND(ISNUMBER(I38),ISNUMBER(K38)),K38-I38,"")</f>
        <v/>
      </c>
      <c r="M38" s="4">
        <f>IF(ISNUMBER(L38),10^L38,"")</f>
        <v/>
      </c>
      <c r="N38" s="2">
        <f>IF(ISNUMBER(L38),IF(L38&gt;=0,"downhill (favoured)","uphill (small amount)"),"")</f>
        <v/>
      </c>
      <c r="O38" s="2" t="n"/>
      <c r="P38" s="2" t="n"/>
      <c r="Q38" s="3" t="inlineStr">
        <is>
          <t>BrC1C=CCCC1.[Br]</t>
        </is>
      </c>
      <c r="R38" s="2" t="inlineStr">
        <is>
          <t>Br• carries the chain on.</t>
        </is>
      </c>
      <c r="S38" s="3" t="inlineStr">
        <is>
          <t>[CH:1]1C=CCCC1.[Br:2][Br:3]</t>
        </is>
      </c>
      <c r="T38" s="3" t="inlineStr">
        <is>
          <t>~1&gt;1-2; ~2-3&gt;1-2; ~2-3&gt;3</t>
        </is>
      </c>
    </row>
    <row r="39">
      <c r="A39" s="2" t="inlineStr">
        <is>
          <t>R013</t>
        </is>
      </c>
      <c r="B39" s="2" t="n">
        <v>1</v>
      </c>
      <c r="C39" s="2" t="inlineStr">
        <is>
          <t>first H2 adds (syn, on Pd)</t>
        </is>
      </c>
      <c r="D39" s="2" t="inlineStr">
        <is>
          <t>the H–H electrons via the Pd surface</t>
        </is>
      </c>
      <c r="E39" s="2" t="inlineStr">
        <is>
          <t>both alkyne C (one π bond)</t>
        </is>
      </c>
      <c r="F39" s="2" t="inlineStr">
        <is>
          <t>2 × C–H</t>
        </is>
      </c>
      <c r="G39" s="2" t="inlineStr">
        <is>
          <t>one C≡C π bond</t>
        </is>
      </c>
      <c r="H39" s="2" t="n"/>
      <c r="I39" s="2" t="n"/>
      <c r="J39" s="2" t="n"/>
      <c r="K39" s="2" t="n"/>
      <c r="L39" s="2">
        <f>IF(AND(ISNUMBER(I39),ISNUMBER(K39)),K39-I39,"")</f>
        <v/>
      </c>
      <c r="M39" s="4">
        <f>IF(ISNUMBER(L39),10^L39,"")</f>
        <v/>
      </c>
      <c r="N39" s="2">
        <f>IF(ISNUMBER(L39),IF(L39&gt;=0,"downhill (favoured)","uphill (small amount)"),"")</f>
        <v/>
      </c>
      <c r="O39" s="2" t="n"/>
      <c r="P39" s="2" t="n"/>
      <c r="Q39" s="3" t="inlineStr">
        <is>
          <t>C/C=C\C</t>
        </is>
      </c>
      <c r="R39" s="2" t="inlineStr">
        <is>
          <t>A cis-alkene first.</t>
        </is>
      </c>
      <c r="S39" s="3" t="inlineStr">
        <is>
          <t>C[C:1]#[C:2]C.[H:3][H:4]</t>
        </is>
      </c>
      <c r="T39" s="3" t="inlineStr">
        <is>
          <t>3-4&gt;1-3; 1-2&gt;2-4</t>
        </is>
      </c>
    </row>
    <row r="40">
      <c r="A40" s="2" t="inlineStr">
        <is>
          <t>R013</t>
        </is>
      </c>
      <c r="B40" s="2" t="n">
        <v>2</v>
      </c>
      <c r="C40" s="2" t="inlineStr">
        <is>
          <t>second H2 adds (syn, on Pd)</t>
        </is>
      </c>
      <c r="D40" s="2" t="inlineStr">
        <is>
          <t>the H–H electrons via the Pd surface</t>
        </is>
      </c>
      <c r="E40" s="2" t="inlineStr">
        <is>
          <t>both alkene C</t>
        </is>
      </c>
      <c r="F40" s="2" t="inlineStr">
        <is>
          <t>2 × C–H</t>
        </is>
      </c>
      <c r="G40" s="2" t="inlineStr">
        <is>
          <t>C=C (π)</t>
        </is>
      </c>
      <c r="H40" s="2" t="n"/>
      <c r="I40" s="2" t="n"/>
      <c r="J40" s="2" t="n"/>
      <c r="K40" s="2" t="n"/>
      <c r="L40" s="2">
        <f>IF(AND(ISNUMBER(I40),ISNUMBER(K40)),K40-I40,"")</f>
        <v/>
      </c>
      <c r="M40" s="4">
        <f>IF(ISNUMBER(L40),10^L40,"")</f>
        <v/>
      </c>
      <c r="N40" s="2">
        <f>IF(ISNUMBER(L40),IF(L40&gt;=0,"downhill (favoured)","uphill (small amount)"),"")</f>
        <v/>
      </c>
      <c r="O40" s="2" t="n"/>
      <c r="P40" s="2" t="n"/>
      <c r="Q40" s="3" t="inlineStr">
        <is>
          <t>CCCC</t>
        </is>
      </c>
      <c r="R40" s="2" t="inlineStr">
        <is>
          <t>Plain Pd keeps going to the alkane.</t>
        </is>
      </c>
      <c r="S40" s="3" t="inlineStr">
        <is>
          <t>C/[CH:1]=[CH:2]\C.[H:3][H:4]</t>
        </is>
      </c>
      <c r="T40" s="3" t="inlineStr">
        <is>
          <t>3-4&gt;1-3; 1-2&gt;2-4</t>
        </is>
      </c>
    </row>
    <row r="41">
      <c r="A41" s="2" t="inlineStr">
        <is>
          <t>R014</t>
        </is>
      </c>
      <c r="B41" s="2" t="n">
        <v>1</v>
      </c>
      <c r="C41" s="2" t="inlineStr">
        <is>
          <t>H2 adds to the poisoned Pd</t>
        </is>
      </c>
      <c r="D41" s="2" t="inlineStr">
        <is>
          <t>the H–H bond's electrons</t>
        </is>
      </c>
      <c r="E41" s="2" t="inlineStr">
        <is>
          <t>the Pd surface: two Pd–H bonds</t>
        </is>
      </c>
      <c r="F41" s="2" t="inlineStr">
        <is>
          <t>2 × Pd–H</t>
        </is>
      </c>
      <c r="G41" s="2" t="inlineStr">
        <is>
          <t>H–H</t>
        </is>
      </c>
      <c r="H41" s="2" t="n"/>
      <c r="I41" s="2" t="n"/>
      <c r="J41" s="2" t="n"/>
      <c r="K41" s="2" t="n"/>
      <c r="L41" s="2">
        <f>IF(AND(ISNUMBER(I41),ISNUMBER(K41)),K41-I41,"")</f>
        <v/>
      </c>
      <c r="M41" s="4">
        <f>IF(ISNUMBER(L41),10^L41,"")</f>
        <v/>
      </c>
      <c r="N41" s="2">
        <f>IF(ISNUMBER(L41),IF(L41&gt;=0,"downhill (favoured)","uphill (small amount)"),"")</f>
        <v/>
      </c>
      <c r="O41" s="2" t="n"/>
      <c r="P41" s="2" t="n"/>
      <c r="Q41" s="3" t="inlineStr">
        <is>
          <t>[H][Pd][H]</t>
        </is>
      </c>
      <c r="R41" s="2" t="inlineStr"/>
      <c r="S41" s="3" t="inlineStr">
        <is>
          <t>[H:1][H:2].[Pd:3]</t>
        </is>
      </c>
      <c r="T41" s="3" t="inlineStr">
        <is>
          <t>1-2&gt;2-3; 3&gt;1</t>
        </is>
      </c>
    </row>
    <row r="42">
      <c r="A42" s="2" t="inlineStr">
        <is>
          <t>R014</t>
        </is>
      </c>
      <c r="B42" s="2" t="n">
        <v>2</v>
      </c>
      <c r="C42" s="2" t="inlineStr">
        <is>
          <t>syn addition of 2 H</t>
        </is>
      </c>
      <c r="D42" s="2" t="inlineStr">
        <is>
          <t>the Pd–H bond electrons</t>
        </is>
      </c>
      <c r="E42" s="2" t="inlineStr">
        <is>
          <t>both alkyne C from the same face</t>
        </is>
      </c>
      <c r="F42" s="2" t="inlineStr">
        <is>
          <t>2 × C–H</t>
        </is>
      </c>
      <c r="G42" s="2" t="inlineStr">
        <is>
          <t>one C≡C π bond</t>
        </is>
      </c>
      <c r="H42" s="2" t="n"/>
      <c r="I42" s="2" t="n"/>
      <c r="J42" s="2" t="n"/>
      <c r="K42" s="2" t="n"/>
      <c r="L42" s="2">
        <f>IF(AND(ISNUMBER(I42),ISNUMBER(K42)),K42-I42,"")</f>
        <v/>
      </c>
      <c r="M42" s="4">
        <f>IF(ISNUMBER(L42),10^L42,"")</f>
        <v/>
      </c>
      <c r="N42" s="2">
        <f>IF(ISNUMBER(L42),IF(L42&gt;=0,"downhill (favoured)","uphill (small amount)"),"")</f>
        <v/>
      </c>
      <c r="O42" s="2" t="n"/>
      <c r="P42" s="2" t="n"/>
      <c r="Q42" s="3" t="inlineStr">
        <is>
          <t>C/C=C\C</t>
        </is>
      </c>
      <c r="R42" s="2" t="inlineStr">
        <is>
          <t>Lead and quinoline weaken the catalyst so the alkene comes off and is not reduced: the cis (Z) alkene.</t>
        </is>
      </c>
      <c r="S42" s="3" t="inlineStr">
        <is>
          <t>[H:1][Pd:3][H:2].C[C:4]#[C:5]C</t>
        </is>
      </c>
      <c r="T42" s="3" t="inlineStr">
        <is>
          <t>3-1&gt;1-4; 4-5&gt;5-2; 3-2&gt;3</t>
        </is>
      </c>
    </row>
    <row r="43">
      <c r="A43" s="2" t="inlineStr">
        <is>
          <t>R015</t>
        </is>
      </c>
      <c r="B43" s="2" t="n">
        <v>1</v>
      </c>
      <c r="C43" s="2" t="inlineStr">
        <is>
          <t>electron transfer</t>
        </is>
      </c>
      <c r="D43" s="2" t="inlineStr">
        <is>
          <t>one electron from Na</t>
        </is>
      </c>
      <c r="E43" s="2" t="inlineStr">
        <is>
          <t>the alkyne's π* orbital</t>
        </is>
      </c>
      <c r="F43" s="2" t="inlineStr"/>
      <c r="G43" s="2" t="inlineStr"/>
      <c r="H43" s="2" t="n"/>
      <c r="I43" s="2" t="n"/>
      <c r="J43" s="2" t="n"/>
      <c r="K43" s="2" t="n"/>
      <c r="L43" s="2">
        <f>IF(AND(ISNUMBER(I43),ISNUMBER(K43)),K43-I43,"")</f>
        <v/>
      </c>
      <c r="M43" s="4">
        <f>IF(ISNUMBER(L43),10^L43,"")</f>
        <v/>
      </c>
      <c r="N43" s="2">
        <f>IF(ISNUMBER(L43),IF(L43&gt;=0,"downhill (favoured)","uphill (small amount)"),"")</f>
        <v/>
      </c>
      <c r="O43" s="2" t="n"/>
      <c r="P43" s="2" t="n"/>
      <c r="Q43" s="3" t="inlineStr">
        <is>
          <t>C[C-]=[C]C</t>
        </is>
      </c>
      <c r="R43" s="2" t="inlineStr">
        <is>
          <t>A radical anion.</t>
        </is>
      </c>
      <c r="S43" s="3" t="inlineStr">
        <is>
          <t>C[C:1]#[C:2]C.[Na:3]</t>
        </is>
      </c>
      <c r="T43" s="3" t="inlineStr">
        <is>
          <t>1-2&gt;1; ~3&gt;2</t>
        </is>
      </c>
    </row>
    <row r="44">
      <c r="A44" s="2" t="inlineStr">
        <is>
          <t>R015</t>
        </is>
      </c>
      <c r="B44" s="2" t="n">
        <v>2</v>
      </c>
      <c r="C44" s="2" t="inlineStr">
        <is>
          <t>protonation</t>
        </is>
      </c>
      <c r="D44" s="2" t="inlineStr">
        <is>
          <t>the carbanion's lone pair</t>
        </is>
      </c>
      <c r="E44" s="2" t="inlineStr">
        <is>
          <t>an H of NH3; that N–H bond's electrons go to N (NH2⁻)</t>
        </is>
      </c>
      <c r="F44" s="2" t="inlineStr">
        <is>
          <t>C–H</t>
        </is>
      </c>
      <c r="G44" s="2" t="inlineStr">
        <is>
          <t>N–H</t>
        </is>
      </c>
      <c r="H44" s="2" t="inlineStr">
        <is>
          <t>NH3</t>
        </is>
      </c>
      <c r="I44" s="2" t="n">
        <v>38</v>
      </c>
      <c r="J44" s="2" t="inlineStr">
        <is>
          <t>the alkene C–H (vinyl)</t>
        </is>
      </c>
      <c r="K44" s="2" t="n">
        <v>44</v>
      </c>
      <c r="L44" s="2">
        <f>IF(AND(ISNUMBER(I44),ISNUMBER(K44)),K44-I44,"")</f>
        <v/>
      </c>
      <c r="M44" s="4">
        <f>IF(ISNUMBER(L44),10^L44,"")</f>
        <v/>
      </c>
      <c r="N44" s="2">
        <f>IF(ISNUMBER(L44),IF(L44&gt;=0,"downhill (favoured)","uphill (small amount)"),"")</f>
        <v/>
      </c>
      <c r="O44" s="2" t="n"/>
      <c r="P44" s="2" t="n"/>
      <c r="Q44" s="3" t="inlineStr">
        <is>
          <t>CC=[C]C.[NH2-]</t>
        </is>
      </c>
      <c r="R44" s="2" t="inlineStr">
        <is>
          <t>A vinyl radical; the groups go trans to keep apart.</t>
        </is>
      </c>
      <c r="S44" s="3" t="inlineStr">
        <is>
          <t>C[C-:1]=[C:2]C.[NH2:3][H:4]</t>
        </is>
      </c>
      <c r="T44" s="3" t="inlineStr">
        <is>
          <t>1&gt;1-4; 4-3&gt;3</t>
        </is>
      </c>
    </row>
    <row r="45">
      <c r="A45" s="2" t="inlineStr">
        <is>
          <t>R015</t>
        </is>
      </c>
      <c r="B45" s="2" t="n">
        <v>3</v>
      </c>
      <c r="C45" s="2" t="inlineStr">
        <is>
          <t>second electron transfer</t>
        </is>
      </c>
      <c r="D45" s="2" t="inlineStr">
        <is>
          <t>one electron from Na</t>
        </is>
      </c>
      <c r="E45" s="2" t="inlineStr">
        <is>
          <t>the vinyl radical</t>
        </is>
      </c>
      <c r="F45" s="2" t="inlineStr"/>
      <c r="G45" s="2" t="inlineStr"/>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The trans vinyl anion (more stable).</t>
        </is>
      </c>
      <c r="S45" s="3" t="inlineStr">
        <is>
          <t>C[CH:1]=[C:2]C.[Na:3]</t>
        </is>
      </c>
      <c r="T45" s="3" t="inlineStr">
        <is>
          <t>~3&gt;2</t>
        </is>
      </c>
    </row>
    <row r="46">
      <c r="A46" s="2" t="inlineStr">
        <is>
          <t>R015</t>
        </is>
      </c>
      <c r="B46" s="2" t="n">
        <v>4</v>
      </c>
      <c r="C46" s="2" t="inlineStr">
        <is>
          <t>protonation</t>
        </is>
      </c>
      <c r="D46" s="2" t="inlineStr">
        <is>
          <t>the vinyl anion's lone pair</t>
        </is>
      </c>
      <c r="E46" s="2" t="inlineStr">
        <is>
          <t>an H of NH3</t>
        </is>
      </c>
      <c r="F46" s="2" t="inlineStr">
        <is>
          <t>C–H</t>
        </is>
      </c>
      <c r="G46" s="2" t="inlineStr">
        <is>
          <t>N–H</t>
        </is>
      </c>
      <c r="H46" s="2" t="inlineStr">
        <is>
          <t>NH3</t>
        </is>
      </c>
      <c r="I46" s="2" t="n">
        <v>38</v>
      </c>
      <c r="J46" s="2" t="inlineStr">
        <is>
          <t>the alkene C–H (vinyl)</t>
        </is>
      </c>
      <c r="K46" s="2" t="n">
        <v>44</v>
      </c>
      <c r="L46" s="2">
        <f>IF(AND(ISNUMBER(I46),ISNUMBER(K46)),K46-I46,"")</f>
        <v/>
      </c>
      <c r="M46" s="4">
        <f>IF(ISNUMBER(L46),10^L46,"")</f>
        <v/>
      </c>
      <c r="N46" s="2">
        <f>IF(ISNUMBER(L46),IF(L46&gt;=0,"downhill (favoured)","uphill (small amount)"),"")</f>
        <v/>
      </c>
      <c r="O46" s="2" t="n"/>
      <c r="P46" s="2" t="n"/>
      <c r="Q46" s="3" t="inlineStr">
        <is>
          <t>C/C=C/C.[NH2-]</t>
        </is>
      </c>
      <c r="R46" s="2" t="inlineStr">
        <is>
          <t>The E (trans) alkene.</t>
        </is>
      </c>
      <c r="S46" s="3" t="inlineStr">
        <is>
          <t>C/[CH:1]=[C-:2]/C.[NH2:3][H:4]</t>
        </is>
      </c>
      <c r="T46" s="3" t="inlineStr">
        <is>
          <t>2&gt;2-4; 4-3&gt;3</t>
        </is>
      </c>
    </row>
    <row r="47">
      <c r="A47" s="2" t="inlineStr">
        <is>
          <t>R016</t>
        </is>
      </c>
      <c r="B47" s="2" t="n">
        <v>1</v>
      </c>
      <c r="C47" s="2" t="inlineStr">
        <is>
          <t>Hg²⁺ adds to the alkyne</t>
        </is>
      </c>
      <c r="D47" s="2" t="inlineStr">
        <is>
          <t>the C≡C π electrons</t>
        </is>
      </c>
      <c r="E47" s="2" t="inlineStr">
        <is>
          <t>Hg²⁺ (mercury bonds to the terminal C)</t>
        </is>
      </c>
      <c r="F47" s="2" t="inlineStr">
        <is>
          <t>C–Hg</t>
        </is>
      </c>
      <c r="G47" s="2" t="inlineStr">
        <is>
          <t>C≡C (one π)</t>
        </is>
      </c>
      <c r="H47" s="2" t="n"/>
      <c r="I47" s="2" t="n"/>
      <c r="J47" s="2" t="n"/>
      <c r="K47" s="2" t="n"/>
      <c r="L47" s="2">
        <f>IF(AND(ISNUMBER(I47),ISNUMBER(K47)),K47-I47,"")</f>
        <v/>
      </c>
      <c r="M47" s="4">
        <f>IF(ISNUMBER(L47),10^L47,"")</f>
        <v/>
      </c>
      <c r="N47" s="2">
        <f>IF(ISNUMBER(L47),IF(L47&gt;=0,"downhill (favoured)","uphill (small amount)"),"")</f>
        <v/>
      </c>
      <c r="O47" s="2" t="n"/>
      <c r="P47" s="2" t="n"/>
      <c r="Q47" s="3" t="inlineStr">
        <is>
          <t>C[C+]=C[Hg+]</t>
        </is>
      </c>
      <c r="R47" s="2" t="inlineStr">
        <is>
          <t>Positive charge on the more substituted C.</t>
        </is>
      </c>
      <c r="S47" s="3" t="inlineStr">
        <is>
          <t>C[C:1]#[CH:2].[Hg+2:3]</t>
        </is>
      </c>
      <c r="T47" s="3" t="inlineStr">
        <is>
          <t>1-2&gt;2-3</t>
        </is>
      </c>
    </row>
    <row r="48">
      <c r="A48" s="2" t="inlineStr">
        <is>
          <t>R016</t>
        </is>
      </c>
      <c r="B48" s="2" t="n">
        <v>2</v>
      </c>
      <c r="C48" s="2" t="inlineStr">
        <is>
          <t>water adds</t>
        </is>
      </c>
      <c r="D48" s="2" t="inlineStr">
        <is>
          <t>a lone pair on water</t>
        </is>
      </c>
      <c r="E48" s="2" t="inlineStr">
        <is>
          <t>the more substituted (cationic) C</t>
        </is>
      </c>
      <c r="F48" s="2" t="inlineStr">
        <is>
          <t>C–O</t>
        </is>
      </c>
      <c r="G48" s="2" t="inlineStr"/>
      <c r="H48" s="2" t="n"/>
      <c r="I48" s="2" t="n"/>
      <c r="J48" s="2" t="n"/>
      <c r="K48" s="2" t="n"/>
      <c r="L48" s="2">
        <f>IF(AND(ISNUMBER(I48),ISNUMBER(K48)),K48-I48,"")</f>
        <v/>
      </c>
      <c r="M48" s="4">
        <f>IF(ISNUMBER(L48),10^L48,"")</f>
        <v/>
      </c>
      <c r="N48" s="2">
        <f>IF(ISNUMBER(L48),IF(L48&gt;=0,"downhill (favoured)","uphill (small amount)"),"")</f>
        <v/>
      </c>
      <c r="O48" s="2" t="n"/>
      <c r="P48" s="2" t="n"/>
      <c r="Q48" s="3" t="inlineStr">
        <is>
          <t>CC([OH2+])=C[Hg+]</t>
        </is>
      </c>
      <c r="R48" s="2" t="inlineStr">
        <is>
          <t>Markovnikov.</t>
        </is>
      </c>
      <c r="S48" s="3" t="inlineStr">
        <is>
          <t>C[C+:1]=C[Hg+].[OH2:2]</t>
        </is>
      </c>
      <c r="T48" s="3" t="inlineStr">
        <is>
          <t>2&gt;1</t>
        </is>
      </c>
    </row>
    <row r="49">
      <c r="A49" s="2" t="inlineStr">
        <is>
          <t>R016</t>
        </is>
      </c>
      <c r="B49" s="2" t="n">
        <v>3</v>
      </c>
      <c r="C49" s="2" t="inlineStr">
        <is>
          <t>proton transfer</t>
        </is>
      </c>
      <c r="D49" s="2" t="inlineStr">
        <is>
          <t>a lone pair on another water</t>
        </is>
      </c>
      <c r="E49" s="2" t="inlineStr">
        <is>
          <t>an H on the oxonium O</t>
        </is>
      </c>
      <c r="F49" s="2" t="inlineStr">
        <is>
          <t>H–OH2⁺</t>
        </is>
      </c>
      <c r="G49" s="2" t="inlineStr">
        <is>
          <t>O–H</t>
        </is>
      </c>
      <c r="H49" s="2" t="inlineStr">
        <is>
          <t>the oxonium (R–OH2⁺)</t>
        </is>
      </c>
      <c r="I49" s="2" t="n">
        <v>-2</v>
      </c>
      <c r="J49" s="2" t="inlineStr">
        <is>
          <t>H3O⁺</t>
        </is>
      </c>
      <c r="K49" s="2" t="n">
        <v>-1.7</v>
      </c>
      <c r="L49" s="2">
        <f>IF(AND(ISNUMBER(I49),ISNUMBER(K49)),K49-I49,"")</f>
        <v/>
      </c>
      <c r="M49" s="4">
        <f>IF(ISNUMBER(L49),10^L49,"")</f>
        <v/>
      </c>
      <c r="N49" s="2">
        <f>IF(ISNUMBER(L49),IF(L49&gt;=0,"downhill (favoured)","uphill (small amount)"),"")</f>
        <v/>
      </c>
      <c r="O49" s="2" t="n"/>
      <c r="P49" s="2" t="n"/>
      <c r="Q49" s="3" t="inlineStr">
        <is>
          <t>CC(O)=C[Hg+].[OH3+]</t>
        </is>
      </c>
      <c r="R49" s="2" t="inlineStr"/>
      <c r="S49" s="3" t="inlineStr">
        <is>
          <t>CC(=C[Hg+])[O+:1]([H:2])[H].[OH2:3]</t>
        </is>
      </c>
      <c r="T49" s="3" t="inlineStr">
        <is>
          <t>3&gt;2; 2-1&gt;1</t>
        </is>
      </c>
    </row>
    <row r="50">
      <c r="A50" s="2" t="inlineStr">
        <is>
          <t>R016</t>
        </is>
      </c>
      <c r="B50" s="2" t="n">
        <v>4</v>
      </c>
      <c r="C50" s="2" t="inlineStr">
        <is>
          <t>protodemercuration</t>
        </is>
      </c>
      <c r="D50" s="2" t="inlineStr">
        <is>
          <t>the C=C π electrons (pushed by the O lone pair)</t>
        </is>
      </c>
      <c r="E50" s="2" t="inlineStr">
        <is>
          <t>an H of H3O⁺; the C–Hg bond's electrons go to Hg (Hg²⁺ leaves)</t>
        </is>
      </c>
      <c r="F50" s="2" t="inlineStr">
        <is>
          <t>C–H</t>
        </is>
      </c>
      <c r="G50" s="2" t="inlineStr">
        <is>
          <t>C–Hg</t>
        </is>
      </c>
      <c r="H50" s="2" t="n"/>
      <c r="I50" s="2" t="n"/>
      <c r="J50" s="2" t="n"/>
      <c r="K50" s="2" t="n"/>
      <c r="L50" s="2">
        <f>IF(AND(ISNUMBER(I50),ISNUMBER(K50)),K50-I50,"")</f>
        <v/>
      </c>
      <c r="M50" s="4">
        <f>IF(ISNUMBER(L50),10^L50,"")</f>
        <v/>
      </c>
      <c r="N50" s="2">
        <f>IF(ISNUMBER(L50),IF(L50&gt;=0,"downhill (favoured)","uphill (small amount)"),"")</f>
        <v/>
      </c>
      <c r="O50" s="2" t="n"/>
      <c r="P50" s="2" t="n"/>
      <c r="Q50" s="3" t="inlineStr">
        <is>
          <t>CC(O)=C</t>
        </is>
      </c>
      <c r="R50" s="2" t="inlineStr">
        <is>
          <t>An enol; Hg²⁺ is free again (catalytic).</t>
        </is>
      </c>
      <c r="S50" s="3" t="inlineStr">
        <is>
          <t>C[C:1]([OH:2])=[CH:3][Hg+:4].[H:5][OH2+:6]</t>
        </is>
      </c>
      <c r="T50" s="3" t="inlineStr">
        <is>
          <t>1-3&gt;3-5; 5-6&gt;6; 3-4&gt;1-3</t>
        </is>
      </c>
    </row>
    <row r="51">
      <c r="A51" s="2" t="inlineStr">
        <is>
          <t>R016</t>
        </is>
      </c>
      <c r="B51" s="2" t="n">
        <v>5</v>
      </c>
      <c r="C51" s="2" t="inlineStr">
        <is>
          <t>tautomerisation (keto–enol)</t>
        </is>
      </c>
      <c r="D51" s="2" t="inlineStr">
        <is>
          <t>the enol C=C π electrons, then the O–H</t>
        </is>
      </c>
      <c r="E51" s="2" t="inlineStr">
        <is>
          <t>an H⁺ onto the CH2 end, then off the O</t>
        </is>
      </c>
      <c r="F51" s="2" t="inlineStr">
        <is>
          <t>C–H; C=O</t>
        </is>
      </c>
      <c r="G51" s="2" t="inlineStr">
        <is>
          <t>O–H; C=C</t>
        </is>
      </c>
      <c r="H51" s="2" t="n"/>
      <c r="I51" s="2" t="n"/>
      <c r="J51" s="2" t="n"/>
      <c r="K51" s="2" t="n"/>
      <c r="L51" s="2">
        <f>IF(AND(ISNUMBER(I51),ISNUMBER(K51)),K51-I51,"")</f>
        <v/>
      </c>
      <c r="M51" s="4">
        <f>IF(ISNUMBER(L51),10^L51,"")</f>
        <v/>
      </c>
      <c r="N51" s="2">
        <f>IF(ISNUMBER(L51),IF(L51&gt;=0,"downhill (favoured)","uphill (small amount)"),"")</f>
        <v/>
      </c>
      <c r="O51" s="2" t="n"/>
      <c r="P51" s="2" t="n"/>
      <c r="Q51" s="3" t="inlineStr">
        <is>
          <t>CC(C)=O</t>
        </is>
      </c>
      <c r="R51" s="2" t="inlineStr">
        <is>
          <t>The keto form is far more stable (C=O is stronger than C=C); acetone.</t>
        </is>
      </c>
      <c r="S51" s="3" t="inlineStr">
        <is>
          <t>C[C:1]([O:2][H:7])=[CH2:4].[H:5][OH2+:6]</t>
        </is>
      </c>
      <c r="T51" s="3" t="inlineStr">
        <is>
          <t>1-4&gt;4-5; 5-6&gt;6; 2&gt;1-2; 6&gt;7; 7-2&gt;2</t>
        </is>
      </c>
    </row>
    <row r="52">
      <c r="A52" s="2" t="inlineStr">
        <is>
          <t>R017</t>
        </is>
      </c>
      <c r="B52" s="2" t="n">
        <v>1</v>
      </c>
      <c r="C52" s="2" t="inlineStr">
        <is>
          <t>Lewis acid activates Br2</t>
        </is>
      </c>
      <c r="D52" s="2" t="inlineStr">
        <is>
          <t>a lone pair on Br2</t>
        </is>
      </c>
      <c r="E52" s="2" t="inlineStr">
        <is>
          <t>Fe of FeBr3</t>
        </is>
      </c>
      <c r="F52" s="2" t="inlineStr">
        <is>
          <t>Br–Fe</t>
        </is>
      </c>
      <c r="G52" s="2" t="inlineStr"/>
      <c r="H52" s="2" t="n"/>
      <c r="I52" s="2" t="n"/>
      <c r="J52" s="2" t="n"/>
      <c r="K52" s="2" t="n"/>
      <c r="L52" s="2">
        <f>IF(AND(ISNUMBER(I52),ISNUMBER(K52)),K52-I52,"")</f>
        <v/>
      </c>
      <c r="M52" s="4">
        <f>IF(ISNUMBER(L52),10^L52,"")</f>
        <v/>
      </c>
      <c r="N52" s="2">
        <f>IF(ISNUMBER(L52),IF(L52&gt;=0,"downhill (favoured)","uphill (small amount)"),"")</f>
        <v/>
      </c>
      <c r="O52" s="2" t="n"/>
      <c r="P52" s="2" t="n"/>
      <c r="Q52" s="3" t="inlineStr">
        <is>
          <t>Br[Br+][Fe-](Br)(Br)Br</t>
        </is>
      </c>
      <c r="R52" s="2" t="inlineStr">
        <is>
          <t>Makes the outer Br strongly electrophilic.</t>
        </is>
      </c>
      <c r="S52" s="3" t="inlineStr">
        <is>
          <t>[Br:1][Br:2].Br[Fe:3](Br)Br</t>
        </is>
      </c>
      <c r="T52" s="3" t="inlineStr">
        <is>
          <t>2&gt;3</t>
        </is>
      </c>
    </row>
    <row r="53">
      <c r="A53" s="2" t="inlineStr">
        <is>
          <t>R017</t>
        </is>
      </c>
      <c r="B53" s="2" t="n">
        <v>2</v>
      </c>
      <c r="C53" s="2" t="inlineStr">
        <is>
          <t>electrophilic attack</t>
        </is>
      </c>
      <c r="D53" s="2" t="inlineStr">
        <is>
          <t>the ring's π electrons</t>
        </is>
      </c>
      <c r="E53" s="2" t="inlineStr">
        <is>
          <t>the outer Br; the Br–Br electrons go to FeBr4⁻</t>
        </is>
      </c>
      <c r="F53" s="2" t="inlineStr">
        <is>
          <t>C–Br</t>
        </is>
      </c>
      <c r="G53" s="2" t="inlineStr">
        <is>
          <t>Br–Br; ring π</t>
        </is>
      </c>
      <c r="H53" s="2" t="n"/>
      <c r="I53" s="2" t="n"/>
      <c r="J53" s="2" t="n"/>
      <c r="K53" s="2" t="n"/>
      <c r="L53" s="2">
        <f>IF(AND(ISNUMBER(I53),ISNUMBER(K53)),K53-I53,"")</f>
        <v/>
      </c>
      <c r="M53" s="4">
        <f>IF(ISNUMBER(L53),10^L53,"")</f>
        <v/>
      </c>
      <c r="N53" s="2">
        <f>IF(ISNUMBER(L53),IF(L53&gt;=0,"downhill (favoured)","uphill (small amount)"),"")</f>
        <v/>
      </c>
      <c r="O53" s="2" t="n"/>
      <c r="P53" s="2" t="n"/>
      <c r="Q53" s="3" t="inlineStr">
        <is>
          <t>BrC1C=CC=C[CH+]1.Br[Fe-](Br)(Br)Br</t>
        </is>
      </c>
      <c r="R53" s="2" t="inlineStr">
        <is>
          <t>Arenium ion (σ-complex): aromaticity is lost here, so this is the slow step.</t>
        </is>
      </c>
      <c r="S53" s="3" t="inlineStr">
        <is>
          <t>[CH:1]1=[CH:2]C=CC=C1.[Br:3][Br+:4][Fe-](Br)(Br)Br</t>
        </is>
      </c>
      <c r="T53" s="3" t="inlineStr">
        <is>
          <t>1-2&gt;1-3; 3-4&gt;4</t>
        </is>
      </c>
    </row>
    <row r="54">
      <c r="A54" s="2" t="inlineStr">
        <is>
          <t>R017</t>
        </is>
      </c>
      <c r="B54" s="2" t="n">
        <v>3</v>
      </c>
      <c r="C54" s="2" t="inlineStr">
        <is>
          <t>deprotonation (rearomatisation)</t>
        </is>
      </c>
      <c r="D54" s="2" t="inlineStr">
        <is>
          <t>a lone pair on a Br of FeBr4⁻</t>
        </is>
      </c>
      <c r="E54" s="2" t="inlineStr">
        <is>
          <t>the H on the sp3 ring C; the C–H electrons go back into the ring</t>
        </is>
      </c>
      <c r="F54" s="2" t="inlineStr">
        <is>
          <t>H–Br</t>
        </is>
      </c>
      <c r="G54" s="2" t="inlineStr">
        <is>
          <t>C–H</t>
        </is>
      </c>
      <c r="H54" s="2" t="n"/>
      <c r="I54" s="2" t="n"/>
      <c r="J54" s="2" t="n"/>
      <c r="K54" s="2" t="n"/>
      <c r="L54" s="2">
        <f>IF(AND(ISNUMBER(I54),ISNUMBER(K54)),K54-I54,"")</f>
        <v/>
      </c>
      <c r="M54" s="4">
        <f>IF(ISNUMBER(L54),10^L54,"")</f>
        <v/>
      </c>
      <c r="N54" s="2">
        <f>IF(ISNUMBER(L54),IF(L54&gt;=0,"downhill (favoured)","uphill (small amount)"),"")</f>
        <v/>
      </c>
      <c r="O54" s="2" t="n"/>
      <c r="P54" s="2" t="n"/>
      <c r="Q54" s="3" t="inlineStr">
        <is>
          <t>Brc1ccccc1.Br.Br[Fe](Br)Br</t>
        </is>
      </c>
      <c r="R54" s="2" t="inlineStr">
        <is>
          <t>Aromaticity restored; FeBr3 is regenerated (catalyst).</t>
        </is>
      </c>
      <c r="S54" s="3" t="inlineStr">
        <is>
          <t>Br[C:1]1([H:2])C=CC=C[CH+:3]1.[Br:4][Fe-:5](Br)(Br)Br</t>
        </is>
      </c>
      <c r="T54" s="3" t="inlineStr">
        <is>
          <t>5-4&gt;4; 4&gt;2; 2-1&gt;1-3</t>
        </is>
      </c>
    </row>
    <row r="55">
      <c r="A55" s="2" t="inlineStr">
        <is>
          <t>R018</t>
        </is>
      </c>
      <c r="B55" s="2" t="n">
        <v>1</v>
      </c>
      <c r="C55" s="2" t="inlineStr">
        <is>
          <t>proton transfer</t>
        </is>
      </c>
      <c r="D55" s="2" t="inlineStr">
        <is>
          <t>a lone pair on the OH of HNO3</t>
        </is>
      </c>
      <c r="E55" s="2" t="inlineStr">
        <is>
          <t>an H of H2SO4</t>
        </is>
      </c>
      <c r="F55" s="2" t="inlineStr">
        <is>
          <t>O–H</t>
        </is>
      </c>
      <c r="G55" s="2" t="inlineStr">
        <is>
          <t>O–H (H2SO4)</t>
        </is>
      </c>
      <c r="H55" s="2" t="n"/>
      <c r="I55" s="2" t="n"/>
      <c r="J55" s="2" t="n"/>
      <c r="K55" s="2" t="n"/>
      <c r="L55" s="2">
        <f>IF(AND(ISNUMBER(I55),ISNUMBER(K55)),K55-I55,"")</f>
        <v/>
      </c>
      <c r="M55" s="4">
        <f>IF(ISNUMBER(L55),10^L55,"")</f>
        <v/>
      </c>
      <c r="N55" s="2">
        <f>IF(ISNUMBER(L55),IF(L55&gt;=0,"downhill (favoured)","uphill (small amount)"),"")</f>
        <v/>
      </c>
      <c r="O55" s="2" t="n"/>
      <c r="P55" s="2" t="n"/>
      <c r="Q55" s="3" t="inlineStr">
        <is>
          <t>O=[N+]([O-])[OH2+].O=S(=O)([O-])O</t>
        </is>
      </c>
      <c r="R55" s="2" t="inlineStr">
        <is>
          <t>H2SO4 is the stronger acid and protonates HNO3.</t>
        </is>
      </c>
      <c r="S55" s="3" t="inlineStr">
        <is>
          <t>O=[N+]([O-])[OH:1].O=S(=O)(O)[O:2][H:3]</t>
        </is>
      </c>
      <c r="T55" s="3" t="inlineStr">
        <is>
          <t>1&gt;3; 3-2&gt;2</t>
        </is>
      </c>
    </row>
    <row r="56">
      <c r="A56" s="2" t="inlineStr">
        <is>
          <t>R018</t>
        </is>
      </c>
      <c r="B56" s="2" t="n">
        <v>2</v>
      </c>
      <c r="C56" s="2" t="inlineStr">
        <is>
          <t>loss of water</t>
        </is>
      </c>
      <c r="D56" s="2" t="inlineStr">
        <is>
          <t>the N–OH2⁺ bond's electrons</t>
        </is>
      </c>
      <c r="E56" s="2" t="inlineStr">
        <is>
          <t>the leaving O (water)</t>
        </is>
      </c>
      <c r="F56" s="2" t="inlineStr"/>
      <c r="G56" s="2" t="inlineStr">
        <is>
          <t>N–O</t>
        </is>
      </c>
      <c r="H56" s="2" t="n"/>
      <c r="I56" s="2" t="n"/>
      <c r="J56" s="2" t="n"/>
      <c r="K56" s="2" t="n"/>
      <c r="L56" s="2">
        <f>IF(AND(ISNUMBER(I56),ISNUMBER(K56)),K56-I56,"")</f>
        <v/>
      </c>
      <c r="M56" s="4">
        <f>IF(ISNUMBER(L56),10^L56,"")</f>
        <v/>
      </c>
      <c r="N56" s="2">
        <f>IF(ISNUMBER(L56),IF(L56&gt;=0,"downhill (favoured)","uphill (small amount)"),"")</f>
        <v/>
      </c>
      <c r="O56" s="2" t="inlineStr">
        <is>
          <t>water</t>
        </is>
      </c>
      <c r="P56" s="2" t="n">
        <v>-1.7</v>
      </c>
      <c r="Q56" s="3" t="inlineStr">
        <is>
          <t>O=[N+]=O.O</t>
        </is>
      </c>
      <c r="R56" s="2" t="inlineStr">
        <is>
          <t>The nitronium ion NO2⁺, the electrophile.</t>
        </is>
      </c>
      <c r="S56" s="3" t="inlineStr">
        <is>
          <t>[O-:3][N+:1](=O)[OH2+:2]</t>
        </is>
      </c>
      <c r="T56" s="3" t="inlineStr">
        <is>
          <t>3&gt;1-3; 1-2&gt;2</t>
        </is>
      </c>
    </row>
    <row r="57">
      <c r="A57" s="2" t="inlineStr">
        <is>
          <t>R018</t>
        </is>
      </c>
      <c r="B57" s="2" t="n">
        <v>3</v>
      </c>
      <c r="C57" s="2" t="inlineStr">
        <is>
          <t>electrophilic attack</t>
        </is>
      </c>
      <c r="D57" s="2" t="inlineStr">
        <is>
          <t>the ring's π electrons</t>
        </is>
      </c>
      <c r="E57" s="2" t="inlineStr">
        <is>
          <t>the N of NO2⁺; an N=O π bond's electrons go to O</t>
        </is>
      </c>
      <c r="F57" s="2" t="inlineStr">
        <is>
          <t>C–N</t>
        </is>
      </c>
      <c r="G57" s="2" t="inlineStr">
        <is>
          <t>ring π; N=O (π)</t>
        </is>
      </c>
      <c r="H57" s="2" t="n"/>
      <c r="I57" s="2" t="n"/>
      <c r="J57" s="2" t="n"/>
      <c r="K57" s="2" t="n"/>
      <c r="L57" s="2">
        <f>IF(AND(ISNUMBER(I57),ISNUMBER(K57)),K57-I57,"")</f>
        <v/>
      </c>
      <c r="M57" s="4">
        <f>IF(ISNUMBER(L57),10^L57,"")</f>
        <v/>
      </c>
      <c r="N57" s="2">
        <f>IF(ISNUMBER(L57),IF(L57&gt;=0,"downhill (favoured)","uphill (small amount)"),"")</f>
        <v/>
      </c>
      <c r="O57" s="2" t="n"/>
      <c r="P57" s="2" t="n"/>
      <c r="Q57" s="3" t="inlineStr">
        <is>
          <t>O=[N+]([O-])C1C=CC=C[CH+]1</t>
        </is>
      </c>
      <c r="R57" s="2" t="inlineStr">
        <is>
          <t>Arenium ion (slow step).</t>
        </is>
      </c>
      <c r="S57" s="3" t="inlineStr">
        <is>
          <t>[CH:1]1=[CH:2]C=CC=C1.[O:3]=[N+:4]=O</t>
        </is>
      </c>
      <c r="T57" s="3" t="inlineStr">
        <is>
          <t>1-2&gt;1-4; 4-3&gt;3</t>
        </is>
      </c>
    </row>
    <row r="58">
      <c r="A58" s="2" t="inlineStr">
        <is>
          <t>R018</t>
        </is>
      </c>
      <c r="B58" s="2" t="n">
        <v>4</v>
      </c>
      <c r="C58" s="2" t="inlineStr">
        <is>
          <t>deprotonation (rearomatisation)</t>
        </is>
      </c>
      <c r="D58" s="2" t="inlineStr">
        <is>
          <t>a lone pair on HSO4⁻ (or water)</t>
        </is>
      </c>
      <c r="E58" s="2" t="inlineStr">
        <is>
          <t>the H on the sp3 ring C; the C–H electrons go back into the ring</t>
        </is>
      </c>
      <c r="F58" s="2" t="inlineStr">
        <is>
          <t>O–H</t>
        </is>
      </c>
      <c r="G58" s="2" t="inlineStr">
        <is>
          <t>C–H</t>
        </is>
      </c>
      <c r="H58" s="2" t="n"/>
      <c r="I58" s="2" t="n"/>
      <c r="J58" s="2" t="n"/>
      <c r="K58" s="2" t="n"/>
      <c r="L58" s="2">
        <f>IF(AND(ISNUMBER(I58),ISNUMBER(K58)),K58-I58,"")</f>
        <v/>
      </c>
      <c r="M58" s="4">
        <f>IF(ISNUMBER(L58),10^L58,"")</f>
        <v/>
      </c>
      <c r="N58" s="2">
        <f>IF(ISNUMBER(L58),IF(L58&gt;=0,"downhill (favoured)","uphill (small amount)"),"")</f>
        <v/>
      </c>
      <c r="O58" s="2" t="n"/>
      <c r="P58" s="2" t="n"/>
      <c r="Q58" s="3" t="inlineStr">
        <is>
          <t>O=[N+]([O-])c1ccccc1.O=S(=O)(O)O</t>
        </is>
      </c>
      <c r="R58" s="2" t="inlineStr">
        <is>
          <t>Nitrobenzene; H2SO4 is regenerated.</t>
        </is>
      </c>
      <c r="S58" s="3" t="inlineStr">
        <is>
          <t>O=[N+]([O-])[C:1]1([H:2])C=CC=C[CH+:3]1.[O-:4]S(=O)(=O)O</t>
        </is>
      </c>
      <c r="T58" s="3" t="inlineStr">
        <is>
          <t>4&gt;2; 2-1&gt;1-3</t>
        </is>
      </c>
    </row>
    <row r="59">
      <c r="A59" s="2" t="inlineStr">
        <is>
          <t>R019</t>
        </is>
      </c>
      <c r="B59" s="2" t="n">
        <v>1</v>
      </c>
      <c r="C59" s="2" t="inlineStr">
        <is>
          <t>Lewis acid–base complex</t>
        </is>
      </c>
      <c r="D59" s="2" t="inlineStr">
        <is>
          <t>a lone pair on the Cl of acetyl chloride</t>
        </is>
      </c>
      <c r="E59" s="2" t="inlineStr">
        <is>
          <t>Al of AlCl3</t>
        </is>
      </c>
      <c r="F59" s="2" t="inlineStr">
        <is>
          <t>Cl–Al</t>
        </is>
      </c>
      <c r="G59" s="2" t="inlineStr"/>
      <c r="H59" s="2" t="n"/>
      <c r="I59" s="2" t="n"/>
      <c r="J59" s="2" t="n"/>
      <c r="K59" s="2" t="n"/>
      <c r="L59" s="2">
        <f>IF(AND(ISNUMBER(I59),ISNUMBER(K59)),K59-I59,"")</f>
        <v/>
      </c>
      <c r="M59" s="4">
        <f>IF(ISNUMBER(L59),10^L59,"")</f>
        <v/>
      </c>
      <c r="N59" s="2">
        <f>IF(ISNUMBER(L59),IF(L59&gt;=0,"downhill (favoured)","uphill (small amount)"),"")</f>
        <v/>
      </c>
      <c r="O59" s="2" t="n"/>
      <c r="P59" s="2" t="n"/>
      <c r="Q59" s="3" t="inlineStr">
        <is>
          <t>CC(=O)[Cl+][Al-](Cl)(Cl)Cl</t>
        </is>
      </c>
      <c r="R59" s="2" t="inlineStr"/>
      <c r="S59" s="3" t="inlineStr">
        <is>
          <t>C[C:1](=O)[Cl:2].Cl[Al:3](Cl)Cl</t>
        </is>
      </c>
      <c r="T59" s="3" t="inlineStr">
        <is>
          <t>2&gt;3</t>
        </is>
      </c>
    </row>
    <row r="60">
      <c r="A60" s="2" t="inlineStr">
        <is>
          <t>R019</t>
        </is>
      </c>
      <c r="B60" s="2" t="n">
        <v>2</v>
      </c>
      <c r="C60" s="2" t="inlineStr">
        <is>
          <t>acylium ion forms</t>
        </is>
      </c>
      <c r="D60" s="2" t="inlineStr">
        <is>
          <t>the C–Cl bond's electrons</t>
        </is>
      </c>
      <c r="E60" s="2" t="inlineStr">
        <is>
          <t>Cl (leaves as AlCl4⁻)</t>
        </is>
      </c>
      <c r="F60" s="2" t="inlineStr">
        <is>
          <t>C≡O⁺ (O lone pair)</t>
        </is>
      </c>
      <c r="G60" s="2" t="inlineStr">
        <is>
          <t>C–Cl</t>
        </is>
      </c>
      <c r="H60" s="2" t="n"/>
      <c r="I60" s="2" t="n"/>
      <c r="J60" s="2" t="n"/>
      <c r="K60" s="2" t="n"/>
      <c r="L60" s="2">
        <f>IF(AND(ISNUMBER(I60),ISNUMBER(K60)),K60-I60,"")</f>
        <v/>
      </c>
      <c r="M60" s="4">
        <f>IF(ISNUMBER(L60),10^L60,"")</f>
        <v/>
      </c>
      <c r="N60" s="2">
        <f>IF(ISNUMBER(L60),IF(L60&gt;=0,"downhill (favoured)","uphill (small amount)"),"")</f>
        <v/>
      </c>
      <c r="O60" s="2" t="inlineStr">
        <is>
          <t>AlCl4⁻ (chloride)</t>
        </is>
      </c>
      <c r="P60" s="2" t="n">
        <v>-7</v>
      </c>
      <c r="Q60" s="3" t="inlineStr">
        <is>
          <t>CC#[O+].Cl[Al-](Cl)(Cl)Cl</t>
        </is>
      </c>
      <c r="R60" s="2" t="inlineStr">
        <is>
          <t>The acylium ion is stabilised by the O lone pair: it never rearranges.</t>
        </is>
      </c>
      <c r="S60" s="3" t="inlineStr">
        <is>
          <t>C[C:1](=[O:4])[Cl+:2][Al-](Cl)(Cl)Cl</t>
        </is>
      </c>
      <c r="T60" s="3" t="inlineStr">
        <is>
          <t>1-2&gt;2; 4&gt;1-4</t>
        </is>
      </c>
    </row>
    <row r="61">
      <c r="A61" s="2" t="inlineStr">
        <is>
          <t>R019</t>
        </is>
      </c>
      <c r="B61" s="2" t="n">
        <v>3</v>
      </c>
      <c r="C61" s="2" t="inlineStr">
        <is>
          <t>electrophilic attack</t>
        </is>
      </c>
      <c r="D61" s="2" t="inlineStr">
        <is>
          <t>the ring's π electrons</t>
        </is>
      </c>
      <c r="E61" s="2" t="inlineStr">
        <is>
          <t>the acylium C; the C≡O π electrons go to O</t>
        </is>
      </c>
      <c r="F61" s="2" t="inlineStr">
        <is>
          <t>C–C</t>
        </is>
      </c>
      <c r="G61" s="2" t="inlineStr">
        <is>
          <t>ring π</t>
        </is>
      </c>
      <c r="H61" s="2" t="n"/>
      <c r="I61" s="2" t="n"/>
      <c r="J61" s="2" t="n"/>
      <c r="K61" s="2" t="n"/>
      <c r="L61" s="2">
        <f>IF(AND(ISNUMBER(I61),ISNUMBER(K61)),K61-I61,"")</f>
        <v/>
      </c>
      <c r="M61" s="4">
        <f>IF(ISNUMBER(L61),10^L61,"")</f>
        <v/>
      </c>
      <c r="N61" s="2">
        <f>IF(ISNUMBER(L61),IF(L61&gt;=0,"downhill (favoured)","uphill (small amount)"),"")</f>
        <v/>
      </c>
      <c r="O61" s="2" t="n"/>
      <c r="P61" s="2" t="n"/>
      <c r="Q61" s="3" t="inlineStr">
        <is>
          <t>CC(=O)C1C=CC=C[CH+]1</t>
        </is>
      </c>
      <c r="R61" s="2" t="inlineStr">
        <is>
          <t>Arenium ion.</t>
        </is>
      </c>
      <c r="S61" s="3" t="inlineStr">
        <is>
          <t>[CH:1]1=[CH:2]C=CC=C1.C[C:3]#[O+:4]</t>
        </is>
      </c>
      <c r="T61" s="3" t="inlineStr">
        <is>
          <t>1-2&gt;1-3; 3-4&gt;4</t>
        </is>
      </c>
    </row>
    <row r="62">
      <c r="A62" s="2" t="inlineStr">
        <is>
          <t>R019</t>
        </is>
      </c>
      <c r="B62" s="2" t="n">
        <v>4</v>
      </c>
      <c r="C62" s="2" t="inlineStr">
        <is>
          <t>deprotonation (rearomatisation)</t>
        </is>
      </c>
      <c r="D62" s="2" t="inlineStr">
        <is>
          <t>a lone pair on a Cl of AlCl4⁻</t>
        </is>
      </c>
      <c r="E62" s="2" t="inlineStr">
        <is>
          <t>the H on the sp3 ring C</t>
        </is>
      </c>
      <c r="F62" s="2" t="inlineStr">
        <is>
          <t>H–Cl</t>
        </is>
      </c>
      <c r="G62" s="2" t="inlineStr">
        <is>
          <t>C–H</t>
        </is>
      </c>
      <c r="H62" s="2" t="n"/>
      <c r="I62" s="2" t="n"/>
      <c r="J62" s="2" t="n"/>
      <c r="K62" s="2" t="n"/>
      <c r="L62" s="2">
        <f>IF(AND(ISNUMBER(I62),ISNUMBER(K62)),K62-I62,"")</f>
        <v/>
      </c>
      <c r="M62" s="4">
        <f>IF(ISNUMBER(L62),10^L62,"")</f>
        <v/>
      </c>
      <c r="N62" s="2">
        <f>IF(ISNUMBER(L62),IF(L62&gt;=0,"downhill (favoured)","uphill (small amount)"),"")</f>
        <v/>
      </c>
      <c r="O62" s="2" t="n"/>
      <c r="P62" s="2" t="n"/>
      <c r="Q62" s="3" t="inlineStr">
        <is>
          <t>CC(=O)c1ccccc1.Cl.Cl[Al](Cl)Cl</t>
        </is>
      </c>
      <c r="R62" s="2" t="inlineStr">
        <is>
          <t>Acetophenone (in practice it holds the AlCl3 until the water work-up).</t>
        </is>
      </c>
      <c r="S62" s="3" t="inlineStr">
        <is>
          <t>CC(=O)[C:1]1([H:2])C=CC=C[CH+:3]1.[Cl:4][Al-:5](Cl)(Cl)Cl</t>
        </is>
      </c>
      <c r="T62" s="3" t="inlineStr">
        <is>
          <t>5-4&gt;4; 4&gt;2; 2-1&gt;1-3</t>
        </is>
      </c>
    </row>
    <row r="63">
      <c r="A63" s="2" t="inlineStr">
        <is>
          <t>R020</t>
        </is>
      </c>
      <c r="B63" s="2" t="n">
        <v>1</v>
      </c>
      <c r="C63" s="2" t="inlineStr">
        <is>
          <t>Lewis acid–base complex</t>
        </is>
      </c>
      <c r="D63" s="2" t="inlineStr">
        <is>
          <t>a lone pair on the Cl of t-BuCl</t>
        </is>
      </c>
      <c r="E63" s="2" t="inlineStr">
        <is>
          <t>Al of AlCl3</t>
        </is>
      </c>
      <c r="F63" s="2" t="inlineStr">
        <is>
          <t>Cl–Al</t>
        </is>
      </c>
      <c r="G63" s="2" t="inlineStr"/>
      <c r="H63" s="2" t="n"/>
      <c r="I63" s="2" t="n"/>
      <c r="J63" s="2" t="n"/>
      <c r="K63" s="2" t="n"/>
      <c r="L63" s="2">
        <f>IF(AND(ISNUMBER(I63),ISNUMBER(K63)),K63-I63,"")</f>
        <v/>
      </c>
      <c r="M63" s="4">
        <f>IF(ISNUMBER(L63),10^L63,"")</f>
        <v/>
      </c>
      <c r="N63" s="2">
        <f>IF(ISNUMBER(L63),IF(L63&gt;=0,"downhill (favoured)","uphill (small amount)"),"")</f>
        <v/>
      </c>
      <c r="O63" s="2" t="n"/>
      <c r="P63" s="2" t="n"/>
      <c r="Q63" s="3" t="inlineStr">
        <is>
          <t>CC(C)(C)[Cl+][Al-](Cl)(Cl)Cl</t>
        </is>
      </c>
      <c r="R63" s="2" t="inlineStr"/>
      <c r="S63" s="3" t="inlineStr">
        <is>
          <t>CC(C)(C)[Cl:1].Cl[Al:2](Cl)Cl</t>
        </is>
      </c>
      <c r="T63" s="3" t="inlineStr">
        <is>
          <t>1&gt;2</t>
        </is>
      </c>
    </row>
    <row r="64">
      <c r="A64" s="2" t="inlineStr">
        <is>
          <t>R020</t>
        </is>
      </c>
      <c r="B64" s="2" t="n">
        <v>2</v>
      </c>
      <c r="C64" s="2" t="inlineStr">
        <is>
          <t>carbocation forms</t>
        </is>
      </c>
      <c r="D64" s="2" t="inlineStr">
        <is>
          <t>the C–Cl bond's electrons</t>
        </is>
      </c>
      <c r="E64" s="2" t="inlineStr">
        <is>
          <t>Cl (leaves as AlCl4⁻)</t>
        </is>
      </c>
      <c r="F64" s="2" t="inlineStr"/>
      <c r="G64" s="2" t="inlineStr">
        <is>
          <t>C–Cl</t>
        </is>
      </c>
      <c r="H64" s="2" t="n"/>
      <c r="I64" s="2" t="n"/>
      <c r="J64" s="2" t="n"/>
      <c r="K64" s="2" t="n"/>
      <c r="L64" s="2">
        <f>IF(AND(ISNUMBER(I64),ISNUMBER(K64)),K64-I64,"")</f>
        <v/>
      </c>
      <c r="M64" s="4">
        <f>IF(ISNUMBER(L64),10^L64,"")</f>
        <v/>
      </c>
      <c r="N64" s="2">
        <f>IF(ISNUMBER(L64),IF(L64&gt;=0,"downhill (favoured)","uphill (small amount)"),"")</f>
        <v/>
      </c>
      <c r="O64" s="2" t="inlineStr">
        <is>
          <t>AlCl4⁻ (chloride)</t>
        </is>
      </c>
      <c r="P64" s="2" t="n">
        <v>-7</v>
      </c>
      <c r="Q64" s="3" t="inlineStr">
        <is>
          <t>C[C+](C)C.Cl[Al-](Cl)(Cl)Cl</t>
        </is>
      </c>
      <c r="R64" s="2" t="inlineStr">
        <is>
          <t>tert-Butyl cation (3°, no rearrangement).</t>
        </is>
      </c>
      <c r="S64" s="3" t="inlineStr">
        <is>
          <t>C[C:1](C)(C)[Cl+:2][Al-](Cl)(Cl)Cl</t>
        </is>
      </c>
      <c r="T64" s="3" t="inlineStr">
        <is>
          <t>1-2&gt;2</t>
        </is>
      </c>
    </row>
    <row r="65">
      <c r="A65" s="2" t="inlineStr">
        <is>
          <t>R020</t>
        </is>
      </c>
      <c r="B65" s="2" t="n">
        <v>3</v>
      </c>
      <c r="C65" s="2" t="inlineStr">
        <is>
          <t>electrophilic attack</t>
        </is>
      </c>
      <c r="D65" s="2" t="inlineStr">
        <is>
          <t>the ring's π electrons</t>
        </is>
      </c>
      <c r="E65" s="2" t="inlineStr">
        <is>
          <t>the carbocation C</t>
        </is>
      </c>
      <c r="F65" s="2" t="inlineStr">
        <is>
          <t>C–C</t>
        </is>
      </c>
      <c r="G65" s="2" t="inlineStr">
        <is>
          <t>ring π</t>
        </is>
      </c>
      <c r="H65" s="2" t="n"/>
      <c r="I65" s="2" t="n"/>
      <c r="J65" s="2" t="n"/>
      <c r="K65" s="2" t="n"/>
      <c r="L65" s="2">
        <f>IF(AND(ISNUMBER(I65),ISNUMBER(K65)),K65-I65,"")</f>
        <v/>
      </c>
      <c r="M65" s="4">
        <f>IF(ISNUMBER(L65),10^L65,"")</f>
        <v/>
      </c>
      <c r="N65" s="2">
        <f>IF(ISNUMBER(L65),IF(L65&gt;=0,"downhill (favoured)","uphill (small amount)"),"")</f>
        <v/>
      </c>
      <c r="O65" s="2" t="n"/>
      <c r="P65" s="2" t="n"/>
      <c r="Q65" s="3" t="inlineStr">
        <is>
          <t>CC(C)(C)C1C=CC=C[CH+]1</t>
        </is>
      </c>
      <c r="R65" s="2" t="inlineStr">
        <is>
          <t>Arenium ion.</t>
        </is>
      </c>
      <c r="S65" s="3" t="inlineStr">
        <is>
          <t>[CH:1]1=[CH:2]C=CC=C1.C[C+:3](C)C</t>
        </is>
      </c>
      <c r="T65" s="3" t="inlineStr">
        <is>
          <t>1-2&gt;1-3</t>
        </is>
      </c>
    </row>
    <row r="66">
      <c r="A66" s="2" t="inlineStr">
        <is>
          <t>R020</t>
        </is>
      </c>
      <c r="B66" s="2" t="n">
        <v>4</v>
      </c>
      <c r="C66" s="2" t="inlineStr">
        <is>
          <t>deprotonation (rearomatisation)</t>
        </is>
      </c>
      <c r="D66" s="2" t="inlineStr">
        <is>
          <t>a lone pair on a Cl of AlCl4⁻</t>
        </is>
      </c>
      <c r="E66" s="2" t="inlineStr">
        <is>
          <t>the H on the sp3 ring C</t>
        </is>
      </c>
      <c r="F66" s="2" t="inlineStr">
        <is>
          <t>H–Cl</t>
        </is>
      </c>
      <c r="G66" s="2" t="inlineStr">
        <is>
          <t>C–H</t>
        </is>
      </c>
      <c r="H66" s="2" t="n"/>
      <c r="I66" s="2" t="n"/>
      <c r="J66" s="2" t="n"/>
      <c r="K66" s="2" t="n"/>
      <c r="L66" s="2">
        <f>IF(AND(ISNUMBER(I66),ISNUMBER(K66)),K66-I66,"")</f>
        <v/>
      </c>
      <c r="M66" s="4">
        <f>IF(ISNUMBER(L66),10^L66,"")</f>
        <v/>
      </c>
      <c r="N66" s="2">
        <f>IF(ISNUMBER(L66),IF(L66&gt;=0,"downhill (favoured)","uphill (small amount)"),"")</f>
        <v/>
      </c>
      <c r="O66" s="2" t="n"/>
      <c r="P66" s="2" t="n"/>
      <c r="Q66" s="3" t="inlineStr">
        <is>
          <t>CC(C)(C)c1ccccc1.Cl.Cl[Al](Cl)Cl</t>
        </is>
      </c>
      <c r="R66" s="2" t="inlineStr"/>
      <c r="S66" s="3" t="inlineStr">
        <is>
          <t>CC(C)(C)[C:1]1([H:2])C=CC=C[CH+:3]1.[Cl:4][Al-:5](Cl)(Cl)Cl</t>
        </is>
      </c>
      <c r="T66" s="3" t="inlineStr">
        <is>
          <t>5-4&gt;4; 4&gt;2; 2-1&gt;1-3</t>
        </is>
      </c>
    </row>
    <row r="67">
      <c r="A67" s="2" t="inlineStr">
        <is>
          <t>R021</t>
        </is>
      </c>
      <c r="B67" s="2" t="n">
        <v>1</v>
      </c>
      <c r="C67" s="2" t="inlineStr">
        <is>
          <t>initiation (radical)</t>
        </is>
      </c>
      <c r="D67" s="2" t="inlineStr">
        <is>
          <t>light splits a Br–Br bond (NBS keeps a trace of Br2)</t>
        </is>
      </c>
      <c r="E67" s="2" t="inlineStr">
        <is>
          <t>two Br•</t>
        </is>
      </c>
      <c r="F67" s="2" t="inlineStr"/>
      <c r="G67" s="2" t="inlineStr">
        <is>
          <t>Br–Br</t>
        </is>
      </c>
      <c r="H67" s="2" t="n"/>
      <c r="I67" s="2" t="n"/>
      <c r="J67" s="2" t="n"/>
      <c r="K67" s="2" t="n"/>
      <c r="L67" s="2">
        <f>IF(AND(ISNUMBER(I67),ISNUMBER(K67)),K67-I67,"")</f>
        <v/>
      </c>
      <c r="M67" s="4">
        <f>IF(ISNUMBER(L67),10^L67,"")</f>
        <v/>
      </c>
      <c r="N67" s="2">
        <f>IF(ISNUMBER(L67),IF(L67&gt;=0,"downhill (favoured)","uphill (small amount)"),"")</f>
        <v/>
      </c>
      <c r="O67" s="2" t="n"/>
      <c r="P67" s="2" t="n"/>
      <c r="Q67" s="3" t="inlineStr">
        <is>
          <t>[Br]</t>
        </is>
      </c>
      <c r="R67" s="2" t="inlineStr"/>
      <c r="S67" s="3" t="inlineStr">
        <is>
          <t>[Br:1][Br:2]</t>
        </is>
      </c>
      <c r="T67" s="3" t="inlineStr">
        <is>
          <t>~1-2&gt;1; ~1-2&gt;2</t>
        </is>
      </c>
    </row>
    <row r="68">
      <c r="A68" s="2" t="inlineStr">
        <is>
          <t>R021</t>
        </is>
      </c>
      <c r="B68" s="2" t="n">
        <v>2</v>
      </c>
      <c r="C68" s="2" t="inlineStr">
        <is>
          <t>benzylic H abstraction</t>
        </is>
      </c>
      <c r="D68" s="2" t="inlineStr">
        <is>
          <t>Br• and one electron of a benzylic C–H</t>
        </is>
      </c>
      <c r="E68" s="2" t="inlineStr">
        <is>
          <t>a new H–Br bond; the other electron stays on C</t>
        </is>
      </c>
      <c r="F68" s="2" t="inlineStr">
        <is>
          <t>H–Br</t>
        </is>
      </c>
      <c r="G68" s="2" t="inlineStr">
        <is>
          <t>C–H (benzylic)</t>
        </is>
      </c>
      <c r="H68" s="2" t="n"/>
      <c r="I68" s="2" t="n"/>
      <c r="J68" s="2" t="n"/>
      <c r="K68" s="2" t="n"/>
      <c r="L68" s="2">
        <f>IF(AND(ISNUMBER(I68),ISNUMBER(K68)),K68-I68,"")</f>
        <v/>
      </c>
      <c r="M68" s="4">
        <f>IF(ISNUMBER(L68),10^L68,"")</f>
        <v/>
      </c>
      <c r="N68" s="2">
        <f>IF(ISNUMBER(L68),IF(L68&gt;=0,"downhill (favoured)","uphill (small amount)"),"")</f>
        <v/>
      </c>
      <c r="O68" s="2" t="n"/>
      <c r="P68" s="2" t="n"/>
      <c r="Q68" s="3" t="inlineStr">
        <is>
          <t>[CH2]c1ccccc1.Br</t>
        </is>
      </c>
      <c r="R68" s="2" t="inlineStr">
        <is>
          <t>The benzyl radical is resonance-stabilised by the ring; the benzylic C–H is weak (≈ 90 kcal/mol).</t>
        </is>
      </c>
      <c r="S68" s="3" t="inlineStr">
        <is>
          <t>[Br:1].[H:2][CH2:3]c1ccccc1</t>
        </is>
      </c>
      <c r="T68" s="3" t="inlineStr">
        <is>
          <t>~1&gt;1-2; ~2-3&gt;1-2; ~2-3&gt;3</t>
        </is>
      </c>
    </row>
    <row r="69">
      <c r="A69" s="2" t="inlineStr">
        <is>
          <t>R021</t>
        </is>
      </c>
      <c r="B69" s="2" t="n">
        <v>3</v>
      </c>
      <c r="C69" s="2" t="inlineStr">
        <is>
          <t>Br2 regenerated</t>
        </is>
      </c>
      <c r="D69" s="2" t="inlineStr">
        <is>
          <t>the HBr just formed reacts with NBS</t>
        </is>
      </c>
      <c r="E69" s="2" t="inlineStr">
        <is>
          <t>Br2 and succinimide</t>
        </is>
      </c>
      <c r="F69" s="2" t="inlineStr">
        <is>
          <t>Br–Br</t>
        </is>
      </c>
      <c r="G69" s="2" t="inlineStr">
        <is>
          <t>N–Br; H–Br</t>
        </is>
      </c>
      <c r="H69" s="2" t="n"/>
      <c r="I69" s="2" t="n"/>
      <c r="J69" s="2" t="n"/>
      <c r="K69" s="2" t="n"/>
      <c r="L69" s="2">
        <f>IF(AND(ISNUMBER(I69),ISNUMBER(K69)),K69-I69,"")</f>
        <v/>
      </c>
      <c r="M69" s="4">
        <f>IF(ISNUMBER(L69),10^L69,"")</f>
        <v/>
      </c>
      <c r="N69" s="2">
        <f>IF(ISNUMBER(L69),IF(L69&gt;=0,"downhill (favoured)","uphill (small amount)"),"")</f>
        <v/>
      </c>
      <c r="O69" s="2" t="n"/>
      <c r="P69" s="2" t="n"/>
      <c r="Q69" s="3" t="inlineStr">
        <is>
          <t>O=C1CCC(=O)N1.BrBr</t>
        </is>
      </c>
      <c r="R69" s="2" t="inlineStr"/>
      <c r="S69" s="3" t="inlineStr">
        <is>
          <t>[H:1][Br:2].O=C1CCC(=O)[N:3]1[Br:4]</t>
        </is>
      </c>
      <c r="T69" s="3" t="inlineStr">
        <is>
          <t>2&gt;4; 3-4&gt;3; 3&gt;1; 1-2&gt;2</t>
        </is>
      </c>
    </row>
    <row r="70">
      <c r="A70" s="2" t="inlineStr">
        <is>
          <t>R021</t>
        </is>
      </c>
      <c r="B70" s="2" t="n">
        <v>4</v>
      </c>
      <c r="C70" s="2" t="inlineStr">
        <is>
          <t>bromine transfer</t>
        </is>
      </c>
      <c r="D70" s="2" t="inlineStr">
        <is>
          <t>the radical C and one electron of a Br–Br bond</t>
        </is>
      </c>
      <c r="E70" s="2" t="inlineStr">
        <is>
          <t>a new C–Br bond; the other Br becomes Br•</t>
        </is>
      </c>
      <c r="F70" s="2" t="inlineStr">
        <is>
          <t>C–Br</t>
        </is>
      </c>
      <c r="G70" s="2" t="inlineStr">
        <is>
          <t>Br–Br</t>
        </is>
      </c>
      <c r="H70" s="2" t="n"/>
      <c r="I70" s="2" t="n"/>
      <c r="J70" s="2" t="n"/>
      <c r="K70" s="2" t="n"/>
      <c r="L70" s="2">
        <f>IF(AND(ISNUMBER(I70),ISNUMBER(K70)),K70-I70,"")</f>
        <v/>
      </c>
      <c r="M70" s="4">
        <f>IF(ISNUMBER(L70),10^L70,"")</f>
        <v/>
      </c>
      <c r="N70" s="2">
        <f>IF(ISNUMBER(L70),IF(L70&gt;=0,"downhill (favoured)","uphill (small amount)"),"")</f>
        <v/>
      </c>
      <c r="O70" s="2" t="n"/>
      <c r="P70" s="2" t="n"/>
      <c r="Q70" s="3" t="inlineStr">
        <is>
          <t>BrCc1ccccc1.[Br]</t>
        </is>
      </c>
      <c r="R70" s="2" t="inlineStr">
        <is>
          <t>Chain continues.</t>
        </is>
      </c>
      <c r="S70" s="3" t="inlineStr">
        <is>
          <t>[CH2:1]c1ccccc1.[Br:2][Br:3]</t>
        </is>
      </c>
      <c r="T70" s="3" t="inlineStr">
        <is>
          <t>~1&gt;1-2; ~2-3&gt;1-2; ~2-3&gt;3</t>
        </is>
      </c>
    </row>
    <row r="71">
      <c r="A71" s="2" t="inlineStr">
        <is>
          <t>R022</t>
        </is>
      </c>
      <c r="B71" s="2" t="n">
        <v>1</v>
      </c>
      <c r="C71" s="2" t="inlineStr">
        <is>
          <t>benzylic C–H attacked by MnO4⁻</t>
        </is>
      </c>
      <c r="D71" s="2" t="inlineStr">
        <is>
          <t>one electron of a benzylic C–H</t>
        </is>
      </c>
      <c r="E71" s="2" t="inlineStr">
        <is>
          <t>an Mn=O oxygen (H atom transfer)</t>
        </is>
      </c>
      <c r="F71" s="2" t="inlineStr">
        <is>
          <t>O–H (on Mn)</t>
        </is>
      </c>
      <c r="G71" s="2" t="inlineStr">
        <is>
          <t>C–H (benzylic)</t>
        </is>
      </c>
      <c r="H71" s="2" t="n"/>
      <c r="I71" s="2" t="n"/>
      <c r="J71" s="2" t="n"/>
      <c r="K71" s="2" t="n"/>
      <c r="L71" s="2">
        <f>IF(AND(ISNUMBER(I71),ISNUMBER(K71)),K71-I71,"")</f>
        <v/>
      </c>
      <c r="M71" s="4">
        <f>IF(ISNUMBER(L71),10^L71,"")</f>
        <v/>
      </c>
      <c r="N71" s="2">
        <f>IF(ISNUMBER(L71),IF(L71&gt;=0,"downhill (favoured)","uphill (small amount)"),"")</f>
        <v/>
      </c>
      <c r="O71" s="2" t="n"/>
      <c r="P71" s="2" t="n"/>
      <c r="Q71" s="3" t="inlineStr">
        <is>
          <t>[CH2]c1ccccc1</t>
        </is>
      </c>
      <c r="R71" s="2" t="inlineStr">
        <is>
          <t>Needs a benzylic H: tert-butylbenzene is not oxidised.</t>
        </is>
      </c>
      <c r="S71" s="3" t="inlineStr">
        <is>
          <t>[O-][Mn:4](=O)(=O)=[O:1].[H:2][CH2:3]c1ccccc1</t>
        </is>
      </c>
      <c r="T71" s="3" t="inlineStr">
        <is>
          <t>~4-1&gt;1-2; ~4-1&gt;4; ~2-3&gt;1-2; ~2-3&gt;3</t>
        </is>
      </c>
    </row>
    <row r="72">
      <c r="A72" s="2" t="inlineStr">
        <is>
          <t>R022</t>
        </is>
      </c>
      <c r="B72" s="2" t="n">
        <v>2</v>
      </c>
      <c r="C72" s="2" t="inlineStr">
        <is>
          <t>oxygen rebound</t>
        </is>
      </c>
      <c r="D72" s="2" t="inlineStr">
        <is>
          <t>the benzyl radical</t>
        </is>
      </c>
      <c r="E72" s="2" t="inlineStr">
        <is>
          <t>the Mn–OH oxygen</t>
        </is>
      </c>
      <c r="F72" s="2" t="inlineStr">
        <is>
          <t>C–O</t>
        </is>
      </c>
      <c r="G72" s="2" t="inlineStr">
        <is>
          <t>Mn–O</t>
        </is>
      </c>
      <c r="H72" s="2" t="n"/>
      <c r="I72" s="2" t="n"/>
      <c r="J72" s="2" t="n"/>
      <c r="K72" s="2" t="n"/>
      <c r="L72" s="2">
        <f>IF(AND(ISNUMBER(I72),ISNUMBER(K72)),K72-I72,"")</f>
        <v/>
      </c>
      <c r="M72" s="4">
        <f>IF(ISNUMBER(L72),10^L72,"")</f>
        <v/>
      </c>
      <c r="N72" s="2">
        <f>IF(ISNUMBER(L72),IF(L72&gt;=0,"downhill (favoured)","uphill (small amount)"),"")</f>
        <v/>
      </c>
      <c r="O72" s="2" t="n"/>
      <c r="P72" s="2" t="n"/>
      <c r="Q72" s="3" t="inlineStr">
        <is>
          <t>OCc1ccccc1</t>
        </is>
      </c>
      <c r="R72" s="2" t="inlineStr">
        <is>
          <t>Benzyl alcohol (oxidised on, it is not isolated).</t>
        </is>
      </c>
      <c r="S72" s="3" t="inlineStr">
        <is>
          <t>[CH2:1]c1ccccc1.[OH:2][Mn:3](=O)(=O)[O-]</t>
        </is>
      </c>
      <c r="T72" s="3" t="inlineStr">
        <is>
          <t>~1&gt;1-2; ~2-3&gt;1-2; ~2-3&gt;3</t>
        </is>
      </c>
    </row>
    <row r="73">
      <c r="A73" s="2" t="inlineStr">
        <is>
          <t>R022</t>
        </is>
      </c>
      <c r="B73" s="2" t="n">
        <v>3</v>
      </c>
      <c r="C73" s="2" t="inlineStr">
        <is>
          <t>oxidation to the aldehyde</t>
        </is>
      </c>
      <c r="D73" s="2" t="inlineStr">
        <is>
          <t>the C–H next to the O</t>
        </is>
      </c>
      <c r="E73" s="2" t="inlineStr">
        <is>
          <t>MnO4⁻ (via a manganate ester)</t>
        </is>
      </c>
      <c r="F73" s="2" t="inlineStr">
        <is>
          <t>C=O</t>
        </is>
      </c>
      <c r="G73" s="2" t="inlineStr">
        <is>
          <t>C–H; O–H</t>
        </is>
      </c>
      <c r="H73" s="2" t="n"/>
      <c r="I73" s="2" t="n"/>
      <c r="J73" s="2" t="n"/>
      <c r="K73" s="2" t="n"/>
      <c r="L73" s="2">
        <f>IF(AND(ISNUMBER(I73),ISNUMBER(K73)),K73-I73,"")</f>
        <v/>
      </c>
      <c r="M73" s="4">
        <f>IF(ISNUMBER(L73),10^L73,"")</f>
        <v/>
      </c>
      <c r="N73" s="2">
        <f>IF(ISNUMBER(L73),IF(L73&gt;=0,"downhill (favoured)","uphill (small amount)"),"")</f>
        <v/>
      </c>
      <c r="O73" s="2" t="n"/>
      <c r="P73" s="2" t="n"/>
      <c r="Q73" s="3" t="inlineStr">
        <is>
          <t>O=Cc1ccccc1</t>
        </is>
      </c>
      <c r="R73" s="2" t="inlineStr"/>
      <c r="S73" s="3" t="inlineStr">
        <is>
          <t>OCc1ccccc1</t>
        </is>
      </c>
      <c r="T73" s="3" t="inlineStr"/>
    </row>
    <row r="74">
      <c r="A74" s="2" t="inlineStr">
        <is>
          <t>R022</t>
        </is>
      </c>
      <c r="B74" s="2" t="n">
        <v>4</v>
      </c>
      <c r="C74" s="2" t="inlineStr">
        <is>
          <t>oxidation to the carboxylate</t>
        </is>
      </c>
      <c r="D74" s="2" t="inlineStr">
        <is>
          <t>the aldehyde hydrate's C–H</t>
        </is>
      </c>
      <c r="E74" s="2" t="inlineStr">
        <is>
          <t>MnO4⁻ (in base)</t>
        </is>
      </c>
      <c r="F74" s="2" t="inlineStr">
        <is>
          <t>C–O</t>
        </is>
      </c>
      <c r="G74" s="2" t="inlineStr">
        <is>
          <t>C–H</t>
        </is>
      </c>
      <c r="H74" s="2" t="n"/>
      <c r="I74" s="2" t="n"/>
      <c r="J74" s="2" t="n"/>
      <c r="K74" s="2" t="n"/>
      <c r="L74" s="2">
        <f>IF(AND(ISNUMBER(I74),ISNUMBER(K74)),K74-I74,"")</f>
        <v/>
      </c>
      <c r="M74" s="4">
        <f>IF(ISNUMBER(L74),10^L74,"")</f>
        <v/>
      </c>
      <c r="N74" s="2">
        <f>IF(ISNUMBER(L74),IF(L74&gt;=0,"downhill (favoured)","uphill (small amount)"),"")</f>
        <v/>
      </c>
      <c r="O74" s="2" t="n"/>
      <c r="P74" s="2" t="n"/>
      <c r="Q74" s="3" t="inlineStr">
        <is>
          <t>O=C([O-])c1ccccc1</t>
        </is>
      </c>
      <c r="R74" s="2" t="inlineStr">
        <is>
          <t>Benzoate (MnO2 forms as a brown solid).</t>
        </is>
      </c>
      <c r="S74" s="3" t="inlineStr">
        <is>
          <t>O=Cc1ccccc1</t>
        </is>
      </c>
      <c r="T74" s="3" t="inlineStr"/>
    </row>
    <row r="75">
      <c r="A75" s="2" t="inlineStr">
        <is>
          <t>R022</t>
        </is>
      </c>
      <c r="B75" s="2" t="n">
        <v>5</v>
      </c>
      <c r="C75" s="2" t="inlineStr">
        <is>
          <t>acid work-up (proton transfer)</t>
        </is>
      </c>
      <c r="D75" s="2" t="inlineStr">
        <is>
          <t>a lone pair on the carboxylate O</t>
        </is>
      </c>
      <c r="E75" s="2" t="inlineStr">
        <is>
          <t>an H of H3O⁺</t>
        </is>
      </c>
      <c r="F75" s="2" t="inlineStr">
        <is>
          <t>O–H</t>
        </is>
      </c>
      <c r="G75" s="2" t="inlineStr">
        <is>
          <t>O–H (H3O⁺)</t>
        </is>
      </c>
      <c r="H75" s="2" t="inlineStr">
        <is>
          <t>H3O⁺</t>
        </is>
      </c>
      <c r="I75" s="2" t="n">
        <v>-1.7</v>
      </c>
      <c r="J75" s="2" t="inlineStr">
        <is>
          <t>benzoic acid</t>
        </is>
      </c>
      <c r="K75" s="2" t="n">
        <v>4.2</v>
      </c>
      <c r="L75" s="2">
        <f>IF(AND(ISNUMBER(I75),ISNUMBER(K75)),K75-I75,"")</f>
        <v/>
      </c>
      <c r="M75" s="4">
        <f>IF(ISNUMBER(L75),10^L75,"")</f>
        <v/>
      </c>
      <c r="N75" s="2">
        <f>IF(ISNUMBER(L75),IF(L75&gt;=0,"downhill (favoured)","uphill (small amount)"),"")</f>
        <v/>
      </c>
      <c r="O75" s="2" t="n"/>
      <c r="P75" s="2" t="n"/>
      <c r="Q75" s="3" t="inlineStr">
        <is>
          <t>O=C(O)c1ccccc1</t>
        </is>
      </c>
      <c r="R75" s="2" t="inlineStr">
        <is>
          <t>Benzoic acid precipitates.</t>
        </is>
      </c>
      <c r="S75" s="3" t="inlineStr">
        <is>
          <t>O=C([O-:1])c1ccccc1.[H:2][OH2+:3]</t>
        </is>
      </c>
      <c r="T75" s="3" t="inlineStr">
        <is>
          <t>1&gt;2; 2-3&gt;3</t>
        </is>
      </c>
    </row>
    <row r="76">
      <c r="A76" s="2" t="inlineStr">
        <is>
          <t>R023</t>
        </is>
      </c>
      <c r="B76" s="2" t="n">
        <v>1</v>
      </c>
      <c r="C76" s="2" t="inlineStr">
        <is>
          <t>reduction to nitroso</t>
        </is>
      </c>
      <c r="D76" s="2" t="inlineStr">
        <is>
          <t>electrons from Fe (2 e⁻) and H⁺ from HCl</t>
        </is>
      </c>
      <c r="E76" s="2" t="inlineStr">
        <is>
          <t>the nitro N–O bond; water leaves</t>
        </is>
      </c>
      <c r="F76" s="2" t="inlineStr">
        <is>
          <t>N–H (then lost)</t>
        </is>
      </c>
      <c r="G76" s="2" t="inlineStr">
        <is>
          <t>N–O</t>
        </is>
      </c>
      <c r="H76" s="2" t="n"/>
      <c r="I76" s="2" t="n"/>
      <c r="J76" s="2" t="n"/>
      <c r="K76" s="2" t="n"/>
      <c r="L76" s="2">
        <f>IF(AND(ISNUMBER(I76),ISNUMBER(K76)),K76-I76,"")</f>
        <v/>
      </c>
      <c r="M76" s="4">
        <f>IF(ISNUMBER(L76),10^L76,"")</f>
        <v/>
      </c>
      <c r="N76" s="2">
        <f>IF(ISNUMBER(L76),IF(L76&gt;=0,"downhill (favoured)","uphill (small amount)"),"")</f>
        <v/>
      </c>
      <c r="O76" s="2" t="n"/>
      <c r="P76" s="2" t="n"/>
      <c r="Q76" s="3" t="inlineStr">
        <is>
          <t>O=Nc1ccccc1.O</t>
        </is>
      </c>
      <c r="R76" s="2" t="inlineStr">
        <is>
          <t>Fe → Fe²⁺ supplies the electrons; each step adds 2 e⁻ and 2 H⁺.</t>
        </is>
      </c>
      <c r="S76" s="3" t="inlineStr">
        <is>
          <t>O=[N+]([O-])c1ccccc1</t>
        </is>
      </c>
      <c r="T76" s="3" t="inlineStr"/>
    </row>
    <row r="77">
      <c r="A77" s="2" t="inlineStr">
        <is>
          <t>R023</t>
        </is>
      </c>
      <c r="B77" s="2" t="n">
        <v>2</v>
      </c>
      <c r="C77" s="2" t="inlineStr">
        <is>
          <t>reduction to hydroxylamine</t>
        </is>
      </c>
      <c r="D77" s="2" t="inlineStr">
        <is>
          <t>electrons from Fe (2 e⁻) and H⁺</t>
        </is>
      </c>
      <c r="E77" s="2" t="inlineStr">
        <is>
          <t>the N=O</t>
        </is>
      </c>
      <c r="F77" s="2" t="inlineStr">
        <is>
          <t>N–H; O–H</t>
        </is>
      </c>
      <c r="G77" s="2" t="inlineStr">
        <is>
          <t>N=O (π)</t>
        </is>
      </c>
      <c r="H77" s="2" t="n"/>
      <c r="I77" s="2" t="n"/>
      <c r="J77" s="2" t="n"/>
      <c r="K77" s="2" t="n"/>
      <c r="L77" s="2">
        <f>IF(AND(ISNUMBER(I77),ISNUMBER(K77)),K77-I77,"")</f>
        <v/>
      </c>
      <c r="M77" s="4">
        <f>IF(ISNUMBER(L77),10^L77,"")</f>
        <v/>
      </c>
      <c r="N77" s="2">
        <f>IF(ISNUMBER(L77),IF(L77&gt;=0,"downhill (favoured)","uphill (small amount)"),"")</f>
        <v/>
      </c>
      <c r="O77" s="2" t="n"/>
      <c r="P77" s="2" t="n"/>
      <c r="Q77" s="3" t="inlineStr">
        <is>
          <t>ONc1ccccc1</t>
        </is>
      </c>
      <c r="R77" s="2" t="inlineStr"/>
      <c r="S77" s="3" t="inlineStr">
        <is>
          <t>O=Nc1ccccc1</t>
        </is>
      </c>
      <c r="T77" s="3" t="inlineStr"/>
    </row>
    <row r="78">
      <c r="A78" s="2" t="inlineStr">
        <is>
          <t>R023</t>
        </is>
      </c>
      <c r="B78" s="2" t="n">
        <v>3</v>
      </c>
      <c r="C78" s="2" t="inlineStr">
        <is>
          <t>reduction to anilinium</t>
        </is>
      </c>
      <c r="D78" s="2" t="inlineStr">
        <is>
          <t>electrons from Fe (2 e⁻) and H⁺</t>
        </is>
      </c>
      <c r="E78" s="2" t="inlineStr">
        <is>
          <t>the N–O bond; water leaves</t>
        </is>
      </c>
      <c r="F78" s="2" t="inlineStr">
        <is>
          <t>N–H</t>
        </is>
      </c>
      <c r="G78" s="2" t="inlineStr">
        <is>
          <t>N–O</t>
        </is>
      </c>
      <c r="H78" s="2" t="n"/>
      <c r="I78" s="2" t="n"/>
      <c r="J78" s="2" t="n"/>
      <c r="K78" s="2" t="n"/>
      <c r="L78" s="2">
        <f>IF(AND(ISNUMBER(I78),ISNUMBER(K78)),K78-I78,"")</f>
        <v/>
      </c>
      <c r="M78" s="4">
        <f>IF(ISNUMBER(L78),10^L78,"")</f>
        <v/>
      </c>
      <c r="N78" s="2">
        <f>IF(ISNUMBER(L78),IF(L78&gt;=0,"downhill (favoured)","uphill (small amount)"),"")</f>
        <v/>
      </c>
      <c r="O78" s="2" t="inlineStr">
        <is>
          <t>water</t>
        </is>
      </c>
      <c r="P78" s="2" t="n">
        <v>-1.7</v>
      </c>
      <c r="Q78" s="3" t="inlineStr">
        <is>
          <t>[NH3+]c1ccccc1.O</t>
        </is>
      </c>
      <c r="R78" s="2" t="inlineStr">
        <is>
          <t>In acid the amine is protonated.</t>
        </is>
      </c>
      <c r="S78" s="3" t="inlineStr">
        <is>
          <t>ONc1ccccc1</t>
        </is>
      </c>
      <c r="T78" s="3" t="inlineStr"/>
    </row>
    <row r="79">
      <c r="A79" s="2" t="inlineStr">
        <is>
          <t>R023</t>
        </is>
      </c>
      <c r="B79" s="2" t="n">
        <v>4</v>
      </c>
      <c r="C79" s="2" t="inlineStr">
        <is>
          <t>base work-up (proton transfer)</t>
        </is>
      </c>
      <c r="D79" s="2" t="inlineStr">
        <is>
          <t>a lone pair on HO⁻</t>
        </is>
      </c>
      <c r="E79" s="2" t="inlineStr">
        <is>
          <t>an H of the anilinium N</t>
        </is>
      </c>
      <c r="F79" s="2" t="inlineStr">
        <is>
          <t>O–H</t>
        </is>
      </c>
      <c r="G79" s="2" t="inlineStr">
        <is>
          <t>N–H</t>
        </is>
      </c>
      <c r="H79" s="2" t="inlineStr">
        <is>
          <t>anilinium (ArNH3⁺)</t>
        </is>
      </c>
      <c r="I79" s="2" t="n">
        <v>4.6</v>
      </c>
      <c r="J79" s="2" t="inlineStr">
        <is>
          <t>water</t>
        </is>
      </c>
      <c r="K79" s="2" t="n">
        <v>15.7</v>
      </c>
      <c r="L79" s="2">
        <f>IF(AND(ISNUMBER(I79),ISNUMBER(K79)),K79-I79,"")</f>
        <v/>
      </c>
      <c r="M79" s="4">
        <f>IF(ISNUMBER(L79),10^L79,"")</f>
        <v/>
      </c>
      <c r="N79" s="2">
        <f>IF(ISNUMBER(L79),IF(L79&gt;=0,"downhill (favoured)","uphill (small amount)"),"")</f>
        <v/>
      </c>
      <c r="O79" s="2" t="n"/>
      <c r="P79" s="2" t="n"/>
      <c r="Q79" s="3" t="inlineStr">
        <is>
          <t>Nc1ccccc1.O</t>
        </is>
      </c>
      <c r="R79" s="2" t="inlineStr">
        <is>
          <t>Free aniline.</t>
        </is>
      </c>
      <c r="S79" s="3" t="inlineStr">
        <is>
          <t>[NH2+:1]([H:2])c1ccccc1.[OH-:3]</t>
        </is>
      </c>
      <c r="T79" s="3" t="inlineStr">
        <is>
          <t>3&gt;2; 2-1&gt;1</t>
        </is>
      </c>
    </row>
    <row r="80">
      <c r="A80" s="2" t="inlineStr">
        <is>
          <t>R024</t>
        </is>
      </c>
      <c r="B80" s="2" t="n">
        <v>1</v>
      </c>
      <c r="C80" s="2" t="inlineStr">
        <is>
          <t>nitrosonium ion forms</t>
        </is>
      </c>
      <c r="D80" s="2" t="inlineStr">
        <is>
          <t>HONO (from NaNO2 + HCl) is protonated on OH; the N–OH2⁺ bond's electrons go to O</t>
        </is>
      </c>
      <c r="E80" s="2" t="inlineStr">
        <is>
          <t>water leaves</t>
        </is>
      </c>
      <c r="F80" s="2" t="inlineStr">
        <is>
          <t>N≡O⁺</t>
        </is>
      </c>
      <c r="G80" s="2" t="inlineStr">
        <is>
          <t>N–O</t>
        </is>
      </c>
      <c r="H80" s="2" t="n"/>
      <c r="I80" s="2" t="n"/>
      <c r="J80" s="2" t="n"/>
      <c r="K80" s="2" t="n"/>
      <c r="L80" s="2">
        <f>IF(AND(ISNUMBER(I80),ISNUMBER(K80)),K80-I80,"")</f>
        <v/>
      </c>
      <c r="M80" s="4">
        <f>IF(ISNUMBER(L80),10^L80,"")</f>
        <v/>
      </c>
      <c r="N80" s="2">
        <f>IF(ISNUMBER(L80),IF(L80&gt;=0,"downhill (favoured)","uphill (small amount)"),"")</f>
        <v/>
      </c>
      <c r="O80" s="2" t="inlineStr">
        <is>
          <t>water</t>
        </is>
      </c>
      <c r="P80" s="2" t="n">
        <v>-1.7</v>
      </c>
      <c r="Q80" s="3" t="inlineStr">
        <is>
          <t>N#[O+].O</t>
        </is>
      </c>
      <c r="R80" s="2" t="inlineStr">
        <is>
          <t>NO⁺ is the electrophile.</t>
        </is>
      </c>
      <c r="S80" s="3" t="inlineStr">
        <is>
          <t>[O:2]=[N:3][OH2+:1]</t>
        </is>
      </c>
      <c r="T80" s="3" t="inlineStr">
        <is>
          <t>3-1&gt;1; 2&gt;2-3</t>
        </is>
      </c>
    </row>
    <row r="81">
      <c r="A81" s="2" t="inlineStr">
        <is>
          <t>R024</t>
        </is>
      </c>
      <c r="B81" s="2" t="n">
        <v>2</v>
      </c>
      <c r="C81" s="2" t="inlineStr">
        <is>
          <t>N attacks NO⁺</t>
        </is>
      </c>
      <c r="D81" s="2" t="inlineStr">
        <is>
          <t>the lone pair on aniline's N</t>
        </is>
      </c>
      <c r="E81" s="2" t="inlineStr">
        <is>
          <t>the N of NO⁺; the N≡O π electrons go to O</t>
        </is>
      </c>
      <c r="F81" s="2" t="inlineStr">
        <is>
          <t>N–N</t>
        </is>
      </c>
      <c r="G81" s="2" t="inlineStr">
        <is>
          <t>N≡O (π)</t>
        </is>
      </c>
      <c r="H81" s="2" t="n"/>
      <c r="I81" s="2" t="n"/>
      <c r="J81" s="2" t="n"/>
      <c r="K81" s="2" t="n"/>
      <c r="L81" s="2">
        <f>IF(AND(ISNUMBER(I81),ISNUMBER(K81)),K81-I81,"")</f>
        <v/>
      </c>
      <c r="M81" s="4">
        <f>IF(ISNUMBER(L81),10^L81,"")</f>
        <v/>
      </c>
      <c r="N81" s="2">
        <f>IF(ISNUMBER(L81),IF(L81&gt;=0,"downhill (favoured)","uphill (small amount)"),"")</f>
        <v/>
      </c>
      <c r="O81" s="2" t="n"/>
      <c r="P81" s="2" t="n"/>
      <c r="Q81" s="3" t="inlineStr">
        <is>
          <t>O=N[NH2+]c1ccccc1</t>
        </is>
      </c>
      <c r="R81" s="2" t="inlineStr"/>
      <c r="S81" s="3" t="inlineStr">
        <is>
          <t>[NH2:1]c1ccccc1.[N:2]#[O+:3]</t>
        </is>
      </c>
      <c r="T81" s="3" t="inlineStr">
        <is>
          <t>1&gt;2; 2-3&gt;3</t>
        </is>
      </c>
    </row>
    <row r="82">
      <c r="A82" s="2" t="inlineStr">
        <is>
          <t>R024</t>
        </is>
      </c>
      <c r="B82" s="2" t="n">
        <v>3</v>
      </c>
      <c r="C82" s="2" t="inlineStr">
        <is>
          <t>proton transfer</t>
        </is>
      </c>
      <c r="D82" s="2" t="inlineStr">
        <is>
          <t>a lone pair on water</t>
        </is>
      </c>
      <c r="E82" s="2" t="inlineStr">
        <is>
          <t>an H on the N⁺</t>
        </is>
      </c>
      <c r="F82" s="2" t="inlineStr">
        <is>
          <t>O–H</t>
        </is>
      </c>
      <c r="G82" s="2" t="inlineStr">
        <is>
          <t>N–H</t>
        </is>
      </c>
      <c r="H82" s="2" t="n"/>
      <c r="I82" s="2" t="n"/>
      <c r="J82" s="2" t="n"/>
      <c r="K82" s="2" t="n"/>
      <c r="L82" s="2">
        <f>IF(AND(ISNUMBER(I82),ISNUMBER(K82)),K82-I82,"")</f>
        <v/>
      </c>
      <c r="M82" s="4">
        <f>IF(ISNUMBER(L82),10^L82,"")</f>
        <v/>
      </c>
      <c r="N82" s="2">
        <f>IF(ISNUMBER(L82),IF(L82&gt;=0,"downhill (favoured)","uphill (small amount)"),"")</f>
        <v/>
      </c>
      <c r="O82" s="2" t="n"/>
      <c r="P82" s="2" t="n"/>
      <c r="Q82" s="3" t="inlineStr">
        <is>
          <t>O=NNc1ccccc1.[OH3+]</t>
        </is>
      </c>
      <c r="R82" s="2" t="inlineStr">
        <is>
          <t>N-Nitrosamine.</t>
        </is>
      </c>
      <c r="S82" s="3" t="inlineStr">
        <is>
          <t>O=N[NH+:1]([H:2])c1ccccc1.[OH2:3]</t>
        </is>
      </c>
      <c r="T82" s="3" t="inlineStr">
        <is>
          <t>3&gt;2; 2-1&gt;1</t>
        </is>
      </c>
    </row>
    <row r="83">
      <c r="A83" s="2" t="inlineStr">
        <is>
          <t>R024</t>
        </is>
      </c>
      <c r="B83" s="2" t="n">
        <v>4</v>
      </c>
      <c r="C83" s="2" t="inlineStr">
        <is>
          <t>tautomerisation</t>
        </is>
      </c>
      <c r="D83" s="2" t="inlineStr">
        <is>
          <t>the N–H and the N=O π electrons</t>
        </is>
      </c>
      <c r="E83" s="2" t="inlineStr">
        <is>
          <t>H moves from N to O</t>
        </is>
      </c>
      <c r="F83" s="2" t="inlineStr">
        <is>
          <t>N=N; O–H</t>
        </is>
      </c>
      <c r="G83" s="2" t="inlineStr">
        <is>
          <t>N–H; N=O (π)</t>
        </is>
      </c>
      <c r="H83" s="2" t="n"/>
      <c r="I83" s="2" t="n"/>
      <c r="J83" s="2" t="n"/>
      <c r="K83" s="2" t="n"/>
      <c r="L83" s="2">
        <f>IF(AND(ISNUMBER(I83),ISNUMBER(K83)),K83-I83,"")</f>
        <v/>
      </c>
      <c r="M83" s="4">
        <f>IF(ISNUMBER(L83),10^L83,"")</f>
        <v/>
      </c>
      <c r="N83" s="2">
        <f>IF(ISNUMBER(L83),IF(L83&gt;=0,"downhill (favoured)","uphill (small amount)"),"")</f>
        <v/>
      </c>
      <c r="O83" s="2" t="n"/>
      <c r="P83" s="2" t="n"/>
      <c r="Q83" s="3" t="inlineStr">
        <is>
          <t>ON=Nc1ccccc1</t>
        </is>
      </c>
      <c r="R83" s="2" t="inlineStr">
        <is>
          <t>Diazohydroxide.</t>
        </is>
      </c>
      <c r="S83" s="3" t="inlineStr">
        <is>
          <t>[O:1]=[N:2][N:3]([H:4])c1ccccc1</t>
        </is>
      </c>
      <c r="T83" s="3" t="inlineStr">
        <is>
          <t>3&gt;2-3; 2-1&gt;1; 1&gt;4; 4-3&gt;3</t>
        </is>
      </c>
    </row>
    <row r="84">
      <c r="A84" s="2" t="inlineStr">
        <is>
          <t>R024</t>
        </is>
      </c>
      <c r="B84" s="2" t="n">
        <v>5</v>
      </c>
      <c r="C84" s="2" t="inlineStr">
        <is>
          <t>protonation, then loss of water</t>
        </is>
      </c>
      <c r="D84" s="2" t="inlineStr">
        <is>
          <t>the O–H is protonated; the N–OH2⁺ bond's electrons</t>
        </is>
      </c>
      <c r="E84" s="2" t="inlineStr">
        <is>
          <t>form the N≡N (water leaves)</t>
        </is>
      </c>
      <c r="F84" s="2" t="inlineStr">
        <is>
          <t>N≡N</t>
        </is>
      </c>
      <c r="G84" s="2" t="inlineStr">
        <is>
          <t>N–O</t>
        </is>
      </c>
      <c r="H84" s="2" t="n"/>
      <c r="I84" s="2" t="n"/>
      <c r="J84" s="2" t="n"/>
      <c r="K84" s="2" t="n"/>
      <c r="L84" s="2">
        <f>IF(AND(ISNUMBER(I84),ISNUMBER(K84)),K84-I84,"")</f>
        <v/>
      </c>
      <c r="M84" s="4">
        <f>IF(ISNUMBER(L84),10^L84,"")</f>
        <v/>
      </c>
      <c r="N84" s="2">
        <f>IF(ISNUMBER(L84),IF(L84&gt;=0,"downhill (favoured)","uphill (small amount)"),"")</f>
        <v/>
      </c>
      <c r="O84" s="2" t="inlineStr">
        <is>
          <t>water</t>
        </is>
      </c>
      <c r="P84" s="2" t="n">
        <v>-1.7</v>
      </c>
      <c r="Q84" s="3" t="inlineStr">
        <is>
          <t>N#[N+]c1ccccc1.O</t>
        </is>
      </c>
      <c r="R84" s="2" t="inlineStr">
        <is>
          <t>Aryl diazonium: stable only cold (0–5 °C).</t>
        </is>
      </c>
      <c r="S84" s="3" t="inlineStr">
        <is>
          <t>[OH2+:1][N:2]=[N:3]c1ccccc1</t>
        </is>
      </c>
      <c r="T84" s="3" t="inlineStr">
        <is>
          <t>3&gt;2-3; 2-1&gt;1</t>
        </is>
      </c>
    </row>
    <row r="85">
      <c r="A85" s="2" t="inlineStr">
        <is>
          <t>R025</t>
        </is>
      </c>
      <c r="B85" s="2" t="n">
        <v>1</v>
      </c>
      <c r="C85" s="2" t="inlineStr">
        <is>
          <t>single electron transfer</t>
        </is>
      </c>
      <c r="D85" s="2" t="inlineStr">
        <is>
          <t>one electron from Cu(I)Br</t>
        </is>
      </c>
      <c r="E85" s="2" t="inlineStr">
        <is>
          <t>the diazonium; the C–N bond's electrons… N2 leaves</t>
        </is>
      </c>
      <c r="F85" s="2" t="inlineStr"/>
      <c r="G85" s="2" t="inlineStr">
        <is>
          <t>C–N</t>
        </is>
      </c>
      <c r="H85" s="2" t="n"/>
      <c r="I85" s="2" t="n"/>
      <c r="J85" s="2" t="n"/>
      <c r="K85" s="2" t="n"/>
      <c r="L85" s="2">
        <f>IF(AND(ISNUMBER(I85),ISNUMBER(K85)),K85-I85,"")</f>
        <v/>
      </c>
      <c r="M85" s="4">
        <f>IF(ISNUMBER(L85),10^L85,"")</f>
        <v/>
      </c>
      <c r="N85" s="2">
        <f>IF(ISNUMBER(L85),IF(L85&gt;=0,"downhill (favoured)","uphill (small amount)"),"")</f>
        <v/>
      </c>
      <c r="O85" s="2" t="n"/>
      <c r="P85" s="2" t="n"/>
      <c r="Q85" s="3" t="inlineStr">
        <is>
          <t>[c]1ccccc1.N#N</t>
        </is>
      </c>
      <c r="R85" s="2" t="inlineStr">
        <is>
          <t>Aryl radical + N2 gas (the driving force); Cu(I) → Cu(II).</t>
        </is>
      </c>
      <c r="S85" s="3" t="inlineStr">
        <is>
          <t>[N:1]#[N+:2][c:3]1ccccc1.[Cu:4]Br</t>
        </is>
      </c>
      <c r="T85" s="3" t="inlineStr">
        <is>
          <t>~4&gt;2; ~3-2&gt;3; ~3-2&gt;2</t>
        </is>
      </c>
    </row>
    <row r="86">
      <c r="A86" s="2" t="inlineStr">
        <is>
          <t>R025</t>
        </is>
      </c>
      <c r="B86" s="2" t="n">
        <v>2</v>
      </c>
      <c r="C86" s="2" t="inlineStr">
        <is>
          <t>bromine transfer</t>
        </is>
      </c>
      <c r="D86" s="2" t="inlineStr">
        <is>
          <t>the aryl radical</t>
        </is>
      </c>
      <c r="E86" s="2" t="inlineStr">
        <is>
          <t>a Br on Cu(II)Br2; Cu(II) → Cu(I)</t>
        </is>
      </c>
      <c r="F86" s="2" t="inlineStr">
        <is>
          <t>C–Br</t>
        </is>
      </c>
      <c r="G86" s="2" t="inlineStr">
        <is>
          <t>Cu–Br</t>
        </is>
      </c>
      <c r="H86" s="2" t="n"/>
      <c r="I86" s="2" t="n"/>
      <c r="J86" s="2" t="n"/>
      <c r="K86" s="2" t="n"/>
      <c r="L86" s="2">
        <f>IF(AND(ISNUMBER(I86),ISNUMBER(K86)),K86-I86,"")</f>
        <v/>
      </c>
      <c r="M86" s="4">
        <f>IF(ISNUMBER(L86),10^L86,"")</f>
        <v/>
      </c>
      <c r="N86" s="2">
        <f>IF(ISNUMBER(L86),IF(L86&gt;=0,"downhill (favoured)","uphill (small amount)"),"")</f>
        <v/>
      </c>
      <c r="O86" s="2" t="n"/>
      <c r="P86" s="2" t="n"/>
      <c r="Q86" s="3" t="inlineStr">
        <is>
          <t>Brc1ccccc1</t>
        </is>
      </c>
      <c r="R86" s="2" t="inlineStr">
        <is>
          <t>CuBr is regenerated.</t>
        </is>
      </c>
      <c r="S86" s="3" t="inlineStr">
        <is>
          <t>[c:1]1ccccc1.[Br:2][Cu:3]Br</t>
        </is>
      </c>
      <c r="T86" s="3" t="inlineStr">
        <is>
          <t>~1&gt;1-2; ~2-3&gt;1-2; ~2-3&gt;3</t>
        </is>
      </c>
    </row>
    <row r="87">
      <c r="A87" s="2" t="inlineStr">
        <is>
          <t>R026</t>
        </is>
      </c>
      <c r="B87" s="2" t="n">
        <v>1</v>
      </c>
      <c r="C87" s="2" t="inlineStr">
        <is>
          <t>SN2 (one step)</t>
        </is>
      </c>
      <c r="D87" s="2" t="inlineStr">
        <is>
          <t>the lone pair on cyanide's C</t>
        </is>
      </c>
      <c r="E87" s="2" t="inlineStr">
        <is>
          <t>the C–Br carbon from the back; the C–Br bond's electrons go to Br (Br⁻)</t>
        </is>
      </c>
      <c r="F87" s="2" t="inlineStr">
        <is>
          <t>C–C</t>
        </is>
      </c>
      <c r="G87" s="2" t="inlineStr">
        <is>
          <t>C–Br</t>
        </is>
      </c>
      <c r="H87" s="2" t="n"/>
      <c r="I87" s="2" t="n"/>
      <c r="J87" s="2" t="n"/>
      <c r="K87" s="2" t="n"/>
      <c r="L87" s="2">
        <f>IF(AND(ISNUMBER(I87),ISNUMBER(K87)),K87-I87,"")</f>
        <v/>
      </c>
      <c r="M87" s="4">
        <f>IF(ISNUMBER(L87),10^L87,"")</f>
        <v/>
      </c>
      <c r="N87" s="2">
        <f>IF(ISNUMBER(L87),IF(L87&gt;=0,"downhill (favoured)","uphill (small amount)"),"")</f>
        <v/>
      </c>
      <c r="O87" s="2" t="inlineStr">
        <is>
          <t>bromide</t>
        </is>
      </c>
      <c r="P87" s="2" t="n">
        <v>-9</v>
      </c>
      <c r="Q87" s="3" t="inlineStr">
        <is>
          <t>CCCCC#N.[Br-]</t>
        </is>
      </c>
      <c r="R87" s="2" t="inlineStr">
        <is>
          <t>Backside attack: inversion at a stereocentre. DMSO leaves the anion unsolvated and reactive.</t>
        </is>
      </c>
      <c r="S87" s="3" t="inlineStr">
        <is>
          <t>N#[C-:1].[CH2:2]([Br:3])CCC</t>
        </is>
      </c>
      <c r="T87" s="3" t="inlineStr">
        <is>
          <t>1&gt;2; 2-3&gt;3</t>
        </is>
      </c>
    </row>
    <row r="88">
      <c r="A88" s="2" t="inlineStr">
        <is>
          <t>R027</t>
        </is>
      </c>
      <c r="B88" s="2" t="n">
        <v>1</v>
      </c>
      <c r="C88" s="2" t="inlineStr">
        <is>
          <t>SN2 (one step)</t>
        </is>
      </c>
      <c r="D88" s="2" t="inlineStr">
        <is>
          <t>a lone pair on ethoxide's O</t>
        </is>
      </c>
      <c r="E88" s="2" t="inlineStr">
        <is>
          <t>the C–Br carbon from the back; the C–Br bond's electrons go to Br</t>
        </is>
      </c>
      <c r="F88" s="2" t="inlineStr">
        <is>
          <t>C–O</t>
        </is>
      </c>
      <c r="G88" s="2" t="inlineStr">
        <is>
          <t>C–Br</t>
        </is>
      </c>
      <c r="H88" s="2" t="n"/>
      <c r="I88" s="2" t="n"/>
      <c r="J88" s="2" t="n"/>
      <c r="K88" s="2" t="n"/>
      <c r="L88" s="2">
        <f>IF(AND(ISNUMBER(I88),ISNUMBER(K88)),K88-I88,"")</f>
        <v/>
      </c>
      <c r="M88" s="4">
        <f>IF(ISNUMBER(L88),10^L88,"")</f>
        <v/>
      </c>
      <c r="N88" s="2">
        <f>IF(ISNUMBER(L88),IF(L88&gt;=0,"downhill (favoured)","uphill (small amount)"),"")</f>
        <v/>
      </c>
      <c r="O88" s="2" t="inlineStr">
        <is>
          <t>bromide</t>
        </is>
      </c>
      <c r="P88" s="2" t="n">
        <v>-9</v>
      </c>
      <c r="Q88" s="3" t="inlineStr">
        <is>
          <t>CCOCC.[Br-]</t>
        </is>
      </c>
      <c r="R88" s="2" t="inlineStr">
        <is>
          <t>Works on methyl and 1° halides; 2° and 3° halides give E2 instead.</t>
        </is>
      </c>
      <c r="S88" s="3" t="inlineStr">
        <is>
          <t>CC[O-:1].C[CH2:2][Br:3]</t>
        </is>
      </c>
      <c r="T88" s="3" t="inlineStr">
        <is>
          <t>1&gt;2; 2-3&gt;3</t>
        </is>
      </c>
    </row>
    <row r="89">
      <c r="A89" s="2" t="inlineStr">
        <is>
          <t>R028</t>
        </is>
      </c>
      <c r="B89" s="2" t="n">
        <v>1</v>
      </c>
      <c r="C89" s="2" t="inlineStr">
        <is>
          <t>SN2 (one step)</t>
        </is>
      </c>
      <c r="D89" s="2" t="inlineStr">
        <is>
          <t>a lone pair on I⁻</t>
        </is>
      </c>
      <c r="E89" s="2" t="inlineStr">
        <is>
          <t>the C–Cl carbon from the back; the C–Cl bond's electrons go to Cl</t>
        </is>
      </c>
      <c r="F89" s="2" t="inlineStr">
        <is>
          <t>C–I</t>
        </is>
      </c>
      <c r="G89" s="2" t="inlineStr">
        <is>
          <t>C–Cl</t>
        </is>
      </c>
      <c r="H89" s="2" t="n"/>
      <c r="I89" s="2" t="n"/>
      <c r="J89" s="2" t="n"/>
      <c r="K89" s="2" t="n"/>
      <c r="L89" s="2">
        <f>IF(AND(ISNUMBER(I89),ISNUMBER(K89)),K89-I89,"")</f>
        <v/>
      </c>
      <c r="M89" s="4">
        <f>IF(ISNUMBER(L89),10^L89,"")</f>
        <v/>
      </c>
      <c r="N89" s="2">
        <f>IF(ISNUMBER(L89),IF(L89&gt;=0,"downhill (favoured)","uphill (small amount)"),"")</f>
        <v/>
      </c>
      <c r="O89" s="2" t="inlineStr">
        <is>
          <t>chloride</t>
        </is>
      </c>
      <c r="P89" s="2" t="n">
        <v>-7</v>
      </c>
      <c r="Q89" s="3" t="inlineStr">
        <is>
          <t>CCCCI.[Cl-]</t>
        </is>
      </c>
      <c r="R89" s="2" t="inlineStr">
        <is>
          <t>Equilibrium; NaCl is insoluble in acetone and precipitates, pulling it forward.</t>
        </is>
      </c>
      <c r="S89" s="3" t="inlineStr">
        <is>
          <t>[I-:1].CCC[CH2:2][Cl:3]</t>
        </is>
      </c>
      <c r="T89" s="3" t="inlineStr">
        <is>
          <t>1&gt;2; 2-3&gt;3</t>
        </is>
      </c>
    </row>
    <row r="90">
      <c r="A90" s="2" t="inlineStr">
        <is>
          <t>R029</t>
        </is>
      </c>
      <c r="B90" s="2" t="n">
        <v>1</v>
      </c>
      <c r="C90" s="2" t="inlineStr">
        <is>
          <t>E2 (one step)</t>
        </is>
      </c>
      <c r="D90" s="2" t="inlineStr">
        <is>
          <t>a lone pair on t-BuO⁻</t>
        </is>
      </c>
      <c r="E90" s="2" t="inlineStr">
        <is>
          <t>an H on a CH3 (anti-periplanar to Br); the C–H electrons form the C=C; the C–Br electrons go to Br</t>
        </is>
      </c>
      <c r="F90" s="2" t="inlineStr">
        <is>
          <t>O–H; C=C</t>
        </is>
      </c>
      <c r="G90" s="2" t="inlineStr">
        <is>
          <t>C–H; C–Br</t>
        </is>
      </c>
      <c r="H90" s="2" t="n"/>
      <c r="I90" s="2" t="n"/>
      <c r="J90" s="2" t="n"/>
      <c r="K90" s="2" t="n"/>
      <c r="L90" s="2">
        <f>IF(AND(ISNUMBER(I90),ISNUMBER(K90)),K90-I90,"")</f>
        <v/>
      </c>
      <c r="M90" s="4">
        <f>IF(ISNUMBER(L90),10^L90,"")</f>
        <v/>
      </c>
      <c r="N90" s="2">
        <f>IF(ISNUMBER(L90),IF(L90&gt;=0,"downhill (favoured)","uphill (small amount)"),"")</f>
        <v/>
      </c>
      <c r="O90" s="2" t="inlineStr">
        <is>
          <t>bromide</t>
        </is>
      </c>
      <c r="P90" s="2" t="n">
        <v>-9</v>
      </c>
      <c r="Q90" s="3" t="inlineStr">
        <is>
          <t>C=C(C)CC.CC(C)(C)O.[Br-]</t>
        </is>
      </c>
      <c r="R90" s="2" t="inlineStr">
        <is>
          <t>The bulky base reaches the open CH3 hydrogens: Hofmann (less substituted) alkene. On its own the C–H (pKa ≈ 50) → t-BuOH (pKa 18) transfer would be very uphill; losing Br⁻ in the same step pays for it.</t>
        </is>
      </c>
      <c r="S90" s="3" t="inlineStr">
        <is>
          <t>CC(C)(C)[O-:1].[H:2][CH2:3][C:4](C)([Br:5])CC</t>
        </is>
      </c>
      <c r="T90" s="3" t="inlineStr">
        <is>
          <t>1&gt;2; 2-3&gt;3-4; 4-5&gt;5</t>
        </is>
      </c>
    </row>
    <row r="91">
      <c r="A91" s="2" t="inlineStr">
        <is>
          <t>R030</t>
        </is>
      </c>
      <c r="B91" s="2" t="n">
        <v>1</v>
      </c>
      <c r="C91" s="2" t="inlineStr">
        <is>
          <t>E2 (one step)</t>
        </is>
      </c>
      <c r="D91" s="2" t="inlineStr">
        <is>
          <t>a lone pair on EtO⁻</t>
        </is>
      </c>
      <c r="E91" s="2" t="inlineStr">
        <is>
          <t>an H on the CH2 (anti-periplanar to Br); the C–H electrons form the C=C; the C–Br electrons go to Br</t>
        </is>
      </c>
      <c r="F91" s="2" t="inlineStr">
        <is>
          <t>O–H; C=C</t>
        </is>
      </c>
      <c r="G91" s="2" t="inlineStr">
        <is>
          <t>C–H; C–Br</t>
        </is>
      </c>
      <c r="H91" s="2" t="n"/>
      <c r="I91" s="2" t="n"/>
      <c r="J91" s="2" t="n"/>
      <c r="K91" s="2" t="n"/>
      <c r="L91" s="2">
        <f>IF(AND(ISNUMBER(I91),ISNUMBER(K91)),K91-I91,"")</f>
        <v/>
      </c>
      <c r="M91" s="4">
        <f>IF(ISNUMBER(L91),10^L91,"")</f>
        <v/>
      </c>
      <c r="N91" s="2">
        <f>IF(ISNUMBER(L91),IF(L91&gt;=0,"downhill (favoured)","uphill (small amount)"),"")</f>
        <v/>
      </c>
      <c r="O91" s="2" t="inlineStr">
        <is>
          <t>bromide</t>
        </is>
      </c>
      <c r="P91" s="2" t="n">
        <v>-9</v>
      </c>
      <c r="Q91" s="3" t="inlineStr">
        <is>
          <t>CC=C(C)C.CCO.[Br-]</t>
        </is>
      </c>
      <c r="R91" s="2" t="inlineStr">
        <is>
          <t>The small base takes the H that gives the more substituted (more stable) alkene: Zaitsev.</t>
        </is>
      </c>
      <c r="S91" s="3" t="inlineStr">
        <is>
          <t>CC[O-:1].C[CH:3]([H:2])[C:4](C)(C)[Br:5]</t>
        </is>
      </c>
      <c r="T91" s="3" t="inlineStr">
        <is>
          <t>1&gt;2; 2-3&gt;3-4; 4-5&gt;5</t>
        </is>
      </c>
    </row>
    <row r="92">
      <c r="A92" s="2" t="inlineStr">
        <is>
          <t>R031</t>
        </is>
      </c>
      <c r="B92" s="2" t="n">
        <v>1</v>
      </c>
      <c r="C92" s="2" t="inlineStr">
        <is>
          <t>O attacks P</t>
        </is>
      </c>
      <c r="D92" s="2" t="inlineStr">
        <is>
          <t>a lone pair on the alcohol O</t>
        </is>
      </c>
      <c r="E92" s="2" t="inlineStr">
        <is>
          <t>P of PBr3; a P–Br bond's electrons go to Br (Br⁻)</t>
        </is>
      </c>
      <c r="F92" s="2" t="inlineStr">
        <is>
          <t>O–P</t>
        </is>
      </c>
      <c r="G92" s="2" t="inlineStr">
        <is>
          <t>P–Br</t>
        </is>
      </c>
      <c r="H92" s="2" t="n"/>
      <c r="I92" s="2" t="n"/>
      <c r="J92" s="2" t="n"/>
      <c r="K92" s="2" t="n"/>
      <c r="L92" s="2">
        <f>IF(AND(ISNUMBER(I92),ISNUMBER(K92)),K92-I92,"")</f>
        <v/>
      </c>
      <c r="M92" s="4">
        <f>IF(ISNUMBER(L92),10^L92,"")</f>
        <v/>
      </c>
      <c r="N92" s="2">
        <f>IF(ISNUMBER(L92),IF(L92&gt;=0,"downhill (favoured)","uphill (small amount)"),"")</f>
        <v/>
      </c>
      <c r="O92" s="2" t="n"/>
      <c r="P92" s="2" t="n"/>
      <c r="Q92" s="3" t="inlineStr">
        <is>
          <t>CCCC[OH+]P(Br)Br.[Br-]</t>
        </is>
      </c>
      <c r="R92" s="2" t="inlineStr">
        <is>
          <t>The OH becomes a good leaving group (–O⁺(H)PBr2).</t>
        </is>
      </c>
      <c r="S92" s="3" t="inlineStr">
        <is>
          <t>CCC[CH2][OH:1].[Br:3][P:2](Br)Br</t>
        </is>
      </c>
      <c r="T92" s="3" t="inlineStr">
        <is>
          <t>1&gt;2; 2-3&gt;3</t>
        </is>
      </c>
    </row>
    <row r="93">
      <c r="A93" s="2" t="inlineStr">
        <is>
          <t>R031</t>
        </is>
      </c>
      <c r="B93" s="2" t="n">
        <v>2</v>
      </c>
      <c r="C93" s="2" t="inlineStr">
        <is>
          <t>SN2 by bromide</t>
        </is>
      </c>
      <c r="D93" s="2" t="inlineStr">
        <is>
          <t>a lone pair on Br⁻</t>
        </is>
      </c>
      <c r="E93" s="2" t="inlineStr">
        <is>
          <t>the C–O carbon from the back; the C–O bond's electrons go to O</t>
        </is>
      </c>
      <c r="F93" s="2" t="inlineStr">
        <is>
          <t>C–Br</t>
        </is>
      </c>
      <c r="G93" s="2" t="inlineStr">
        <is>
          <t>C–O</t>
        </is>
      </c>
      <c r="H93" s="2" t="n"/>
      <c r="I93" s="2" t="n"/>
      <c r="J93" s="2" t="n"/>
      <c r="K93" s="2" t="n"/>
      <c r="L93" s="2">
        <f>IF(AND(ISNUMBER(I93),ISNUMBER(K93)),K93-I93,"")</f>
        <v/>
      </c>
      <c r="M93" s="4">
        <f>IF(ISNUMBER(L93),10^L93,"")</f>
        <v/>
      </c>
      <c r="N93" s="2">
        <f>IF(ISNUMBER(L93),IF(L93&gt;=0,"downhill (favoured)","uphill (small amount)"),"")</f>
        <v/>
      </c>
      <c r="O93" s="2" t="inlineStr">
        <is>
          <t>HOPBr2</t>
        </is>
      </c>
      <c r="P93" s="2" t="n">
        <v>1</v>
      </c>
      <c r="Q93" s="3" t="inlineStr">
        <is>
          <t>CCCCBr.OP(Br)Br</t>
        </is>
      </c>
      <c r="R93" s="2" t="inlineStr">
        <is>
          <t>Inversion; no carbocation, so no rearrangement. HOPBr2 reacts twice more (→ H3PO3).</t>
        </is>
      </c>
      <c r="S93" s="3" t="inlineStr">
        <is>
          <t>CCC[CH2:1][OH+:2]P(Br)Br.[Br-:3]</t>
        </is>
      </c>
      <c r="T93" s="3" t="inlineStr">
        <is>
          <t>3&gt;1; 1-2&gt;2</t>
        </is>
      </c>
    </row>
    <row r="94">
      <c r="A94" s="2" t="inlineStr">
        <is>
          <t>R032</t>
        </is>
      </c>
      <c r="B94" s="2" t="n">
        <v>1</v>
      </c>
      <c r="C94" s="2" t="inlineStr">
        <is>
          <t>O attacks S</t>
        </is>
      </c>
      <c r="D94" s="2" t="inlineStr">
        <is>
          <t>a lone pair on the alcohol O</t>
        </is>
      </c>
      <c r="E94" s="2" t="inlineStr">
        <is>
          <t>S of SOCl2; an S–Cl bond's electrons go to Cl (Cl⁻)</t>
        </is>
      </c>
      <c r="F94" s="2" t="inlineStr">
        <is>
          <t>O–S</t>
        </is>
      </c>
      <c r="G94" s="2" t="inlineStr">
        <is>
          <t>S–Cl</t>
        </is>
      </c>
      <c r="H94" s="2" t="n"/>
      <c r="I94" s="2" t="n"/>
      <c r="J94" s="2" t="n"/>
      <c r="K94" s="2" t="n"/>
      <c r="L94" s="2">
        <f>IF(AND(ISNUMBER(I94),ISNUMBER(K94)),K94-I94,"")</f>
        <v/>
      </c>
      <c r="M94" s="4">
        <f>IF(ISNUMBER(L94),10^L94,"")</f>
        <v/>
      </c>
      <c r="N94" s="2">
        <f>IF(ISNUMBER(L94),IF(L94&gt;=0,"downhill (favoured)","uphill (small amount)"),"")</f>
        <v/>
      </c>
      <c r="O94" s="2" t="n"/>
      <c r="P94" s="2" t="n"/>
      <c r="Q94" s="3" t="inlineStr">
        <is>
          <t>CCCC[OH+]S(=O)Cl.[Cl-]</t>
        </is>
      </c>
      <c r="R94" s="2" t="inlineStr"/>
      <c r="S94" s="3" t="inlineStr">
        <is>
          <t>CCCC[OH:1].O=[S:2](Cl)[Cl:3]</t>
        </is>
      </c>
      <c r="T94" s="3" t="inlineStr">
        <is>
          <t>1&gt;2; 2-3&gt;3</t>
        </is>
      </c>
    </row>
    <row r="95">
      <c r="A95" s="2" t="inlineStr">
        <is>
          <t>R032</t>
        </is>
      </c>
      <c r="B95" s="2" t="n">
        <v>2</v>
      </c>
      <c r="C95" s="2" t="inlineStr">
        <is>
          <t>proton transfer</t>
        </is>
      </c>
      <c r="D95" s="2" t="inlineStr">
        <is>
          <t>the lone pair on pyridine's N</t>
        </is>
      </c>
      <c r="E95" s="2" t="inlineStr">
        <is>
          <t>the H on the O⁺</t>
        </is>
      </c>
      <c r="F95" s="2" t="inlineStr">
        <is>
          <t>N–H</t>
        </is>
      </c>
      <c r="G95" s="2" t="inlineStr">
        <is>
          <t>O–H</t>
        </is>
      </c>
      <c r="H95" s="2" t="inlineStr">
        <is>
          <t>the oxonium (R–O⁺H–S)</t>
        </is>
      </c>
      <c r="I95" s="2" t="n">
        <v>-3.5</v>
      </c>
      <c r="J95" s="2" t="inlineStr">
        <is>
          <t>pyridinium</t>
        </is>
      </c>
      <c r="K95" s="2" t="n">
        <v>5.2</v>
      </c>
      <c r="L95" s="2">
        <f>IF(AND(ISNUMBER(I95),ISNUMBER(K95)),K95-I95,"")</f>
        <v/>
      </c>
      <c r="M95" s="4">
        <f>IF(ISNUMBER(L95),10^L95,"")</f>
        <v/>
      </c>
      <c r="N95" s="2">
        <f>IF(ISNUMBER(L95),IF(L95&gt;=0,"downhill (favoured)","uphill (small amount)"),"")</f>
        <v/>
      </c>
      <c r="O95" s="2" t="n"/>
      <c r="P95" s="2" t="n"/>
      <c r="Q95" s="3" t="inlineStr">
        <is>
          <t>CCCCOS(=O)Cl.c1cc[nH+]cc1</t>
        </is>
      </c>
      <c r="R95" s="2" t="inlineStr">
        <is>
          <t>Alkyl chlorosulfite.</t>
        </is>
      </c>
      <c r="S95" s="3" t="inlineStr">
        <is>
          <t>CCCC[O+:1]([H:2])S(=O)Cl.[n:3]1ccccc1</t>
        </is>
      </c>
      <c r="T95" s="3" t="inlineStr">
        <is>
          <t>3&gt;2; 2-1&gt;1</t>
        </is>
      </c>
    </row>
    <row r="96">
      <c r="A96" s="2" t="inlineStr">
        <is>
          <t>R032</t>
        </is>
      </c>
      <c r="B96" s="2" t="n">
        <v>3</v>
      </c>
      <c r="C96" s="2" t="inlineStr">
        <is>
          <t>SN2 by chloride</t>
        </is>
      </c>
      <c r="D96" s="2" t="inlineStr">
        <is>
          <t>a lone pair on Cl⁻</t>
        </is>
      </c>
      <c r="E96" s="2" t="inlineStr">
        <is>
          <t>the C–O carbon from the back; the C–O electrons go to O (–OS(O)Cl leaves and falls apart)</t>
        </is>
      </c>
      <c r="F96" s="2" t="inlineStr">
        <is>
          <t>C–Cl</t>
        </is>
      </c>
      <c r="G96" s="2" t="inlineStr">
        <is>
          <t>C–O</t>
        </is>
      </c>
      <c r="H96" s="2" t="n"/>
      <c r="I96" s="2" t="n"/>
      <c r="J96" s="2" t="n"/>
      <c r="K96" s="2" t="n"/>
      <c r="L96" s="2">
        <f>IF(AND(ISNUMBER(I96),ISNUMBER(K96)),K96-I96,"")</f>
        <v/>
      </c>
      <c r="M96" s="4">
        <f>IF(ISNUMBER(L96),10^L96,"")</f>
        <v/>
      </c>
      <c r="N96" s="2">
        <f>IF(ISNUMBER(L96),IF(L96&gt;=0,"downhill (favoured)","uphill (small amount)"),"")</f>
        <v/>
      </c>
      <c r="O96" s="2" t="inlineStr">
        <is>
          <t>chlorosulfite (→ SO2 + Cl⁻)</t>
        </is>
      </c>
      <c r="P96" s="2" t="n">
        <v>-7</v>
      </c>
      <c r="Q96" s="3" t="inlineStr">
        <is>
          <t>CCCCCl.O=S=O.[Cl-]</t>
        </is>
      </c>
      <c r="R96" s="2" t="inlineStr">
        <is>
          <t>SO2 gas escapes: irreversible.</t>
        </is>
      </c>
      <c r="S96" s="3" t="inlineStr">
        <is>
          <t>CCC[CH2:1][O:2][S:4](=O)[Cl:5].[Cl-:3]</t>
        </is>
      </c>
      <c r="T96" s="3" t="inlineStr">
        <is>
          <t>3&gt;1; 1-2&gt;2; 2&gt;2-4; 4-5&gt;5</t>
        </is>
      </c>
    </row>
    <row r="97">
      <c r="A97" s="2" t="inlineStr">
        <is>
          <t>R033</t>
        </is>
      </c>
      <c r="B97" s="2" t="n">
        <v>1</v>
      </c>
      <c r="C97" s="2" t="inlineStr">
        <is>
          <t>chromate ester forms</t>
        </is>
      </c>
      <c r="D97" s="2" t="inlineStr">
        <is>
          <t>a lone pair on the alcohol O</t>
        </is>
      </c>
      <c r="E97" s="2" t="inlineStr">
        <is>
          <t>Cr of PCC (an O on Cr takes the alcohol's H)</t>
        </is>
      </c>
      <c r="F97" s="2" t="inlineStr">
        <is>
          <t>O–Cr</t>
        </is>
      </c>
      <c r="G97" s="2" t="inlineStr">
        <is>
          <t>O–H; Cr=O (π)</t>
        </is>
      </c>
      <c r="H97" s="2" t="n"/>
      <c r="I97" s="2" t="n"/>
      <c r="J97" s="2" t="n"/>
      <c r="K97" s="2" t="n"/>
      <c r="L97" s="2">
        <f>IF(AND(ISNUMBER(I97),ISNUMBER(K97)),K97-I97,"")</f>
        <v/>
      </c>
      <c r="M97" s="4">
        <f>IF(ISNUMBER(L97),10^L97,"")</f>
        <v/>
      </c>
      <c r="N97" s="2">
        <f>IF(ISNUMBER(L97),IF(L97&gt;=0,"downhill (favoured)","uphill (small amount)"),"")</f>
        <v/>
      </c>
      <c r="O97" s="2" t="n"/>
      <c r="P97" s="2" t="n"/>
      <c r="Q97" s="3" t="inlineStr">
        <is>
          <t>CCCCO[Cr](=O)(=O)Cl</t>
        </is>
      </c>
      <c r="R97" s="2" t="inlineStr"/>
      <c r="S97" s="3" t="inlineStr">
        <is>
          <t>CCCC[OH:1].O=[Cr:3](=[O:4])(Cl)[O-]</t>
        </is>
      </c>
      <c r="T97" s="3" t="inlineStr"/>
    </row>
    <row r="98">
      <c r="A98" s="2" t="inlineStr">
        <is>
          <t>R033</t>
        </is>
      </c>
      <c r="B98" s="2" t="n">
        <v>2</v>
      </c>
      <c r="C98" s="2" t="inlineStr">
        <is>
          <t>elimination (C–H → C=O)</t>
        </is>
      </c>
      <c r="D98" s="2" t="inlineStr">
        <is>
          <t>a base (pyridine) takes the H on the C–O carbon</t>
        </is>
      </c>
      <c r="E98" s="2" t="inlineStr">
        <is>
          <t>the C–H electrons form the C=O; the O–Cr electrons go to Cr (Cr(VI) → Cr(IV))</t>
        </is>
      </c>
      <c r="F98" s="2" t="inlineStr">
        <is>
          <t>C=O</t>
        </is>
      </c>
      <c r="G98" s="2" t="inlineStr">
        <is>
          <t>C–H; O–Cr</t>
        </is>
      </c>
      <c r="H98" s="2" t="n"/>
      <c r="I98" s="2" t="n"/>
      <c r="J98" s="2" t="n"/>
      <c r="K98" s="2" t="n"/>
      <c r="L98" s="2">
        <f>IF(AND(ISNUMBER(I98),ISNUMBER(K98)),K98-I98,"")</f>
        <v/>
      </c>
      <c r="M98" s="4">
        <f>IF(ISNUMBER(L98),10^L98,"")</f>
        <v/>
      </c>
      <c r="N98" s="2">
        <f>IF(ISNUMBER(L98),IF(L98&gt;=0,"downhill (favoured)","uphill (small amount)"),"")</f>
        <v/>
      </c>
      <c r="O98" s="2" t="n"/>
      <c r="P98" s="2" t="n"/>
      <c r="Q98" s="3" t="inlineStr">
        <is>
          <t>CCCC=O.O=[Cr-](=O)Cl.c1cc[nH+]cc1</t>
        </is>
      </c>
      <c r="R98" s="2" t="inlineStr">
        <is>
          <t>No water present, so the aldehyde is not hydrated and not oxidised further.</t>
        </is>
      </c>
      <c r="S98" s="3" t="inlineStr">
        <is>
          <t>CCC[CH:1]([H:2])[O:3][Cr:4](=O)(=O)Cl.[n:5]1ccccc1</t>
        </is>
      </c>
      <c r="T98" s="3" t="inlineStr">
        <is>
          <t>5&gt;2; 2-1&gt;1-3; 3-4&gt;4</t>
        </is>
      </c>
    </row>
    <row r="99">
      <c r="A99" s="2" t="inlineStr">
        <is>
          <t>R034</t>
        </is>
      </c>
      <c r="B99" s="2" t="n">
        <v>1</v>
      </c>
      <c r="C99" s="2" t="inlineStr">
        <is>
          <t>chromate ester forms</t>
        </is>
      </c>
      <c r="D99" s="2" t="inlineStr">
        <is>
          <t>a lone pair on the alcohol O</t>
        </is>
      </c>
      <c r="E99" s="2" t="inlineStr">
        <is>
          <t>Cr of H2CrO4 (made from CrO3 + water)</t>
        </is>
      </c>
      <c r="F99" s="2" t="inlineStr">
        <is>
          <t>O–Cr</t>
        </is>
      </c>
      <c r="G99" s="2" t="inlineStr">
        <is>
          <t>O–H; Cr=O (π)</t>
        </is>
      </c>
      <c r="H99" s="2" t="n"/>
      <c r="I99" s="2" t="n"/>
      <c r="J99" s="2" t="n"/>
      <c r="K99" s="2" t="n"/>
      <c r="L99" s="2">
        <f>IF(AND(ISNUMBER(I99),ISNUMBER(K99)),K99-I99,"")</f>
        <v/>
      </c>
      <c r="M99" s="4">
        <f>IF(ISNUMBER(L99),10^L99,"")</f>
        <v/>
      </c>
      <c r="N99" s="2">
        <f>IF(ISNUMBER(L99),IF(L99&gt;=0,"downhill (favoured)","uphill (small amount)"),"")</f>
        <v/>
      </c>
      <c r="O99" s="2" t="n"/>
      <c r="P99" s="2" t="n"/>
      <c r="Q99" s="3" t="inlineStr">
        <is>
          <t>CCCCO[Cr](=O)(=O)O</t>
        </is>
      </c>
      <c r="R99" s="2" t="inlineStr"/>
      <c r="S99" s="3" t="inlineStr">
        <is>
          <t>CCCC[OH:1].O=[Cr:2](=[O:3])(O)O</t>
        </is>
      </c>
      <c r="T99" s="3" t="inlineStr"/>
    </row>
    <row r="100">
      <c r="A100" s="2" t="inlineStr">
        <is>
          <t>R034</t>
        </is>
      </c>
      <c r="B100" s="2" t="n">
        <v>2</v>
      </c>
      <c r="C100" s="2" t="inlineStr">
        <is>
          <t>elimination to the aldehyde</t>
        </is>
      </c>
      <c r="D100" s="2" t="inlineStr">
        <is>
          <t>water takes the H on the C–O carbon</t>
        </is>
      </c>
      <c r="E100" s="2" t="inlineStr">
        <is>
          <t>the C–H electrons form the C=O; the O–Cr electrons go to Cr</t>
        </is>
      </c>
      <c r="F100" s="2" t="inlineStr">
        <is>
          <t>C=O</t>
        </is>
      </c>
      <c r="G100" s="2" t="inlineStr">
        <is>
          <t>C–H; O–Cr</t>
        </is>
      </c>
      <c r="H100" s="2" t="n"/>
      <c r="I100" s="2" t="n"/>
      <c r="J100" s="2" t="n"/>
      <c r="K100" s="2" t="n"/>
      <c r="L100" s="2">
        <f>IF(AND(ISNUMBER(I100),ISNUMBER(K100)),K100-I100,"")</f>
        <v/>
      </c>
      <c r="M100" s="4">
        <f>IF(ISNUMBER(L100),10^L100,"")</f>
        <v/>
      </c>
      <c r="N100" s="2">
        <f>IF(ISNUMBER(L100),IF(L100&gt;=0,"downhill (favoured)","uphill (small amount)"),"")</f>
        <v/>
      </c>
      <c r="O100" s="2" t="n"/>
      <c r="P100" s="2" t="n"/>
      <c r="Q100" s="3" t="inlineStr">
        <is>
          <t>CCCC=O</t>
        </is>
      </c>
      <c r="R100" s="2" t="inlineStr"/>
      <c r="S100" s="3" t="inlineStr">
        <is>
          <t>CCC[CH:1]([H:2])[O:3][Cr:4](=O)(=O)O.[OH2:5]</t>
        </is>
      </c>
      <c r="T100" s="3" t="inlineStr">
        <is>
          <t>5&gt;2; 2-1&gt;1-3; 3-4&gt;4</t>
        </is>
      </c>
    </row>
    <row r="101">
      <c r="A101" s="2" t="inlineStr">
        <is>
          <t>R034</t>
        </is>
      </c>
      <c r="B101" s="2" t="n">
        <v>3</v>
      </c>
      <c r="C101" s="2" t="inlineStr">
        <is>
          <t>hydration (acid catalysed)</t>
        </is>
      </c>
      <c r="D101" s="2" t="inlineStr">
        <is>
          <t>a lone pair on water</t>
        </is>
      </c>
      <c r="E101" s="2" t="inlineStr">
        <is>
          <t>the carbonyl C; the C=O π electrons go to O</t>
        </is>
      </c>
      <c r="F101" s="2" t="inlineStr">
        <is>
          <t>C–O</t>
        </is>
      </c>
      <c r="G101" s="2" t="inlineStr">
        <is>
          <t>C=O (π)</t>
        </is>
      </c>
      <c r="H101" s="2" t="n"/>
      <c r="I101" s="2" t="n"/>
      <c r="J101" s="2" t="n"/>
      <c r="K101" s="2" t="n"/>
      <c r="L101" s="2">
        <f>IF(AND(ISNUMBER(I101),ISNUMBER(K101)),K101-I101,"")</f>
        <v/>
      </c>
      <c r="M101" s="4">
        <f>IF(ISNUMBER(L101),10^L101,"")</f>
        <v/>
      </c>
      <c r="N101" s="2">
        <f>IF(ISNUMBER(L101),IF(L101&gt;=0,"downhill (favoured)","uphill (small amount)"),"")</f>
        <v/>
      </c>
      <c r="O101" s="2" t="n"/>
      <c r="P101" s="2" t="n"/>
      <c r="Q101" s="3" t="inlineStr">
        <is>
          <t>CCCC(O)O</t>
        </is>
      </c>
      <c r="R101" s="2" t="inlineStr">
        <is>
          <t>The aldehyde hydrate (gem-diol): only forms because water is present.</t>
        </is>
      </c>
      <c r="S101" s="3" t="inlineStr">
        <is>
          <t>CCC[CH:1]=[O:2].[O:3]([H:4])[H]</t>
        </is>
      </c>
      <c r="T101" s="3" t="inlineStr">
        <is>
          <t>3&gt;1; 1-2&gt;2; 2&gt;4; 4-3&gt;3</t>
        </is>
      </c>
    </row>
    <row r="102">
      <c r="A102" s="2" t="inlineStr">
        <is>
          <t>R034</t>
        </is>
      </c>
      <c r="B102" s="2" t="n">
        <v>4</v>
      </c>
      <c r="C102" s="2" t="inlineStr">
        <is>
          <t>chromate ester of the hydrate</t>
        </is>
      </c>
      <c r="D102" s="2" t="inlineStr">
        <is>
          <t>a lone pair on a hydrate O</t>
        </is>
      </c>
      <c r="E102" s="2" t="inlineStr">
        <is>
          <t>Cr</t>
        </is>
      </c>
      <c r="F102" s="2" t="inlineStr">
        <is>
          <t>O–Cr</t>
        </is>
      </c>
      <c r="G102" s="2" t="inlineStr">
        <is>
          <t>O–H</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CCCC(O)O[Cr](=O)(=O)O</t>
        </is>
      </c>
      <c r="R102" s="2" t="inlineStr"/>
      <c r="S102" s="3" t="inlineStr">
        <is>
          <t>CCCC([OH:1])O.O=[Cr:2](=[O:3])(O)O</t>
        </is>
      </c>
      <c r="T102" s="3" t="inlineStr"/>
    </row>
    <row r="103">
      <c r="A103" s="2" t="inlineStr">
        <is>
          <t>R034</t>
        </is>
      </c>
      <c r="B103" s="2" t="n">
        <v>5</v>
      </c>
      <c r="C103" s="2" t="inlineStr">
        <is>
          <t>elimination to the acid</t>
        </is>
      </c>
      <c r="D103" s="2" t="inlineStr">
        <is>
          <t>water takes the C–H</t>
        </is>
      </c>
      <c r="E103" s="2" t="inlineStr">
        <is>
          <t>the C–H electrons form the C=O; the O–Cr electrons go to Cr</t>
        </is>
      </c>
      <c r="F103" s="2" t="inlineStr">
        <is>
          <t>C=O</t>
        </is>
      </c>
      <c r="G103" s="2" t="inlineStr">
        <is>
          <t>C–H; O–Cr</t>
        </is>
      </c>
      <c r="H103" s="2" t="n"/>
      <c r="I103" s="2" t="n"/>
      <c r="J103" s="2" t="n"/>
      <c r="K103" s="2" t="n"/>
      <c r="L103" s="2">
        <f>IF(AND(ISNUMBER(I103),ISNUMBER(K103)),K103-I103,"")</f>
        <v/>
      </c>
      <c r="M103" s="4">
        <f>IF(ISNUMBER(L103),10^L103,"")</f>
        <v/>
      </c>
      <c r="N103" s="2">
        <f>IF(ISNUMBER(L103),IF(L103&gt;=0,"downhill (favoured)","uphill (small amount)"),"")</f>
        <v/>
      </c>
      <c r="O103" s="2" t="n"/>
      <c r="P103" s="2" t="n"/>
      <c r="Q103" s="3" t="inlineStr">
        <is>
          <t>CCCC(=O)O</t>
        </is>
      </c>
      <c r="R103" s="2" t="inlineStr">
        <is>
          <t>Butanoic acid.</t>
        </is>
      </c>
      <c r="S103" s="3" t="inlineStr">
        <is>
          <t>CCC[C:1]([H:2])(O)[O:3][Cr:4](=O)(=O)O.[OH2:5]</t>
        </is>
      </c>
      <c r="T103" s="3" t="inlineStr">
        <is>
          <t>5&gt;2; 2-1&gt;1-3; 3-4&gt;4</t>
        </is>
      </c>
    </row>
    <row r="104">
      <c r="A104" s="2" t="inlineStr">
        <is>
          <t>R035</t>
        </is>
      </c>
      <c r="B104" s="2" t="n">
        <v>1</v>
      </c>
      <c r="C104" s="2" t="inlineStr">
        <is>
          <t>protonation of the OH</t>
        </is>
      </c>
      <c r="D104" s="2" t="inlineStr">
        <is>
          <t>a lone pair on the alcohol O</t>
        </is>
      </c>
      <c r="E104" s="2" t="inlineStr">
        <is>
          <t>an H of H2SO4; that O–H electrons go to O (HSO4⁻)</t>
        </is>
      </c>
      <c r="F104" s="2" t="inlineStr">
        <is>
          <t>O–H</t>
        </is>
      </c>
      <c r="G104" s="2" t="inlineStr">
        <is>
          <t>O–H (H2SO4)</t>
        </is>
      </c>
      <c r="H104" s="2" t="inlineStr">
        <is>
          <t>H2SO4</t>
        </is>
      </c>
      <c r="I104" s="2" t="n">
        <v>-3</v>
      </c>
      <c r="J104" s="2" t="inlineStr">
        <is>
          <t>the protonated alcohol (R–OH2⁺)</t>
        </is>
      </c>
      <c r="K104" s="2" t="n">
        <v>-2</v>
      </c>
      <c r="L104" s="2">
        <f>IF(AND(ISNUMBER(I104),ISNUMBER(K104)),K104-I104,"")</f>
        <v/>
      </c>
      <c r="M104" s="4">
        <f>IF(ISNUMBER(L104),10^L104,"")</f>
        <v/>
      </c>
      <c r="N104" s="2">
        <f>IF(ISNUMBER(L104),IF(L104&gt;=0,"downhill (favoured)","uphill (small amount)"),"")</f>
        <v/>
      </c>
      <c r="O104" s="2" t="n"/>
      <c r="P104" s="2" t="n"/>
      <c r="Q104" s="3" t="inlineStr">
        <is>
          <t>[OH2+]C1CCCCC1.O=S(=O)([O-])O</t>
        </is>
      </c>
      <c r="R104" s="2" t="inlineStr">
        <is>
          <t>Turns OH (poor leaving group) into water (good).</t>
        </is>
      </c>
      <c r="S104" s="3" t="inlineStr">
        <is>
          <t>[OH:1]C1CCCCC1.O=S(=O)(O)[O:2][H:3]</t>
        </is>
      </c>
      <c r="T104" s="3" t="inlineStr">
        <is>
          <t>1&gt;3; 3-2&gt;2</t>
        </is>
      </c>
    </row>
    <row r="105">
      <c r="A105" s="2" t="inlineStr">
        <is>
          <t>R035</t>
        </is>
      </c>
      <c r="B105" s="2" t="n">
        <v>2</v>
      </c>
      <c r="C105" s="2" t="inlineStr">
        <is>
          <t>loss of water (E1)</t>
        </is>
      </c>
      <c r="D105" s="2" t="inlineStr">
        <is>
          <t>the C–OH2⁺ bond's electrons</t>
        </is>
      </c>
      <c r="E105" s="2" t="inlineStr">
        <is>
          <t>the leaving O (water)</t>
        </is>
      </c>
      <c r="F105" s="2" t="inlineStr"/>
      <c r="G105" s="2" t="inlineStr">
        <is>
          <t>C–O</t>
        </is>
      </c>
      <c r="H105" s="2" t="n"/>
      <c r="I105" s="2" t="n"/>
      <c r="J105" s="2" t="n"/>
      <c r="K105" s="2" t="n"/>
      <c r="L105" s="2">
        <f>IF(AND(ISNUMBER(I105),ISNUMBER(K105)),K105-I105,"")</f>
        <v/>
      </c>
      <c r="M105" s="4">
        <f>IF(ISNUMBER(L105),10^L105,"")</f>
        <v/>
      </c>
      <c r="N105" s="2">
        <f>IF(ISNUMBER(L105),IF(L105&gt;=0,"downhill (favoured)","uphill (small amount)"),"")</f>
        <v/>
      </c>
      <c r="O105" s="2" t="inlineStr">
        <is>
          <t>water</t>
        </is>
      </c>
      <c r="P105" s="2" t="n">
        <v>-1.7</v>
      </c>
      <c r="Q105" s="3" t="inlineStr">
        <is>
          <t>[CH+]1CCCCC1.O</t>
        </is>
      </c>
      <c r="R105" s="2" t="inlineStr">
        <is>
          <t>Secondary carbocation (slow step).</t>
        </is>
      </c>
      <c r="S105" s="3" t="inlineStr">
        <is>
          <t>[OH2+:1][CH:2]1CCCCC1</t>
        </is>
      </c>
      <c r="T105" s="3" t="inlineStr">
        <is>
          <t>2-1&gt;1</t>
        </is>
      </c>
    </row>
    <row r="106">
      <c r="A106" s="2" t="inlineStr">
        <is>
          <t>R035</t>
        </is>
      </c>
      <c r="B106" s="2" t="n">
        <v>3</v>
      </c>
      <c r="C106" s="2" t="inlineStr">
        <is>
          <t>deprotonation</t>
        </is>
      </c>
      <c r="D106" s="2" t="inlineStr">
        <is>
          <t>a lone pair on water (or HSO4⁻)</t>
        </is>
      </c>
      <c r="E106" s="2" t="inlineStr">
        <is>
          <t>an H on the C next to C⁺; the C–H electrons form the C=C</t>
        </is>
      </c>
      <c r="F106" s="2" t="inlineStr">
        <is>
          <t>C=C</t>
        </is>
      </c>
      <c r="G106" s="2" t="inlineStr">
        <is>
          <t>C–H</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C1=CCCCC1.[OH3+]</t>
        </is>
      </c>
      <c r="R106" s="2" t="inlineStr">
        <is>
          <t>Distilling the alkene out (bp 83 °C) drives the equilibrium.</t>
        </is>
      </c>
      <c r="S106" s="3" t="inlineStr">
        <is>
          <t>[CH+:1]1[CH:2]([H:3])CCCC1.[OH2:4]</t>
        </is>
      </c>
      <c r="T106" s="3" t="inlineStr">
        <is>
          <t>4&gt;3; 3-2&gt;1-2</t>
        </is>
      </c>
    </row>
    <row r="107">
      <c r="A107" s="2" t="inlineStr">
        <is>
          <t>R036</t>
        </is>
      </c>
      <c r="B107" s="2" t="n">
        <v>1</v>
      </c>
      <c r="C107" s="2" t="inlineStr">
        <is>
          <t>O attacks S</t>
        </is>
      </c>
      <c r="D107" s="2" t="inlineStr">
        <is>
          <t>a lone pair on the acid's OH oxygen</t>
        </is>
      </c>
      <c r="E107" s="2" t="inlineStr">
        <is>
          <t>S of SOCl2; an S–Cl bond's electrons go to Cl</t>
        </is>
      </c>
      <c r="F107" s="2" t="inlineStr">
        <is>
          <t>O–S</t>
        </is>
      </c>
      <c r="G107" s="2" t="inlineStr">
        <is>
          <t>S–Cl</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O=C([OH+]S(=O)Cl)c1ccccc1.[Cl-]</t>
        </is>
      </c>
      <c r="R107" s="2" t="inlineStr"/>
      <c r="S107" s="3" t="inlineStr">
        <is>
          <t>O=C([OH:1])c1ccccc1.O=[S:2](Cl)[Cl:3]</t>
        </is>
      </c>
      <c r="T107" s="3" t="inlineStr">
        <is>
          <t>1&gt;2; 2-3&gt;3</t>
        </is>
      </c>
    </row>
    <row r="108">
      <c r="A108" s="2" t="inlineStr">
        <is>
          <t>R036</t>
        </is>
      </c>
      <c r="B108" s="2" t="n">
        <v>2</v>
      </c>
      <c r="C108" s="2" t="inlineStr">
        <is>
          <t>proton transfer</t>
        </is>
      </c>
      <c r="D108" s="2" t="inlineStr">
        <is>
          <t>a lone pair on Cl⁻</t>
        </is>
      </c>
      <c r="E108" s="2" t="inlineStr">
        <is>
          <t>the H on the O⁺</t>
        </is>
      </c>
      <c r="F108" s="2" t="inlineStr">
        <is>
          <t>H–Cl</t>
        </is>
      </c>
      <c r="G108" s="2" t="inlineStr">
        <is>
          <t>O–H</t>
        </is>
      </c>
      <c r="H108" s="2" t="n"/>
      <c r="I108" s="2" t="n"/>
      <c r="J108" s="2" t="n"/>
      <c r="K108" s="2" t="n"/>
      <c r="L108" s="2">
        <f>IF(AND(ISNUMBER(I108),ISNUMBER(K108)),K108-I108,"")</f>
        <v/>
      </c>
      <c r="M108" s="4">
        <f>IF(ISNUMBER(L108),10^L108,"")</f>
        <v/>
      </c>
      <c r="N108" s="2">
        <f>IF(ISNUMBER(L108),IF(L108&gt;=0,"downhill (favoured)","uphill (small amount)"),"")</f>
        <v/>
      </c>
      <c r="O108" s="2" t="n"/>
      <c r="P108" s="2" t="n"/>
      <c r="Q108" s="3" t="inlineStr">
        <is>
          <t>O=C(OS(=O)Cl)c1ccccc1.Cl</t>
        </is>
      </c>
      <c r="R108" s="2" t="inlineStr">
        <is>
          <t>Acyl chlorosulfite.</t>
        </is>
      </c>
      <c r="S108" s="3" t="inlineStr">
        <is>
          <t>O=C([O+:1]([H:2])S(=O)Cl)c1ccccc1.[Cl-:3]</t>
        </is>
      </c>
      <c r="T108" s="3" t="inlineStr">
        <is>
          <t>3&gt;2; 2-1&gt;1</t>
        </is>
      </c>
    </row>
    <row r="109">
      <c r="A109" s="2" t="inlineStr">
        <is>
          <t>R036</t>
        </is>
      </c>
      <c r="B109" s="2" t="n">
        <v>3</v>
      </c>
      <c r="C109" s="2" t="inlineStr">
        <is>
          <t>chloride adds to C=O</t>
        </is>
      </c>
      <c r="D109" s="2" t="inlineStr">
        <is>
          <t>a lone pair on Cl⁻</t>
        </is>
      </c>
      <c r="E109" s="2" t="inlineStr">
        <is>
          <t>the carbonyl C; the C=O π electrons go to O</t>
        </is>
      </c>
      <c r="F109" s="2" t="inlineStr">
        <is>
          <t>C–Cl</t>
        </is>
      </c>
      <c r="G109" s="2" t="inlineStr">
        <is>
          <t>C=O (π)</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[O-]C(Cl)(OS(=O)Cl)c1ccccc1</t>
        </is>
      </c>
      <c r="R109" s="2" t="inlineStr">
        <is>
          <t>Tetrahedral intermediate.</t>
        </is>
      </c>
      <c r="S109" s="3" t="inlineStr">
        <is>
          <t>[O:1]=[C:2](OS(=O)Cl)c1ccccc1.[Cl-:3]</t>
        </is>
      </c>
      <c r="T109" s="3" t="inlineStr">
        <is>
          <t>3&gt;2; 2-1&gt;1</t>
        </is>
      </c>
    </row>
    <row r="110">
      <c r="A110" s="2" t="inlineStr">
        <is>
          <t>R036</t>
        </is>
      </c>
      <c r="B110" s="2" t="n">
        <v>4</v>
      </c>
      <c r="C110" s="2" t="inlineStr">
        <is>
          <t>collapse (elimination)</t>
        </is>
      </c>
      <c r="D110" s="2" t="inlineStr">
        <is>
          <t>the O⁻ lone pair reforms C=O</t>
        </is>
      </c>
      <c r="E110" s="2" t="inlineStr">
        <is>
          <t>the C–O(S) bond's electrons go to the leaving group, which breaks into SO2 + Cl⁻</t>
        </is>
      </c>
      <c r="F110" s="2" t="inlineStr">
        <is>
          <t>C=O</t>
        </is>
      </c>
      <c r="G110" s="2" t="inlineStr">
        <is>
          <t>C–O</t>
        </is>
      </c>
      <c r="H110" s="2" t="n"/>
      <c r="I110" s="2" t="n"/>
      <c r="J110" s="2" t="n"/>
      <c r="K110" s="2" t="n"/>
      <c r="L110" s="2">
        <f>IF(AND(ISNUMBER(I110),ISNUMBER(K110)),K110-I110,"")</f>
        <v/>
      </c>
      <c r="M110" s="4">
        <f>IF(ISNUMBER(L110),10^L110,"")</f>
        <v/>
      </c>
      <c r="N110" s="2">
        <f>IF(ISNUMBER(L110),IF(L110&gt;=0,"downhill (favoured)","uphill (small amount)"),"")</f>
        <v/>
      </c>
      <c r="O110" s="2" t="inlineStr">
        <is>
          <t>chlorosulfite (→ SO2 + Cl⁻)</t>
        </is>
      </c>
      <c r="P110" s="2" t="n">
        <v>-7</v>
      </c>
      <c r="Q110" s="3" t="inlineStr">
        <is>
          <t>O=C(Cl)c1ccccc1.O=S=O.[Cl-]</t>
        </is>
      </c>
      <c r="R110" s="2" t="inlineStr">
        <is>
          <t>Benzoyl chloride; SO2 and HCl leave as gases.</t>
        </is>
      </c>
      <c r="S110" s="3" t="inlineStr">
        <is>
          <t>[O-:1][C:2](Cl)([O:3][S:4](=O)[Cl:5])c1ccccc1</t>
        </is>
      </c>
      <c r="T110" s="3" t="inlineStr">
        <is>
          <t>1&gt;1-2; 2-3&gt;3; 3&gt;3-4; 4-5&gt;5</t>
        </is>
      </c>
    </row>
    <row r="111">
      <c r="A111" s="2" t="inlineStr">
        <is>
          <t>R037</t>
        </is>
      </c>
      <c r="B111" s="2" t="n">
        <v>1</v>
      </c>
      <c r="C111" s="2" t="inlineStr">
        <is>
          <t>hydride addition</t>
        </is>
      </c>
      <c r="D111" s="2" t="inlineStr">
        <is>
          <t>a B–H bond's electrons (H⁻ from BH4⁻)</t>
        </is>
      </c>
      <c r="E111" s="2" t="inlineStr">
        <is>
          <t>the carbonyl C; the C=O π electrons go to O</t>
        </is>
      </c>
      <c r="F111" s="2" t="inlineStr">
        <is>
          <t>C–H</t>
        </is>
      </c>
      <c r="G111" s="2" t="inlineStr">
        <is>
          <t>B–H; C=O (π)</t>
        </is>
      </c>
      <c r="H111" s="2" t="n"/>
      <c r="I111" s="2" t="n"/>
      <c r="J111" s="2" t="n"/>
      <c r="K111" s="2" t="n"/>
      <c r="L111" s="2">
        <f>IF(AND(ISNUMBER(I111),ISNUMBER(K111)),K111-I111,"")</f>
        <v/>
      </c>
      <c r="M111" s="4">
        <f>IF(ISNUMBER(L111),10^L111,"")</f>
        <v/>
      </c>
      <c r="N111" s="2">
        <f>IF(ISNUMBER(L111),IF(L111&gt;=0,"downhill (favoured)","uphill (small amount)"),"")</f>
        <v/>
      </c>
      <c r="O111" s="2" t="n"/>
      <c r="P111" s="2" t="n"/>
      <c r="Q111" s="3" t="inlineStr">
        <is>
          <t>[O-]C1CCCCC1</t>
        </is>
      </c>
      <c r="R111" s="2" t="inlineStr">
        <is>
          <t>Alkoxide.</t>
        </is>
      </c>
      <c r="S111" s="3" t="inlineStr">
        <is>
          <t>[O:1]=[C:2]1CCCCC1.[H:3][BH3-:4]</t>
        </is>
      </c>
      <c r="T111" s="3" t="inlineStr">
        <is>
          <t>3-4&gt;2-3; 2-1&gt;1</t>
        </is>
      </c>
    </row>
    <row r="112">
      <c r="A112" s="2" t="inlineStr">
        <is>
          <t>R037</t>
        </is>
      </c>
      <c r="B112" s="2" t="n">
        <v>2</v>
      </c>
      <c r="C112" s="2" t="inlineStr">
        <is>
          <t>proton transfer</t>
        </is>
      </c>
      <c r="D112" s="2" t="inlineStr">
        <is>
          <t>a lone pair on the alkoxide O</t>
        </is>
      </c>
      <c r="E112" s="2" t="inlineStr">
        <is>
          <t>the H of methanol (the solvent)</t>
        </is>
      </c>
      <c r="F112" s="2" t="inlineStr">
        <is>
          <t>O–H</t>
        </is>
      </c>
      <c r="G112" s="2" t="inlineStr">
        <is>
          <t>O–H (MeOH)</t>
        </is>
      </c>
      <c r="H112" s="2" t="inlineStr">
        <is>
          <t>methanol</t>
        </is>
      </c>
      <c r="I112" s="2" t="n">
        <v>15.5</v>
      </c>
      <c r="J112" s="2" t="inlineStr">
        <is>
          <t>cyclohexanol</t>
        </is>
      </c>
      <c r="K112" s="2" t="n">
        <v>18</v>
      </c>
      <c r="L112" s="2">
        <f>IF(AND(ISNUMBER(I112),ISNUMBER(K112)),K112-I112,"")</f>
        <v/>
      </c>
      <c r="M112" s="4">
        <f>IF(ISNUMBER(L112),10^L112,"")</f>
        <v/>
      </c>
      <c r="N112" s="2">
        <f>IF(ISNUMBER(L112),IF(L112&gt;=0,"downhill (favoured)","uphill (small amount)"),"")</f>
        <v/>
      </c>
      <c r="O112" s="2" t="n"/>
      <c r="P112" s="2" t="n"/>
      <c r="Q112" s="3" t="inlineStr">
        <is>
          <t>OC1CCCCC1.C[O-]</t>
        </is>
      </c>
      <c r="R112" s="2" t="inlineStr">
        <is>
          <t>Cyclohexanol.</t>
        </is>
      </c>
      <c r="S112" s="3" t="inlineStr">
        <is>
          <t>[O-:1]C1CCCCC1.C[O:2][H:3]</t>
        </is>
      </c>
      <c r="T112" s="3" t="inlineStr">
        <is>
          <t>1&gt;3; 3-2&gt;2</t>
        </is>
      </c>
    </row>
    <row r="113">
      <c r="A113" s="2" t="inlineStr">
        <is>
          <t>R038</t>
        </is>
      </c>
      <c r="B113" s="2" t="n">
        <v>1</v>
      </c>
      <c r="C113" s="2" t="inlineStr">
        <is>
          <t>hydride addition</t>
        </is>
      </c>
      <c r="D113" s="2" t="inlineStr">
        <is>
          <t>an Al–H bond's electrons (H⁻ from AlH4⁻)</t>
        </is>
      </c>
      <c r="E113" s="2" t="inlineStr">
        <is>
          <t>the ester C=O carbon; the π electrons go to O</t>
        </is>
      </c>
      <c r="F113" s="2" t="inlineStr">
        <is>
          <t>C–H</t>
        </is>
      </c>
      <c r="G113" s="2" t="inlineStr">
        <is>
          <t>Al–H; C=O (π)</t>
        </is>
      </c>
      <c r="H113" s="2" t="n"/>
      <c r="I113" s="2" t="n"/>
      <c r="J113" s="2" t="n"/>
      <c r="K113" s="2" t="n"/>
      <c r="L113" s="2">
        <f>IF(AND(ISNUMBER(I113),ISNUMBER(K113)),K113-I113,"")</f>
        <v/>
      </c>
      <c r="M113" s="4">
        <f>IF(ISNUMBER(L113),10^L113,"")</f>
        <v/>
      </c>
      <c r="N113" s="2">
        <f>IF(ISNUMBER(L113),IF(L113&gt;=0,"downhill (favoured)","uphill (small amount)"),"")</f>
        <v/>
      </c>
      <c r="O113" s="2" t="n"/>
      <c r="P113" s="2" t="n"/>
      <c r="Q113" s="3" t="inlineStr">
        <is>
          <t>COC([O-])c1ccccc1</t>
        </is>
      </c>
      <c r="R113" s="2" t="inlineStr">
        <is>
          <t>Tetrahedral intermediate.</t>
        </is>
      </c>
      <c r="S113" s="3" t="inlineStr">
        <is>
          <t>C[O:1][C:2](=[O:3])c1ccccc1.[H:4][AlH3-:5]</t>
        </is>
      </c>
      <c r="T113" s="3" t="inlineStr">
        <is>
          <t>4-5&gt;2-4; 2-3&gt;3</t>
        </is>
      </c>
    </row>
    <row r="114">
      <c r="A114" s="2" t="inlineStr">
        <is>
          <t>R038</t>
        </is>
      </c>
      <c r="B114" s="2" t="n">
        <v>2</v>
      </c>
      <c r="C114" s="2" t="inlineStr">
        <is>
          <t>collapse (methoxide leaves)</t>
        </is>
      </c>
      <c r="D114" s="2" t="inlineStr">
        <is>
          <t>the O⁻ lone pair reforms C=O</t>
        </is>
      </c>
      <c r="E114" s="2" t="inlineStr">
        <is>
          <t>the C–OMe bond's electrons go to O (MeO⁻ leaves)</t>
        </is>
      </c>
      <c r="F114" s="2" t="inlineStr">
        <is>
          <t>C=O</t>
        </is>
      </c>
      <c r="G114" s="2" t="inlineStr">
        <is>
          <t>C–OMe</t>
        </is>
      </c>
      <c r="H114" s="2" t="n"/>
      <c r="I114" s="2" t="n"/>
      <c r="J114" s="2" t="n"/>
      <c r="K114" s="2" t="n"/>
      <c r="L114" s="2">
        <f>IF(AND(ISNUMBER(I114),ISNUMBER(K114)),K114-I114,"")</f>
        <v/>
      </c>
      <c r="M114" s="4">
        <f>IF(ISNUMBER(L114),10^L114,"")</f>
        <v/>
      </c>
      <c r="N114" s="2">
        <f>IF(ISNUMBER(L114),IF(L114&gt;=0,"downhill (favoured)","uphill (small amount)"),"")</f>
        <v/>
      </c>
      <c r="O114" s="2" t="inlineStr">
        <is>
          <t>methoxide</t>
        </is>
      </c>
      <c r="P114" s="2" t="n">
        <v>15.5</v>
      </c>
      <c r="Q114" s="3" t="inlineStr">
        <is>
          <t>O=Cc1ccccc1.C[O-]</t>
        </is>
      </c>
      <c r="R114" s="2" t="inlineStr">
        <is>
          <t>An aldehyde forms; it is more reactive than the ester, so it cannot be stopped here.</t>
        </is>
      </c>
      <c r="S114" s="3" t="inlineStr">
        <is>
          <t>C[O:1][CH:2]([O-:3])c1ccccc1</t>
        </is>
      </c>
      <c r="T114" s="3" t="inlineStr">
        <is>
          <t>3&gt;2-3; 2-1&gt;1</t>
        </is>
      </c>
    </row>
    <row r="115">
      <c r="A115" s="2" t="inlineStr">
        <is>
          <t>R038</t>
        </is>
      </c>
      <c r="B115" s="2" t="n">
        <v>3</v>
      </c>
      <c r="C115" s="2" t="inlineStr">
        <is>
          <t>second hydride addition</t>
        </is>
      </c>
      <c r="D115" s="2" t="inlineStr">
        <is>
          <t>an Al–H bond's electrons</t>
        </is>
      </c>
      <c r="E115" s="2" t="inlineStr">
        <is>
          <t>the aldehyde C; the π electrons go to O</t>
        </is>
      </c>
      <c r="F115" s="2" t="inlineStr">
        <is>
          <t>C–H</t>
        </is>
      </c>
      <c r="G115" s="2" t="inlineStr">
        <is>
          <t>C=O (π)</t>
        </is>
      </c>
      <c r="H115" s="2" t="n"/>
      <c r="I115" s="2" t="n"/>
      <c r="J115" s="2" t="n"/>
      <c r="K115" s="2" t="n"/>
      <c r="L115" s="2">
        <f>IF(AND(ISNUMBER(I115),ISNUMBER(K115)),K115-I115,"")</f>
        <v/>
      </c>
      <c r="M115" s="4">
        <f>IF(ISNUMBER(L115),10^L115,"")</f>
        <v/>
      </c>
      <c r="N115" s="2">
        <f>IF(ISNUMBER(L115),IF(L115&gt;=0,"downhill (favoured)","uphill (small amount)"),"")</f>
        <v/>
      </c>
      <c r="O115" s="2" t="n"/>
      <c r="P115" s="2" t="n"/>
      <c r="Q115" s="3" t="inlineStr">
        <is>
          <t>[O-]Cc1ccccc1</t>
        </is>
      </c>
      <c r="R115" s="2" t="inlineStr"/>
      <c r="S115" s="3" t="inlineStr">
        <is>
          <t>[O:1]=[CH:2]c1ccccc1.[H:3][AlH3-:4]</t>
        </is>
      </c>
      <c r="T115" s="3" t="inlineStr">
        <is>
          <t>3-4&gt;2-3; 2-1&gt;1</t>
        </is>
      </c>
    </row>
    <row r="116">
      <c r="A116" s="2" t="inlineStr">
        <is>
          <t>R038</t>
        </is>
      </c>
      <c r="B116" s="2" t="n">
        <v>4</v>
      </c>
      <c r="C116" s="2" t="inlineStr">
        <is>
          <t>acid work-up (proton transfer)</t>
        </is>
      </c>
      <c r="D116" s="2" t="inlineStr">
        <is>
          <t>lone pairs on the alkoxides</t>
        </is>
      </c>
      <c r="E116" s="2" t="inlineStr">
        <is>
          <t>H of H3O⁺</t>
        </is>
      </c>
      <c r="F116" s="2" t="inlineStr">
        <is>
          <t>O–H</t>
        </is>
      </c>
      <c r="G116" s="2" t="inlineStr">
        <is>
          <t>O–H (H3O⁺)</t>
        </is>
      </c>
      <c r="H116" s="2" t="inlineStr">
        <is>
          <t>H3O⁺</t>
        </is>
      </c>
      <c r="I116" s="2" t="n">
        <v>-1.7</v>
      </c>
      <c r="J116" s="2" t="inlineStr">
        <is>
          <t>benzyl alcohol</t>
        </is>
      </c>
      <c r="K116" s="2" t="n">
        <v>15.4</v>
      </c>
      <c r="L116" s="2">
        <f>IF(AND(ISNUMBER(I116),ISNUMBER(K116)),K116-I116,"")</f>
        <v/>
      </c>
      <c r="M116" s="4">
        <f>IF(ISNUMBER(L116),10^L116,"")</f>
        <v/>
      </c>
      <c r="N116" s="2">
        <f>IF(ISNUMBER(L116),IF(L116&gt;=0,"downhill (favoured)","uphill (small amount)"),"")</f>
        <v/>
      </c>
      <c r="O116" s="2" t="n"/>
      <c r="P116" s="2" t="n"/>
      <c r="Q116" s="3" t="inlineStr">
        <is>
          <t>OCc1ccccc1.CO</t>
        </is>
      </c>
      <c r="R116" s="2" t="inlineStr">
        <is>
          <t>Benzyl alcohol + methanol.</t>
        </is>
      </c>
      <c r="S116" s="3" t="inlineStr">
        <is>
          <t>[O-:1]Cc1ccccc1.[H:2][OH2+:3].C[O-:4].[H:5][OH2+:6]</t>
        </is>
      </c>
      <c r="T116" s="3" t="inlineStr">
        <is>
          <t>1&gt;2; 2-3&gt;3; 4&gt;5; 5-6&gt;6</t>
        </is>
      </c>
    </row>
    <row r="117">
      <c r="A117" s="2" t="inlineStr">
        <is>
          <t>R039</t>
        </is>
      </c>
      <c r="B117" s="2" t="n">
        <v>1</v>
      </c>
      <c r="C117" s="2" t="inlineStr">
        <is>
          <t>nucleophilic addition</t>
        </is>
      </c>
      <c r="D117" s="2" t="inlineStr">
        <is>
          <t>the C–Mg bond's electrons (the CH3 acts as a carbanion)</t>
        </is>
      </c>
      <c r="E117" s="2" t="inlineStr">
        <is>
          <t>the carbonyl C; the C=O π electrons go to O</t>
        </is>
      </c>
      <c r="F117" s="2" t="inlineStr">
        <is>
          <t>C–C</t>
        </is>
      </c>
      <c r="G117" s="2" t="inlineStr">
        <is>
          <t>C–Mg; C=O (π)</t>
        </is>
      </c>
      <c r="H117" s="2" t="n"/>
      <c r="I117" s="2" t="n"/>
      <c r="J117" s="2" t="n"/>
      <c r="K117" s="2" t="n"/>
      <c r="L117" s="2">
        <f>IF(AND(ISNUMBER(I117),ISNUMBER(K117)),K117-I117,"")</f>
        <v/>
      </c>
      <c r="M117" s="4">
        <f>IF(ISNUMBER(L117),10^L117,"")</f>
        <v/>
      </c>
      <c r="N117" s="2">
        <f>IF(ISNUMBER(L117),IF(L117&gt;=0,"downhill (favoured)","uphill (small amount)"),"")</f>
        <v/>
      </c>
      <c r="O117" s="2" t="n"/>
      <c r="P117" s="2" t="n"/>
      <c r="Q117" s="3" t="inlineStr">
        <is>
          <t>CC(C)(C)[O-].[Mg+]Br</t>
        </is>
      </c>
      <c r="R117" s="2" t="inlineStr">
        <is>
          <t>Magnesium alkoxide; the C=O O is also held by Mg.</t>
        </is>
      </c>
      <c r="S117" s="3" t="inlineStr">
        <is>
          <t>C[C:1](C)=[O:2].[CH3:3][Mg:4]Br</t>
        </is>
      </c>
      <c r="T117" s="3" t="inlineStr">
        <is>
          <t>3-4&gt;1-3; 1-2&gt;2</t>
        </is>
      </c>
    </row>
    <row r="118">
      <c r="A118" s="2" t="inlineStr">
        <is>
          <t>R039</t>
        </is>
      </c>
      <c r="B118" s="2" t="n">
        <v>2</v>
      </c>
      <c r="C118" s="2" t="inlineStr">
        <is>
          <t>acid work-up (proton transfer)</t>
        </is>
      </c>
      <c r="D118" s="2" t="inlineStr">
        <is>
          <t>a lone pair on the alkoxide O</t>
        </is>
      </c>
      <c r="E118" s="2" t="inlineStr">
        <is>
          <t>an H of H3O⁺</t>
        </is>
      </c>
      <c r="F118" s="2" t="inlineStr">
        <is>
          <t>O–H</t>
        </is>
      </c>
      <c r="G118" s="2" t="inlineStr">
        <is>
          <t>O–H (H3O⁺)</t>
        </is>
      </c>
      <c r="H118" s="2" t="inlineStr">
        <is>
          <t>H3O⁺</t>
        </is>
      </c>
      <c r="I118" s="2" t="n">
        <v>-1.7</v>
      </c>
      <c r="J118" s="2" t="inlineStr">
        <is>
          <t>tert-butanol</t>
        </is>
      </c>
      <c r="K118" s="2" t="n">
        <v>18</v>
      </c>
      <c r="L118" s="2">
        <f>IF(AND(ISNUMBER(I118),ISNUMBER(K118)),K118-I118,"")</f>
        <v/>
      </c>
      <c r="M118" s="4">
        <f>IF(ISNUMBER(L118),10^L118,"")</f>
        <v/>
      </c>
      <c r="N118" s="2">
        <f>IF(ISNUMBER(L118),IF(L118&gt;=0,"downhill (favoured)","uphill (small amount)"),"")</f>
        <v/>
      </c>
      <c r="O118" s="2" t="n"/>
      <c r="P118" s="2" t="n"/>
      <c r="Q118" s="3" t="inlineStr">
        <is>
          <t>CC(C)(C)O</t>
        </is>
      </c>
      <c r="R118" s="2" t="inlineStr">
        <is>
          <t>tert-Butanol.</t>
        </is>
      </c>
      <c r="S118" s="3" t="inlineStr">
        <is>
          <t>CC(C)(C)[O-:1].[H:2][OH2+:3]</t>
        </is>
      </c>
      <c r="T118" s="3" t="inlineStr">
        <is>
          <t>1&gt;2; 2-3&gt;3</t>
        </is>
      </c>
    </row>
    <row r="119">
      <c r="A119" s="2" t="inlineStr">
        <is>
          <t>R040</t>
        </is>
      </c>
      <c r="B119" s="2" t="n">
        <v>1</v>
      </c>
      <c r="C119" s="2" t="inlineStr">
        <is>
          <t>nucleophilic addition to CO2</t>
        </is>
      </c>
      <c r="D119" s="2" t="inlineStr">
        <is>
          <t>the C–Mg bond's electrons</t>
        </is>
      </c>
      <c r="E119" s="2" t="inlineStr">
        <is>
          <t>the C of CO2; a C=O π bond's electrons go to O</t>
        </is>
      </c>
      <c r="F119" s="2" t="inlineStr">
        <is>
          <t>C–C</t>
        </is>
      </c>
      <c r="G119" s="2" t="inlineStr">
        <is>
          <t>C–Mg; C=O (π)</t>
        </is>
      </c>
      <c r="H119" s="2" t="n"/>
      <c r="I119" s="2" t="n"/>
      <c r="J119" s="2" t="n"/>
      <c r="K119" s="2" t="n"/>
      <c r="L119" s="2">
        <f>IF(AND(ISNUMBER(I119),ISNUMBER(K119)),K119-I119,"")</f>
        <v/>
      </c>
      <c r="M119" s="4">
        <f>IF(ISNUMBER(L119),10^L119,"")</f>
        <v/>
      </c>
      <c r="N119" s="2">
        <f>IF(ISNUMBER(L119),IF(L119&gt;=0,"downhill (favoured)","uphill (small amount)"),"")</f>
        <v/>
      </c>
      <c r="O119" s="2" t="n"/>
      <c r="P119" s="2" t="n"/>
      <c r="Q119" s="3" t="inlineStr">
        <is>
          <t>O=C([O-])c1ccccc1.[Mg+]Br</t>
        </is>
      </c>
      <c r="R119" s="2" t="inlineStr">
        <is>
          <t>Magnesium carboxylate.</t>
        </is>
      </c>
      <c r="S119" s="3" t="inlineStr">
        <is>
          <t>Br[Mg:1][c:2]1ccccc1.[O:3]=[C:4]=O</t>
        </is>
      </c>
      <c r="T119" s="3" t="inlineStr">
        <is>
          <t>1-2&gt;2-4; 4-3&gt;3</t>
        </is>
      </c>
    </row>
    <row r="120">
      <c r="A120" s="2" t="inlineStr">
        <is>
          <t>R040</t>
        </is>
      </c>
      <c r="B120" s="2" t="n">
        <v>2</v>
      </c>
      <c r="C120" s="2" t="inlineStr">
        <is>
          <t>acid work-up (proton transfer)</t>
        </is>
      </c>
      <c r="D120" s="2" t="inlineStr">
        <is>
          <t>a lone pair on the carboxylate O</t>
        </is>
      </c>
      <c r="E120" s="2" t="inlineStr">
        <is>
          <t>an H of H3O⁺</t>
        </is>
      </c>
      <c r="F120" s="2" t="inlineStr">
        <is>
          <t>O–H</t>
        </is>
      </c>
      <c r="G120" s="2" t="inlineStr">
        <is>
          <t>O–H (H3O⁺)</t>
        </is>
      </c>
      <c r="H120" s="2" t="inlineStr">
        <is>
          <t>H3O⁺</t>
        </is>
      </c>
      <c r="I120" s="2" t="n">
        <v>-1.7</v>
      </c>
      <c r="J120" s="2" t="inlineStr">
        <is>
          <t>benzoic acid</t>
        </is>
      </c>
      <c r="K120" s="2" t="n">
        <v>4.2</v>
      </c>
      <c r="L120" s="2">
        <f>IF(AND(ISNUMBER(I120),ISNUMBER(K120)),K120-I120,"")</f>
        <v/>
      </c>
      <c r="M120" s="4">
        <f>IF(ISNUMBER(L120),10^L120,"")</f>
        <v/>
      </c>
      <c r="N120" s="2">
        <f>IF(ISNUMBER(L120),IF(L120&gt;=0,"downhill (favoured)","uphill (small amount)"),"")</f>
        <v/>
      </c>
      <c r="O120" s="2" t="n"/>
      <c r="P120" s="2" t="n"/>
      <c r="Q120" s="3" t="inlineStr">
        <is>
          <t>O=C(O)c1ccccc1</t>
        </is>
      </c>
      <c r="R120" s="2" t="inlineStr">
        <is>
          <t>Benzoic acid.</t>
        </is>
      </c>
      <c r="S120" s="3" t="inlineStr">
        <is>
          <t>O=C([O-:1])c1ccccc1.[H:2][OH2+:3]</t>
        </is>
      </c>
      <c r="T120" s="3" t="inlineStr">
        <is>
          <t>1&gt;2; 2-3&gt;3</t>
        </is>
      </c>
    </row>
    <row r="121">
      <c r="A121" s="2" t="inlineStr">
        <is>
          <t>R041</t>
        </is>
      </c>
      <c r="B121" s="2" t="n">
        <v>1</v>
      </c>
      <c r="C121" s="2" t="inlineStr">
        <is>
          <t>ylide C adds to C=O</t>
        </is>
      </c>
      <c r="D121" s="2" t="inlineStr">
        <is>
          <t>the lone pair on the ylide's CH2⁻</t>
        </is>
      </c>
      <c r="E121" s="2" t="inlineStr">
        <is>
          <t>the carbonyl C; the C=O π electrons go to O</t>
        </is>
      </c>
      <c r="F121" s="2" t="inlineStr">
        <is>
          <t>C–C</t>
        </is>
      </c>
      <c r="G121" s="2" t="inlineStr">
        <is>
          <t>C=O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[O-]C1(C[P+](c2ccccc2)(c2ccccc2)c2ccccc2)CCCCC1</t>
        </is>
      </c>
      <c r="R121" s="2" t="inlineStr">
        <is>
          <t>Betaine (may form the ring directly).</t>
        </is>
      </c>
      <c r="S121" s="3" t="inlineStr">
        <is>
          <t>[O:1]=[C:2]1CCCCC1.[CH2-:3][P+](c1ccccc1)(c1ccccc1)c1ccccc1</t>
        </is>
      </c>
      <c r="T121" s="3" t="inlineStr">
        <is>
          <t>3&gt;2; 2-1&gt;1</t>
        </is>
      </c>
    </row>
    <row r="122">
      <c r="A122" s="2" t="inlineStr">
        <is>
          <t>R041</t>
        </is>
      </c>
      <c r="B122" s="2" t="n">
        <v>2</v>
      </c>
      <c r="C122" s="2" t="inlineStr">
        <is>
          <t>ring closure</t>
        </is>
      </c>
      <c r="D122" s="2" t="inlineStr">
        <is>
          <t>a lone pair on O⁻</t>
        </is>
      </c>
      <c r="E122" s="2" t="inlineStr">
        <is>
          <t>the P⁺</t>
        </is>
      </c>
      <c r="F122" s="2" t="inlineStr">
        <is>
          <t>O–P</t>
        </is>
      </c>
      <c r="G122" s="2" t="inlineStr"/>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C1CCC2(CC1)CP(c1ccccc1)(c1ccccc1)(c1ccccc1)O2</t>
        </is>
      </c>
      <c r="R122" s="2" t="inlineStr">
        <is>
          <t>Oxaphosphetane (4-membered ring).</t>
        </is>
      </c>
      <c r="S122" s="3" t="inlineStr">
        <is>
          <t>[O-:1]C1(C[P+:2](c2ccccc2)(c2ccccc2)c2ccccc2)CCCCC1</t>
        </is>
      </c>
      <c r="T122" s="3" t="inlineStr">
        <is>
          <t>1&gt;2</t>
        </is>
      </c>
    </row>
    <row r="123">
      <c r="A123" s="2" t="inlineStr">
        <is>
          <t>R041</t>
        </is>
      </c>
      <c r="B123" s="2" t="n">
        <v>3</v>
      </c>
      <c r="C123" s="2" t="inlineStr">
        <is>
          <t>retro-[2+2] (ring breaks)</t>
        </is>
      </c>
      <c r="D123" s="2" t="inlineStr">
        <is>
          <t>the C–P and C–O σ bonds</t>
        </is>
      </c>
      <c r="E123" s="2" t="inlineStr">
        <is>
          <t>new C=C and P=O bonds</t>
        </is>
      </c>
      <c r="F123" s="2" t="inlineStr">
        <is>
          <t>C=C; P=O</t>
        </is>
      </c>
      <c r="G123" s="2" t="inlineStr">
        <is>
          <t>C–P; C–O</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C=C1CCCCC1.O=P(c1ccccc1)(c1ccccc1)c1ccccc1</t>
        </is>
      </c>
      <c r="R123" s="2" t="inlineStr">
        <is>
          <t>The very strong P=O bond drives the reaction; the C=C is exactly where the C=O was.</t>
        </is>
      </c>
      <c r="S123" s="3" t="inlineStr">
        <is>
          <t>C1CC[C:4]2(CC1)[CH2:1][P:2](c1ccccc1)(c1ccccc1)(c1ccccc1)[O:3]2</t>
        </is>
      </c>
      <c r="T123" s="3" t="inlineStr">
        <is>
          <t>1-2&gt;1-4; 4-3&gt;2-3</t>
        </is>
      </c>
    </row>
    <row r="124">
      <c r="A124" s="2" t="inlineStr">
        <is>
          <t>R042</t>
        </is>
      </c>
      <c r="B124" s="2" t="n">
        <v>1</v>
      </c>
      <c r="C124" s="2" t="inlineStr">
        <is>
          <t>protonate the C=O</t>
        </is>
      </c>
      <c r="D124" s="2" t="inlineStr">
        <is>
          <t>a lone pair on the carbonyl O</t>
        </is>
      </c>
      <c r="E124" s="2" t="inlineStr">
        <is>
          <t>the H of TsOH</t>
        </is>
      </c>
      <c r="F124" s="2" t="inlineStr">
        <is>
          <t>O–H</t>
        </is>
      </c>
      <c r="G124" s="2" t="inlineStr">
        <is>
          <t>O–H (TsOH)</t>
        </is>
      </c>
      <c r="H124" s="2" t="inlineStr">
        <is>
          <t>TsOH</t>
        </is>
      </c>
      <c r="I124" s="2" t="n">
        <v>-2.8</v>
      </c>
      <c r="J124" s="2" t="inlineStr">
        <is>
          <t>the protonated ketone</t>
        </is>
      </c>
      <c r="K124" s="2" t="n">
        <v>-7</v>
      </c>
      <c r="L124" s="2">
        <f>IF(AND(ISNUMBER(I124),ISNUMBER(K124)),K124-I124,"")</f>
        <v/>
      </c>
      <c r="M124" s="4">
        <f>IF(ISNUMBER(L124),10^L124,"")</f>
        <v/>
      </c>
      <c r="N124" s="2">
        <f>IF(ISNUMBER(L124),IF(L124&gt;=0,"downhill (favoured)","uphill (small amount)"),"")</f>
        <v/>
      </c>
      <c r="O124" s="2" t="n"/>
      <c r="P124" s="2" t="n"/>
      <c r="Q124" s="3" t="inlineStr">
        <is>
          <t>[OH+]=C1CCCCC1</t>
        </is>
      </c>
      <c r="R124" s="2" t="inlineStr">
        <is>
          <t>Activates the carbonyl C.</t>
        </is>
      </c>
      <c r="S124" s="3" t="inlineStr">
        <is>
          <t>[O:1]=C1CCCCC1.Cc1ccc(S(=O)(=O)[O:2][H:3])cc1</t>
        </is>
      </c>
      <c r="T124" s="3" t="inlineStr">
        <is>
          <t>1&gt;3; 3-2&gt;2</t>
        </is>
      </c>
    </row>
    <row r="125">
      <c r="A125" s="2" t="inlineStr">
        <is>
          <t>R042</t>
        </is>
      </c>
      <c r="B125" s="2" t="n">
        <v>2</v>
      </c>
      <c r="C125" s="2" t="inlineStr">
        <is>
          <t>first O adds</t>
        </is>
      </c>
      <c r="D125" s="2" t="inlineStr">
        <is>
          <t>a lone pair on an O of ethylene glycol</t>
        </is>
      </c>
      <c r="E125" s="2" t="inlineStr">
        <is>
          <t>the carbonyl C; the C=O π electrons go to O</t>
        </is>
      </c>
      <c r="F125" s="2" t="inlineStr">
        <is>
          <t>C–O</t>
        </is>
      </c>
      <c r="G125" s="2" t="inlineStr">
        <is>
          <t>C=O (π)</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OCC[OH+]C1(O)CCCCC1</t>
        </is>
      </c>
      <c r="R125" s="2" t="inlineStr"/>
      <c r="S125" s="3" t="inlineStr">
        <is>
          <t>[OH+:1]=[C:2]1CCCCC1.[OH:3]CCO</t>
        </is>
      </c>
      <c r="T125" s="3" t="inlineStr">
        <is>
          <t>3&gt;2; 2-1&gt;1</t>
        </is>
      </c>
    </row>
    <row r="126">
      <c r="A126" s="2" t="inlineStr">
        <is>
          <t>R042</t>
        </is>
      </c>
      <c r="B126" s="2" t="n">
        <v>3</v>
      </c>
      <c r="C126" s="2" t="inlineStr">
        <is>
          <t>proton transfer</t>
        </is>
      </c>
      <c r="D126" s="2" t="inlineStr">
        <is>
          <t>a lone pair on the OH oxygen</t>
        </is>
      </c>
      <c r="E126" s="2" t="inlineStr">
        <is>
          <t>the H on the ether-type O⁺ (via the solvent)</t>
        </is>
      </c>
      <c r="F126" s="2" t="inlineStr">
        <is>
          <t>O–H</t>
        </is>
      </c>
      <c r="G126" s="2" t="inlineStr">
        <is>
          <t>O–H</t>
        </is>
      </c>
      <c r="H126" s="2" t="inlineStr">
        <is>
          <t>the oxonium (R2OH⁺)</t>
        </is>
      </c>
      <c r="I126" s="2" t="n">
        <v>-3.5</v>
      </c>
      <c r="J126" s="2" t="inlineStr">
        <is>
          <t>the protonated OH (R–OH2⁺)</t>
        </is>
      </c>
      <c r="K126" s="2" t="n">
        <v>-2</v>
      </c>
      <c r="L126" s="2">
        <f>IF(AND(ISNUMBER(I126),ISNUMBER(K126)),K126-I126,"")</f>
        <v/>
      </c>
      <c r="M126" s="4">
        <f>IF(ISNUMBER(L126),10^L126,"")</f>
        <v/>
      </c>
      <c r="N126" s="2">
        <f>IF(ISNUMBER(L126),IF(L126&gt;=0,"downhill (favoured)","uphill (small amount)"),"")</f>
        <v/>
      </c>
      <c r="O126" s="2" t="n"/>
      <c r="P126" s="2" t="n"/>
      <c r="Q126" s="3" t="inlineStr">
        <is>
          <t>OCCOC1([OH2+])CCCCC1</t>
        </is>
      </c>
      <c r="R126" s="2" t="inlineStr">
        <is>
          <t>Hemiketal with a good leaving group.</t>
        </is>
      </c>
      <c r="S126" s="3" t="inlineStr">
        <is>
          <t>OCC[O+:1]([H:2])C1([OH:3])CCCCC1</t>
        </is>
      </c>
      <c r="T126" s="3" t="inlineStr">
        <is>
          <t>3&gt;2; 2-1&gt;1</t>
        </is>
      </c>
    </row>
    <row r="127">
      <c r="A127" s="2" t="inlineStr">
        <is>
          <t>R042</t>
        </is>
      </c>
      <c r="B127" s="2" t="n">
        <v>4</v>
      </c>
      <c r="C127" s="2" t="inlineStr">
        <is>
          <t>loss of water</t>
        </is>
      </c>
      <c r="D127" s="2" t="inlineStr">
        <is>
          <t>the lone pair on the ring-side O pushes in</t>
        </is>
      </c>
      <c r="E127" s="2" t="inlineStr">
        <is>
          <t>the C–OH2⁺ electrons go to O (water leaves)</t>
        </is>
      </c>
      <c r="F127" s="2" t="inlineStr">
        <is>
          <t>C=O⁺</t>
        </is>
      </c>
      <c r="G127" s="2" t="inlineStr">
        <is>
          <t>C–O</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OCC[O+]=C1CCCCC1.O</t>
        </is>
      </c>
      <c r="R127" s="2" t="inlineStr">
        <is>
          <t>Oxocarbenium ion; removing water (Dean–Stark) drives the equilibrium.</t>
        </is>
      </c>
      <c r="S127" s="3" t="inlineStr">
        <is>
          <t>OCC[O:1][C:2]1([OH2+:3])CCCCC1</t>
        </is>
      </c>
      <c r="T127" s="3" t="inlineStr">
        <is>
          <t>1&gt;1-2; 2-3&gt;3</t>
        </is>
      </c>
    </row>
    <row r="128">
      <c r="A128" s="2" t="inlineStr">
        <is>
          <t>R042</t>
        </is>
      </c>
      <c r="B128" s="2" t="n">
        <v>5</v>
      </c>
      <c r="C128" s="2" t="inlineStr">
        <is>
          <t>ring closure</t>
        </is>
      </c>
      <c r="D128" s="2" t="inlineStr">
        <is>
          <t>a lone pair on the second OH</t>
        </is>
      </c>
      <c r="E128" s="2" t="inlineStr">
        <is>
          <t>the oxocarbenium C</t>
        </is>
      </c>
      <c r="F128" s="2" t="inlineStr">
        <is>
          <t>C–O</t>
        </is>
      </c>
      <c r="G128" s="2" t="inlineStr">
        <is>
          <t>C=O⁺ (π)</t>
        </is>
      </c>
      <c r="H128" s="2" t="n"/>
      <c r="I128" s="2" t="n"/>
      <c r="J128" s="2" t="n"/>
      <c r="K128" s="2" t="n"/>
      <c r="L128" s="2">
        <f>IF(AND(ISNUMBER(I128),ISNUMBER(K128)),K128-I128,"")</f>
        <v/>
      </c>
      <c r="M128" s="4">
        <f>IF(ISNUMBER(L128),10^L128,"")</f>
        <v/>
      </c>
      <c r="N128" s="2">
        <f>IF(ISNUMBER(L128),IF(L128&gt;=0,"downhill (favoured)","uphill (small amount)"),"")</f>
        <v/>
      </c>
      <c r="O128" s="2" t="n"/>
      <c r="P128" s="2" t="n"/>
      <c r="Q128" s="3" t="inlineStr">
        <is>
          <t>C1CCC2(CC1)OCC[OH+]2</t>
        </is>
      </c>
      <c r="R128" s="2" t="inlineStr">
        <is>
          <t>5-Membered ring (fast, intramolecular).</t>
        </is>
      </c>
      <c r="S128" s="3" t="inlineStr">
        <is>
          <t>[OH:1]CC[O+:3]=[C:2]1CCCCC1</t>
        </is>
      </c>
      <c r="T128" s="3" t="inlineStr">
        <is>
          <t>1&gt;2; 2-3&gt;3</t>
        </is>
      </c>
    </row>
    <row r="129">
      <c r="A129" s="2" t="inlineStr">
        <is>
          <t>R042</t>
        </is>
      </c>
      <c r="B129" s="2" t="n">
        <v>6</v>
      </c>
      <c r="C129" s="2" t="inlineStr">
        <is>
          <t>deprotonation</t>
        </is>
      </c>
      <c r="D129" s="2" t="inlineStr">
        <is>
          <t>a lone pair on TsO⁻ (or water)</t>
        </is>
      </c>
      <c r="E129" s="2" t="inlineStr">
        <is>
          <t>the H on the O⁺</t>
        </is>
      </c>
      <c r="F129" s="2" t="inlineStr">
        <is>
          <t>O–H</t>
        </is>
      </c>
      <c r="G129" s="2" t="inlineStr">
        <is>
          <t>O–H</t>
        </is>
      </c>
      <c r="H129" s="2" t="inlineStr">
        <is>
          <t>the oxonium (R2OH⁺)</t>
        </is>
      </c>
      <c r="I129" s="2" t="n">
        <v>-3.5</v>
      </c>
      <c r="J129" s="2" t="inlineStr">
        <is>
          <t>TsOH</t>
        </is>
      </c>
      <c r="K129" s="2" t="n">
        <v>-2.8</v>
      </c>
      <c r="L129" s="2">
        <f>IF(AND(ISNUMBER(I129),ISNUMBER(K129)),K129-I129,"")</f>
        <v/>
      </c>
      <c r="M129" s="4">
        <f>IF(ISNUMBER(L129),10^L129,"")</f>
        <v/>
      </c>
      <c r="N129" s="2">
        <f>IF(ISNUMBER(L129),IF(L129&gt;=0,"downhill (favoured)","uphill (small amount)"),"")</f>
        <v/>
      </c>
      <c r="O129" s="2" t="n"/>
      <c r="P129" s="2" t="n"/>
      <c r="Q129" s="3" t="inlineStr">
        <is>
          <t>C1CCC2(CC1)OCCO2.Cc1ccc(S(=O)(=O)O)cc1</t>
        </is>
      </c>
      <c r="R129" s="2" t="inlineStr">
        <is>
          <t>Ketal; TsOH is regenerated.</t>
        </is>
      </c>
      <c r="S129" s="3" t="inlineStr">
        <is>
          <t>C1CCC2(CC1)OCC[O+:1]2[H:2].Cc1ccc(S(=O)(=O)[O-:3])cc1</t>
        </is>
      </c>
      <c r="T129" s="3" t="inlineStr">
        <is>
          <t>3&gt;2; 2-1&gt;1</t>
        </is>
      </c>
    </row>
    <row r="130">
      <c r="A130" s="2" t="inlineStr">
        <is>
          <t>R043</t>
        </is>
      </c>
      <c r="B130" s="2" t="n">
        <v>1</v>
      </c>
      <c r="C130" s="2" t="inlineStr">
        <is>
          <t>N adds to C=O</t>
        </is>
      </c>
      <c r="D130" s="2" t="inlineStr">
        <is>
          <t>the lone pair on aniline's N</t>
        </is>
      </c>
      <c r="E130" s="2" t="inlineStr">
        <is>
          <t>the carbonyl C; the C=O π electrons go to O</t>
        </is>
      </c>
      <c r="F130" s="2" t="inlineStr">
        <is>
          <t>C–N</t>
        </is>
      </c>
      <c r="G130" s="2" t="inlineStr">
        <is>
          <t>C=O (π)</t>
        </is>
      </c>
      <c r="H130" s="2" t="n"/>
      <c r="I130" s="2" t="n"/>
      <c r="J130" s="2" t="n"/>
      <c r="K130" s="2" t="n"/>
      <c r="L130" s="2">
        <f>IF(AND(ISNUMBER(I130),ISNUMBER(K130)),K130-I130,"")</f>
        <v/>
      </c>
      <c r="M130" s="4">
        <f>IF(ISNUMBER(L130),10^L130,"")</f>
        <v/>
      </c>
      <c r="N130" s="2">
        <f>IF(ISNUMBER(L130),IF(L130&gt;=0,"downhill (favoured)","uphill (small amount)"),"")</f>
        <v/>
      </c>
      <c r="O130" s="2" t="n"/>
      <c r="P130" s="2" t="n"/>
      <c r="Q130" s="3" t="inlineStr">
        <is>
          <t>[O-]C([NH2+]c1ccccc1)c1ccccc1</t>
        </is>
      </c>
      <c r="R130" s="2" t="inlineStr">
        <is>
          <t>Zwitterion.</t>
        </is>
      </c>
      <c r="S130" s="3" t="inlineStr">
        <is>
          <t>[O:1]=[CH:2]c1ccccc1.[NH2:3]c1ccccc1</t>
        </is>
      </c>
      <c r="T130" s="3" t="inlineStr">
        <is>
          <t>3&gt;2; 2-1&gt;1</t>
        </is>
      </c>
    </row>
    <row r="131">
      <c r="A131" s="2" t="inlineStr">
        <is>
          <t>R043</t>
        </is>
      </c>
      <c r="B131" s="2" t="n">
        <v>2</v>
      </c>
      <c r="C131" s="2" t="inlineStr">
        <is>
          <t>proton transfer</t>
        </is>
      </c>
      <c r="D131" s="2" t="inlineStr">
        <is>
          <t>the alkoxide O</t>
        </is>
      </c>
      <c r="E131" s="2" t="inlineStr">
        <is>
          <t>an H on the N⁺</t>
        </is>
      </c>
      <c r="F131" s="2" t="inlineStr">
        <is>
          <t>O–H</t>
        </is>
      </c>
      <c r="G131" s="2" t="inlineStr">
        <is>
          <t>N–H</t>
        </is>
      </c>
      <c r="H131" s="2" t="inlineStr">
        <is>
          <t>the N–H⁺ (ArNH2⁺R)</t>
        </is>
      </c>
      <c r="I131" s="2" t="n">
        <v>4.6</v>
      </c>
      <c r="J131" s="2" t="inlineStr">
        <is>
          <t>the alcohol O–H</t>
        </is>
      </c>
      <c r="K131" s="2" t="n">
        <v>16</v>
      </c>
      <c r="L131" s="2">
        <f>IF(AND(ISNUMBER(I131),ISNUMBER(K131)),K131-I131,"")</f>
        <v/>
      </c>
      <c r="M131" s="4">
        <f>IF(ISNUMBER(L131),10^L131,"")</f>
        <v/>
      </c>
      <c r="N131" s="2">
        <f>IF(ISNUMBER(L131),IF(L131&gt;=0,"downhill (favoured)","uphill (small amount)"),"")</f>
        <v/>
      </c>
      <c r="O131" s="2" t="n"/>
      <c r="P131" s="2" t="n"/>
      <c r="Q131" s="3" t="inlineStr">
        <is>
          <t>OC(Nc1ccccc1)c1ccccc1</t>
        </is>
      </c>
      <c r="R131" s="2" t="inlineStr">
        <is>
          <t>Carbinolamine.</t>
        </is>
      </c>
      <c r="S131" s="3" t="inlineStr">
        <is>
          <t>[O-:1]C([NH+:2]([H:3])c1ccccc1)c1ccccc1</t>
        </is>
      </c>
      <c r="T131" s="3" t="inlineStr">
        <is>
          <t>1&gt;3; 3-2&gt;2</t>
        </is>
      </c>
    </row>
    <row r="132">
      <c r="A132" s="2" t="inlineStr">
        <is>
          <t>R043</t>
        </is>
      </c>
      <c r="B132" s="2" t="n">
        <v>3</v>
      </c>
      <c r="C132" s="2" t="inlineStr">
        <is>
          <t>protonate the OH</t>
        </is>
      </c>
      <c r="D132" s="2" t="inlineStr">
        <is>
          <t>a lone pair on the OH oxygen</t>
        </is>
      </c>
      <c r="E132" s="2" t="inlineStr">
        <is>
          <t>the H of TsOH</t>
        </is>
      </c>
      <c r="F132" s="2" t="inlineStr">
        <is>
          <t>O–H</t>
        </is>
      </c>
      <c r="G132" s="2" t="inlineStr">
        <is>
          <t>O–H (TsOH)</t>
        </is>
      </c>
      <c r="H132" s="2" t="inlineStr">
        <is>
          <t>TsOH</t>
        </is>
      </c>
      <c r="I132" s="2" t="n">
        <v>-2.8</v>
      </c>
      <c r="J132" s="2" t="inlineStr">
        <is>
          <t>the protonated OH (R–OH2⁺)</t>
        </is>
      </c>
      <c r="K132" s="2" t="n">
        <v>-2</v>
      </c>
      <c r="L132" s="2">
        <f>IF(AND(ISNUMBER(I132),ISNUMBER(K132)),K132-I132,"")</f>
        <v/>
      </c>
      <c r="M132" s="4">
        <f>IF(ISNUMBER(L132),10^L132,"")</f>
        <v/>
      </c>
      <c r="N132" s="2">
        <f>IF(ISNUMBER(L132),IF(L132&gt;=0,"downhill (favoured)","uphill (small amount)"),"")</f>
        <v/>
      </c>
      <c r="O132" s="2" t="n"/>
      <c r="P132" s="2" t="n"/>
      <c r="Q132" s="3" t="inlineStr">
        <is>
          <t>[OH2+]C(Nc1ccccc1)c1ccccc1</t>
        </is>
      </c>
      <c r="R132" s="2" t="inlineStr"/>
      <c r="S132" s="3" t="inlineStr">
        <is>
          <t>[OH:1]C(Nc1ccccc1)c1ccccc1.[H:2][O:3]S(=O)(=O)c1ccc(C)cc1</t>
        </is>
      </c>
      <c r="T132" s="3" t="inlineStr">
        <is>
          <t>1&gt;2; 2-3&gt;3</t>
        </is>
      </c>
    </row>
    <row r="133">
      <c r="A133" s="2" t="inlineStr">
        <is>
          <t>R043</t>
        </is>
      </c>
      <c r="B133" s="2" t="n">
        <v>4</v>
      </c>
      <c r="C133" s="2" t="inlineStr">
        <is>
          <t>loss of water</t>
        </is>
      </c>
      <c r="D133" s="2" t="inlineStr">
        <is>
          <t>the N lone pair pushes in</t>
        </is>
      </c>
      <c r="E133" s="2" t="inlineStr">
        <is>
          <t>the C–OH2⁺ electrons go to O (water leaves)</t>
        </is>
      </c>
      <c r="F133" s="2" t="inlineStr">
        <is>
          <t>C=N⁺</t>
        </is>
      </c>
      <c r="G133" s="2" t="inlineStr">
        <is>
          <t>C–O</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C(=[NH+]c1ccccc1)c1ccccc1.O</t>
        </is>
      </c>
      <c r="R133" s="2" t="inlineStr">
        <is>
          <t>Iminium ion.</t>
        </is>
      </c>
      <c r="S133" s="3" t="inlineStr">
        <is>
          <t>[OH2+:1][CH:2]([NH:3]c1ccccc1)c1ccccc1</t>
        </is>
      </c>
      <c r="T133" s="3" t="inlineStr">
        <is>
          <t>3&gt;2-3; 2-1&gt;1</t>
        </is>
      </c>
    </row>
    <row r="134">
      <c r="A134" s="2" t="inlineStr">
        <is>
          <t>R043</t>
        </is>
      </c>
      <c r="B134" s="2" t="n">
        <v>5</v>
      </c>
      <c r="C134" s="2" t="inlineStr">
        <is>
          <t>deprotonation</t>
        </is>
      </c>
      <c r="D134" s="2" t="inlineStr">
        <is>
          <t>a lone pair on TsO⁻ (or water)</t>
        </is>
      </c>
      <c r="E134" s="2" t="inlineStr">
        <is>
          <t>the H on the N⁺</t>
        </is>
      </c>
      <c r="F134" s="2" t="inlineStr">
        <is>
          <t>O–H</t>
        </is>
      </c>
      <c r="G134" s="2" t="inlineStr">
        <is>
          <t>N–H</t>
        </is>
      </c>
      <c r="H134" s="2" t="n"/>
      <c r="I134" s="2" t="n"/>
      <c r="J134" s="2" t="n"/>
      <c r="K134" s="2" t="n"/>
      <c r="L134" s="2">
        <f>IF(AND(ISNUMBER(I134),ISNUMBER(K134)),K134-I134,"")</f>
        <v/>
      </c>
      <c r="M134" s="4">
        <f>IF(ISNUMBER(L134),10^L134,"")</f>
        <v/>
      </c>
      <c r="N134" s="2">
        <f>IF(ISNUMBER(L134),IF(L134&gt;=0,"downhill (favoured)","uphill (small amount)"),"")</f>
        <v/>
      </c>
      <c r="O134" s="2" t="n"/>
      <c r="P134" s="2" t="n"/>
      <c r="Q134" s="3" t="inlineStr">
        <is>
          <t>C(=Nc1ccccc1)c1ccccc1</t>
        </is>
      </c>
      <c r="R134" s="2" t="inlineStr">
        <is>
          <t>Imine; best near pH 4–5 (enough acid to lose water, not so much that the amine is all protonated).</t>
        </is>
      </c>
      <c r="S134" s="3" t="inlineStr">
        <is>
          <t>[CH:1](=[N+:2]([H:3])c1ccccc1)c1ccccc1.[OH2:4]</t>
        </is>
      </c>
      <c r="T134" s="3" t="inlineStr">
        <is>
          <t>4&gt;3; 3-2&gt;2</t>
        </is>
      </c>
    </row>
    <row r="135">
      <c r="A135" s="2" t="inlineStr">
        <is>
          <t>R044</t>
        </is>
      </c>
      <c r="B135" s="2" t="n">
        <v>1</v>
      </c>
      <c r="C135" s="2" t="inlineStr">
        <is>
          <t>N adds to C=O</t>
        </is>
      </c>
      <c r="D135" s="2" t="inlineStr">
        <is>
          <t>the lone pair on methylamine's N</t>
        </is>
      </c>
      <c r="E135" s="2" t="inlineStr">
        <is>
          <t>the carbonyl C; the C=O π electrons go to O</t>
        </is>
      </c>
      <c r="F135" s="2" t="inlineStr">
        <is>
          <t>C–N</t>
        </is>
      </c>
      <c r="G135" s="2" t="inlineStr">
        <is>
          <t>C=O (π)</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C[NH2+]C1([O-])CCCCC1</t>
        </is>
      </c>
      <c r="R135" s="2" t="inlineStr"/>
      <c r="S135" s="3" t="inlineStr">
        <is>
          <t>[O:1]=[C:2]1CCCCC1.C[NH2:3]</t>
        </is>
      </c>
      <c r="T135" s="3" t="inlineStr">
        <is>
          <t>3&gt;2; 2-1&gt;1</t>
        </is>
      </c>
    </row>
    <row r="136">
      <c r="A136" s="2" t="inlineStr">
        <is>
          <t>R044</t>
        </is>
      </c>
      <c r="B136" s="2" t="n">
        <v>2</v>
      </c>
      <c r="C136" s="2" t="inlineStr">
        <is>
          <t>proton transfer</t>
        </is>
      </c>
      <c r="D136" s="2" t="inlineStr">
        <is>
          <t>the alkoxide O</t>
        </is>
      </c>
      <c r="E136" s="2" t="inlineStr">
        <is>
          <t>an H on the N⁺</t>
        </is>
      </c>
      <c r="F136" s="2" t="inlineStr">
        <is>
          <t>O–H</t>
        </is>
      </c>
      <c r="G136" s="2" t="inlineStr">
        <is>
          <t>N–H</t>
        </is>
      </c>
      <c r="H136" s="2" t="inlineStr">
        <is>
          <t>the ammonium N–H (R2NH2⁺)</t>
        </is>
      </c>
      <c r="I136" s="2" t="n">
        <v>10.6</v>
      </c>
      <c r="J136" s="2" t="inlineStr">
        <is>
          <t>the alcohol O–H</t>
        </is>
      </c>
      <c r="K136" s="2" t="n">
        <v>16</v>
      </c>
      <c r="L136" s="2">
        <f>IF(AND(ISNUMBER(I136),ISNUMBER(K136)),K136-I136,"")</f>
        <v/>
      </c>
      <c r="M136" s="4">
        <f>IF(ISNUMBER(L136),10^L136,"")</f>
        <v/>
      </c>
      <c r="N136" s="2">
        <f>IF(ISNUMBER(L136),IF(L136&gt;=0,"downhill (favoured)","uphill (small amount)"),"")</f>
        <v/>
      </c>
      <c r="O136" s="2" t="n"/>
      <c r="P136" s="2" t="n"/>
      <c r="Q136" s="3" t="inlineStr">
        <is>
          <t>CNC1(O)CCCCC1</t>
        </is>
      </c>
      <c r="R136" s="2" t="inlineStr">
        <is>
          <t>Carbinolamine.</t>
        </is>
      </c>
      <c r="S136" s="3" t="inlineStr">
        <is>
          <t>C[NH+:1]([H:2])C1([O-:3])CCCCC1</t>
        </is>
      </c>
      <c r="T136" s="3" t="inlineStr">
        <is>
          <t>3&gt;2; 2-1&gt;1</t>
        </is>
      </c>
    </row>
    <row r="137">
      <c r="A137" s="2" t="inlineStr">
        <is>
          <t>R044</t>
        </is>
      </c>
      <c r="B137" s="2" t="n">
        <v>3</v>
      </c>
      <c r="C137" s="2" t="inlineStr">
        <is>
          <t>loss of water (acid catalysed)</t>
        </is>
      </c>
      <c r="D137" s="2" t="inlineStr">
        <is>
          <t>the N lone pair pushes in</t>
        </is>
      </c>
      <c r="E137" s="2" t="inlineStr">
        <is>
          <t>the C–OH2⁺ electrons go to O (water leaves) after the OH is protonated</t>
        </is>
      </c>
      <c r="F137" s="2" t="inlineStr">
        <is>
          <t>C=N⁺</t>
        </is>
      </c>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C[NH+]=C1CCCCC1.O</t>
        </is>
      </c>
      <c r="R137" s="2" t="inlineStr">
        <is>
          <t>Iminium ion.</t>
        </is>
      </c>
      <c r="S137" s="3" t="inlineStr">
        <is>
          <t>C[NH:1][C:2]1([OH2+:3])CCCCC1</t>
        </is>
      </c>
      <c r="T137" s="3" t="inlineStr">
        <is>
          <t>1&gt;1-2; 2-3&gt;3</t>
        </is>
      </c>
    </row>
    <row r="138">
      <c r="A138" s="2" t="inlineStr">
        <is>
          <t>R044</t>
        </is>
      </c>
      <c r="B138" s="2" t="n">
        <v>4</v>
      </c>
      <c r="C138" s="2" t="inlineStr">
        <is>
          <t>hydride addition</t>
        </is>
      </c>
      <c r="D138" s="2" t="inlineStr">
        <is>
          <t>a B–H bond's electrons (from BH3CN⁻)</t>
        </is>
      </c>
      <c r="E138" s="2" t="inlineStr">
        <is>
          <t>the iminium C; the C=N π electrons go to N</t>
        </is>
      </c>
      <c r="F138" s="2" t="inlineStr">
        <is>
          <t>C–H</t>
        </is>
      </c>
      <c r="G138" s="2" t="inlineStr">
        <is>
          <t>C=N (π)</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CNC1CCCCC1.BC#N</t>
        </is>
      </c>
      <c r="R138" s="2" t="inlineStr">
        <is>
          <t>BH3CN⁻ is too weak to reduce the ketone, but reduces the more electrophilic iminium ion. The C=N electrons return to N, which is then neutral: N-methylcyclohexylamine.</t>
        </is>
      </c>
      <c r="S138" s="3" t="inlineStr">
        <is>
          <t>C[NH+:1]=[C:2]1CCCCC1.[H:3][BH2-:4]C#N</t>
        </is>
      </c>
      <c r="T138" s="3" t="inlineStr">
        <is>
          <t>3-4&gt;2-3; 2-1&gt;1</t>
        </is>
      </c>
    </row>
    <row r="139">
      <c r="A139" s="2" t="inlineStr">
        <is>
          <t>R045</t>
        </is>
      </c>
      <c r="B139" s="2" t="n">
        <v>1</v>
      </c>
      <c r="C139" s="2" t="inlineStr">
        <is>
          <t>enolate formation (proton transfer)</t>
        </is>
      </c>
      <c r="D139" s="2" t="inlineStr">
        <is>
          <t>a lone pair on HO⁻</t>
        </is>
      </c>
      <c r="E139" s="2" t="inlineStr">
        <is>
          <t>an α H of acetone; the C–H electrons go to the C=C (enolate)</t>
        </is>
      </c>
      <c r="F139" s="2" t="inlineStr">
        <is>
          <t>O–H</t>
        </is>
      </c>
      <c r="G139" s="2" t="inlineStr">
        <is>
          <t>C–H (α)</t>
        </is>
      </c>
      <c r="H139" s="2" t="inlineStr">
        <is>
          <t>acetone (α C–H)</t>
        </is>
      </c>
      <c r="I139" s="2" t="n">
        <v>19.3</v>
      </c>
      <c r="J139" s="2" t="inlineStr">
        <is>
          <t>water</t>
        </is>
      </c>
      <c r="K139" s="2" t="n">
        <v>15.7</v>
      </c>
      <c r="L139" s="2">
        <f>IF(AND(ISNUMBER(I139),ISNUMBER(K139)),K139-I139,"")</f>
        <v/>
      </c>
      <c r="M139" s="4">
        <f>IF(ISNUMBER(L139),10^L139,"")</f>
        <v/>
      </c>
      <c r="N139" s="2">
        <f>IF(ISNUMBER(L139),IF(L139&gt;=0,"downhill (favoured)","uphill (small amount)"),"")</f>
        <v/>
      </c>
      <c r="O139" s="2" t="n"/>
      <c r="P139" s="2" t="n"/>
      <c r="Q139" s="3" t="inlineStr">
        <is>
          <t>C=C(C)[O-].O</t>
        </is>
      </c>
      <c r="R139" s="2" t="inlineStr">
        <is>
          <t>Uphill: only a small amount of enolate at any moment, enough to react.</t>
        </is>
      </c>
      <c r="S139" s="3" t="inlineStr">
        <is>
          <t>[OH-:1].[H:2][CH2:3][C:4](C)=[O:5]</t>
        </is>
      </c>
      <c r="T139" s="3" t="inlineStr">
        <is>
          <t>1&gt;2; 2-3&gt;3-4; 4-5&gt;5</t>
        </is>
      </c>
    </row>
    <row r="140">
      <c r="A140" s="2" t="inlineStr">
        <is>
          <t>R045</t>
        </is>
      </c>
      <c r="B140" s="2" t="n">
        <v>2</v>
      </c>
      <c r="C140" s="2" t="inlineStr">
        <is>
          <t>enolate adds to the aldehyde</t>
        </is>
      </c>
      <c r="D140" s="2" t="inlineStr">
        <is>
          <t>the enolate C=C π electrons (pushed by O⁻)</t>
        </is>
      </c>
      <c r="E140" s="2" t="inlineStr">
        <is>
          <t>benzaldehyde's carbonyl C; its C=O π electrons go to O</t>
        </is>
      </c>
      <c r="F140" s="2" t="inlineStr">
        <is>
          <t>C–C</t>
        </is>
      </c>
      <c r="G140" s="2" t="inlineStr">
        <is>
          <t>C=O (π)</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CC(=O)CC([O-])c1ccccc1</t>
        </is>
      </c>
      <c r="R140" s="2" t="inlineStr">
        <is>
          <t>The aldol addition step.</t>
        </is>
      </c>
      <c r="S140" s="3" t="inlineStr">
        <is>
          <t>[CH2:1]=[C:2](C)[O-:3].[O:4]=[CH:5]c1ccccc1</t>
        </is>
      </c>
      <c r="T140" s="3" t="inlineStr">
        <is>
          <t>3&gt;2-3; 1-2&gt;1-5; 5-4&gt;4</t>
        </is>
      </c>
    </row>
    <row r="141">
      <c r="A141" s="2" t="inlineStr">
        <is>
          <t>R045</t>
        </is>
      </c>
      <c r="B141" s="2" t="n">
        <v>3</v>
      </c>
      <c r="C141" s="2" t="inlineStr">
        <is>
          <t>proton transfer</t>
        </is>
      </c>
      <c r="D141" s="2" t="inlineStr">
        <is>
          <t>a lone pair on the alkoxide O</t>
        </is>
      </c>
      <c r="E141" s="2" t="inlineStr">
        <is>
          <t>an H of water</t>
        </is>
      </c>
      <c r="F141" s="2" t="inlineStr">
        <is>
          <t>O–H</t>
        </is>
      </c>
      <c r="G141" s="2" t="inlineStr">
        <is>
          <t>O–H (water)</t>
        </is>
      </c>
      <c r="H141" s="2" t="inlineStr">
        <is>
          <t>water</t>
        </is>
      </c>
      <c r="I141" s="2" t="n">
        <v>15.7</v>
      </c>
      <c r="J141" s="2" t="inlineStr">
        <is>
          <t>the alcohol O–H</t>
        </is>
      </c>
      <c r="K141" s="2" t="n">
        <v>16</v>
      </c>
      <c r="L141" s="2">
        <f>IF(AND(ISNUMBER(I141),ISNUMBER(K141)),K141-I141,"")</f>
        <v/>
      </c>
      <c r="M141" s="4">
        <f>IF(ISNUMBER(L141),10^L141,"")</f>
        <v/>
      </c>
      <c r="N141" s="2">
        <f>IF(ISNUMBER(L141),IF(L141&gt;=0,"downhill (favoured)","uphill (small amount)"),"")</f>
        <v/>
      </c>
      <c r="O141" s="2" t="n"/>
      <c r="P141" s="2" t="n"/>
      <c r="Q141" s="3" t="inlineStr">
        <is>
          <t>CC(=O)CC(O)c1ccccc1.[OH-]</t>
        </is>
      </c>
      <c r="R141" s="2" t="inlineStr">
        <is>
          <t>β-Hydroxy ketone (the aldol).</t>
        </is>
      </c>
      <c r="S141" s="3" t="inlineStr">
        <is>
          <t>CC(=O)CC([O-:1])c1ccccc1.[H:2][OH:3]</t>
        </is>
      </c>
      <c r="T141" s="3" t="inlineStr">
        <is>
          <t>1&gt;2; 2-3&gt;3</t>
        </is>
      </c>
    </row>
    <row r="142">
      <c r="A142" s="2" t="inlineStr">
        <is>
          <t>R045</t>
        </is>
      </c>
      <c r="B142" s="2" t="n">
        <v>4</v>
      </c>
      <c r="C142" s="2" t="inlineStr">
        <is>
          <t>second enolate (E1cB, step 1)</t>
        </is>
      </c>
      <c r="D142" s="2" t="inlineStr">
        <is>
          <t>a lone pair on HO⁻</t>
        </is>
      </c>
      <c r="E142" s="2" t="inlineStr">
        <is>
          <t>the α H between C=O and C–OH</t>
        </is>
      </c>
      <c r="F142" s="2" t="inlineStr">
        <is>
          <t>O–H</t>
        </is>
      </c>
      <c r="G142" s="2" t="inlineStr">
        <is>
          <t>C–H (α)</t>
        </is>
      </c>
      <c r="H142" s="2" t="inlineStr">
        <is>
          <t>the aldol (α C–H)</t>
        </is>
      </c>
      <c r="I142" s="2" t="n">
        <v>19</v>
      </c>
      <c r="J142" s="2" t="inlineStr">
        <is>
          <t>water</t>
        </is>
      </c>
      <c r="K142" s="2" t="n">
        <v>15.7</v>
      </c>
      <c r="L142" s="2">
        <f>IF(AND(ISNUMBER(I142),ISNUMBER(K142)),K142-I142,"")</f>
        <v/>
      </c>
      <c r="M142" s="4">
        <f>IF(ISNUMBER(L142),10^L142,"")</f>
        <v/>
      </c>
      <c r="N142" s="2">
        <f>IF(ISNUMBER(L142),IF(L142&gt;=0,"downhill (favoured)","uphill (small amount)"),"")</f>
        <v/>
      </c>
      <c r="O142" s="2" t="n"/>
      <c r="P142" s="2" t="n"/>
      <c r="Q142" s="3" t="inlineStr">
        <is>
          <t>CC([O-])=CC(O)c1ccccc1</t>
        </is>
      </c>
      <c r="R142" s="2" t="inlineStr"/>
      <c r="S142" s="3" t="inlineStr">
        <is>
          <t>C[C:4](=[O:5])[CH:1]([H:2])C(O)c1ccccc1.[OH-:3]</t>
        </is>
      </c>
      <c r="T142" s="3" t="inlineStr">
        <is>
          <t>3&gt;2; 2-1&gt;1-4; 4-5&gt;5</t>
        </is>
      </c>
    </row>
    <row r="143">
      <c r="A143" s="2" t="inlineStr">
        <is>
          <t>R045</t>
        </is>
      </c>
      <c r="B143" s="2" t="n">
        <v>5</v>
      </c>
      <c r="C143" s="2" t="inlineStr">
        <is>
          <t>loss of hydroxide (E1cB, step 2)</t>
        </is>
      </c>
      <c r="D143" s="2" t="inlineStr">
        <is>
          <t>the O⁻ lone pair reforms C=O; the C=C electrons move</t>
        </is>
      </c>
      <c r="E143" s="2" t="inlineStr">
        <is>
          <t>the C–OH bond's electrons go to O (HO⁻ leaves)</t>
        </is>
      </c>
      <c r="F143" s="2" t="inlineStr">
        <is>
          <t>C=C</t>
        </is>
      </c>
      <c r="G143" s="2" t="inlineStr">
        <is>
          <t>C–OH</t>
        </is>
      </c>
      <c r="H143" s="2" t="n"/>
      <c r="I143" s="2" t="n"/>
      <c r="J143" s="2" t="n"/>
      <c r="K143" s="2" t="n"/>
      <c r="L143" s="2">
        <f>IF(AND(ISNUMBER(I143),ISNUMBER(K143)),K143-I143,"")</f>
        <v/>
      </c>
      <c r="M143" s="4">
        <f>IF(ISNUMBER(L143),10^L143,"")</f>
        <v/>
      </c>
      <c r="N143" s="2">
        <f>IF(ISNUMBER(L143),IF(L143&gt;=0,"downhill (favoured)","uphill (small amount)"),"")</f>
        <v/>
      </c>
      <c r="O143" s="2" t="inlineStr">
        <is>
          <t>hydroxide</t>
        </is>
      </c>
      <c r="P143" s="2" t="n">
        <v>15.7</v>
      </c>
      <c r="Q143" s="3" t="inlineStr">
        <is>
          <t>CC(=O)C=Cc1ccccc1.[OH-]</t>
        </is>
      </c>
      <c r="R143" s="2" t="inlineStr">
        <is>
          <t>HO⁻ is a poor leaving group, but the conjugated enone (with the ring) is very stable: the E isomer.</t>
        </is>
      </c>
      <c r="S143" s="3" t="inlineStr">
        <is>
          <t>C[C:1]([O-:2])=[CH:3][CH:4]([OH:5])c1ccccc1</t>
        </is>
      </c>
      <c r="T143" s="3" t="inlineStr">
        <is>
          <t>2&gt;1-2; 1-3&gt;3-4; 4-5&gt;5</t>
        </is>
      </c>
    </row>
    <row r="144">
      <c r="A144" s="2" t="inlineStr">
        <is>
          <t>R046</t>
        </is>
      </c>
      <c r="B144" s="2" t="n">
        <v>1</v>
      </c>
      <c r="C144" s="2" t="inlineStr">
        <is>
          <t>peracid adds to C=O</t>
        </is>
      </c>
      <c r="D144" s="2" t="inlineStr">
        <is>
          <t>a lone pair on the peracid's OH oxygen</t>
        </is>
      </c>
      <c r="E144" s="2" t="inlineStr">
        <is>
          <t>the carbonyl C; the C=O π electrons go to O (then H moves)</t>
        </is>
      </c>
      <c r="F144" s="2" t="inlineStr">
        <is>
          <t>C–O</t>
        </is>
      </c>
      <c r="G144" s="2" t="inlineStr">
        <is>
          <t>C=O (π)</t>
        </is>
      </c>
      <c r="H144" s="2" t="n"/>
      <c r="I144" s="2" t="n"/>
      <c r="J144" s="2" t="n"/>
      <c r="K144" s="2" t="n"/>
      <c r="L144" s="2">
        <f>IF(AND(ISNUMBER(I144),ISNUMBER(K144)),K144-I144,"")</f>
        <v/>
      </c>
      <c r="M144" s="4">
        <f>IF(ISNUMBER(L144),10^L144,"")</f>
        <v/>
      </c>
      <c r="N144" s="2">
        <f>IF(ISNUMBER(L144),IF(L144&gt;=0,"downhill (favoured)","uphill (small amount)"),"")</f>
        <v/>
      </c>
      <c r="O144" s="2" t="n"/>
      <c r="P144" s="2" t="n"/>
      <c r="Q144" s="3" t="inlineStr">
        <is>
          <t>O=C(OOC1(O)CCCCC1)c1cccc(Cl)c1</t>
        </is>
      </c>
      <c r="R144" s="2" t="inlineStr">
        <is>
          <t>Criegee intermediate.</t>
        </is>
      </c>
      <c r="S144" s="3" t="inlineStr">
        <is>
          <t>[O:1]=[C:2]1CCCCC1.O=C(O[O:3][H:4])c1cccc(Cl)c1</t>
        </is>
      </c>
      <c r="T144" s="3" t="inlineStr">
        <is>
          <t>3&gt;2; 2-1&gt;1; 1&gt;4; 4-3&gt;3</t>
        </is>
      </c>
    </row>
    <row r="145">
      <c r="A145" s="2" t="inlineStr">
        <is>
          <t>R046</t>
        </is>
      </c>
      <c r="B145" s="2" t="n">
        <v>2</v>
      </c>
      <c r="C145" s="2" t="inlineStr">
        <is>
          <t>migration (C → O)</t>
        </is>
      </c>
      <c r="D145" s="2" t="inlineStr">
        <is>
          <t>a ring C–C bond's electrons</t>
        </is>
      </c>
      <c r="E145" s="2" t="inlineStr">
        <is>
          <t>the near O of the O–O bond; the O–O electrons go to the carboxylate</t>
        </is>
      </c>
      <c r="F145" s="2" t="inlineStr">
        <is>
          <t>C–O (ring)</t>
        </is>
      </c>
      <c r="G145" s="2" t="inlineStr">
        <is>
          <t>C–C; O–O</t>
        </is>
      </c>
      <c r="H145" s="2" t="n"/>
      <c r="I145" s="2" t="n"/>
      <c r="J145" s="2" t="n"/>
      <c r="K145" s="2" t="n"/>
      <c r="L145" s="2">
        <f>IF(AND(ISNUMBER(I145),ISNUMBER(K145)),K145-I145,"")</f>
        <v/>
      </c>
      <c r="M145" s="4">
        <f>IF(ISNUMBER(L145),10^L145,"")</f>
        <v/>
      </c>
      <c r="N145" s="2">
        <f>IF(ISNUMBER(L145),IF(L145&gt;=0,"downhill (favoured)","uphill (small amount)"),"")</f>
        <v/>
      </c>
      <c r="O145" s="2" t="inlineStr">
        <is>
          <t>3-chlorobenzoate</t>
        </is>
      </c>
      <c r="P145" s="2" t="n">
        <v>3.8</v>
      </c>
      <c r="Q145" s="3" t="inlineStr">
        <is>
          <t>[OH+]=C1CCCCCO1.O=C([O-])c1cccc(Cl)c1</t>
        </is>
      </c>
      <c r="R145" s="2" t="inlineStr">
        <is>
          <t>The group that migrates keeps its configuration; more substituted groups migrate best.</t>
        </is>
      </c>
      <c r="S145" s="3" t="inlineStr">
        <is>
          <t>O=C([O:4][O:3][C:1]1([OH:2])CCCC[CH2:5]1)c1cccc(Cl)c1</t>
        </is>
      </c>
      <c r="T145" s="3" t="inlineStr">
        <is>
          <t>2&gt;1-2; 1-5&gt;3-5; 3-4&gt;4</t>
        </is>
      </c>
    </row>
    <row r="146">
      <c r="A146" s="2" t="inlineStr">
        <is>
          <t>R046</t>
        </is>
      </c>
      <c r="B146" s="2" t="n">
        <v>3</v>
      </c>
      <c r="C146" s="2" t="inlineStr">
        <is>
          <t>proton transfer</t>
        </is>
      </c>
      <c r="D146" s="2" t="inlineStr">
        <is>
          <t>a lone pair on the carboxylate O</t>
        </is>
      </c>
      <c r="E146" s="2" t="inlineStr">
        <is>
          <t>the H on the lactone's O⁺</t>
        </is>
      </c>
      <c r="F146" s="2" t="inlineStr">
        <is>
          <t>O–H</t>
        </is>
      </c>
      <c r="G146" s="2" t="inlineStr">
        <is>
          <t>O–H</t>
        </is>
      </c>
      <c r="H146" s="2" t="inlineStr">
        <is>
          <t>the protonated lactone</t>
        </is>
      </c>
      <c r="I146" s="2" t="n">
        <v>-6.5</v>
      </c>
      <c r="J146" s="2" t="inlineStr">
        <is>
          <t>3-chlorobenzoic acid</t>
        </is>
      </c>
      <c r="K146" s="2" t="n">
        <v>3.8</v>
      </c>
      <c r="L146" s="2">
        <f>IF(AND(ISNUMBER(I146),ISNUMBER(K146)),K146-I146,"")</f>
        <v/>
      </c>
      <c r="M146" s="4">
        <f>IF(ISNUMBER(L146),10^L146,"")</f>
        <v/>
      </c>
      <c r="N146" s="2">
        <f>IF(ISNUMBER(L146),IF(L146&gt;=0,"downhill (favoured)","uphill (small amount)"),"")</f>
        <v/>
      </c>
      <c r="O146" s="2" t="n"/>
      <c r="P146" s="2" t="n"/>
      <c r="Q146" s="3" t="inlineStr">
        <is>
          <t>O=C1CCCCCO1.O=C(O)c1cccc(Cl)c1</t>
        </is>
      </c>
      <c r="R146" s="2" t="inlineStr">
        <is>
          <t>ε-Caprolactone.</t>
        </is>
      </c>
      <c r="S146" s="3" t="inlineStr">
        <is>
          <t>[O+:1]([H:2])=C1CCCCCO1.O=C([O-:3])c1cccc(Cl)c1</t>
        </is>
      </c>
      <c r="T146" s="3" t="inlineStr">
        <is>
          <t>3&gt;2; 2-1&gt;1</t>
        </is>
      </c>
    </row>
    <row r="147">
      <c r="A147" s="2" t="inlineStr">
        <is>
          <t>R047</t>
        </is>
      </c>
      <c r="B147" s="2" t="n">
        <v>1</v>
      </c>
      <c r="C147" s="2" t="inlineStr">
        <is>
          <t>hydroxide adds</t>
        </is>
      </c>
      <c r="D147" s="2" t="inlineStr">
        <is>
          <t>a lone pair on HO⁻</t>
        </is>
      </c>
      <c r="E147" s="2" t="inlineStr">
        <is>
          <t>the ester C=O carbon; the π electrons go to O</t>
        </is>
      </c>
      <c r="F147" s="2" t="inlineStr">
        <is>
          <t>C–O</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CCOC([O-])(O)c1ccccc1</t>
        </is>
      </c>
      <c r="R147" s="2" t="inlineStr">
        <is>
          <t>Tetrahedral intermediate.</t>
        </is>
      </c>
      <c r="S147" s="3" t="inlineStr">
        <is>
          <t>CCO[C:1](=[O:2])c1ccccc1.[OH-:3]</t>
        </is>
      </c>
      <c r="T147" s="3" t="inlineStr">
        <is>
          <t>3&gt;1; 1-2&gt;2</t>
        </is>
      </c>
    </row>
    <row r="148">
      <c r="A148" s="2" t="inlineStr">
        <is>
          <t>R047</t>
        </is>
      </c>
      <c r="B148" s="2" t="n">
        <v>2</v>
      </c>
      <c r="C148" s="2" t="inlineStr">
        <is>
          <t>collapse (ethoxide leaves)</t>
        </is>
      </c>
      <c r="D148" s="2" t="inlineStr">
        <is>
          <t>the O⁻ lone pair reforms C=O</t>
        </is>
      </c>
      <c r="E148" s="2" t="inlineStr">
        <is>
          <t>the C–OEt electrons go to O (EtO⁻ leaves)</t>
        </is>
      </c>
      <c r="F148" s="2" t="inlineStr">
        <is>
          <t>C=O</t>
        </is>
      </c>
      <c r="G148" s="2" t="inlineStr">
        <is>
          <t>C–OEt</t>
        </is>
      </c>
      <c r="H148" s="2" t="n"/>
      <c r="I148" s="2" t="n"/>
      <c r="J148" s="2" t="n"/>
      <c r="K148" s="2" t="n"/>
      <c r="L148" s="2">
        <f>IF(AND(ISNUMBER(I148),ISNUMBER(K148)),K148-I148,"")</f>
        <v/>
      </c>
      <c r="M148" s="4">
        <f>IF(ISNUMBER(L148),10^L148,"")</f>
        <v/>
      </c>
      <c r="N148" s="2">
        <f>IF(ISNUMBER(L148),IF(L148&gt;=0,"downhill (favoured)","uphill (small amount)"),"")</f>
        <v/>
      </c>
      <c r="O148" s="2" t="inlineStr">
        <is>
          <t>ethoxide</t>
        </is>
      </c>
      <c r="P148" s="2" t="n">
        <v>16</v>
      </c>
      <c r="Q148" s="3" t="inlineStr">
        <is>
          <t>O=C(O)c1ccccc1.CC[O-]</t>
        </is>
      </c>
      <c r="R148" s="2" t="inlineStr"/>
      <c r="S148" s="3" t="inlineStr">
        <is>
          <t>CC[O:1][C:2]([O-:3])(O)c1ccccc1</t>
        </is>
      </c>
      <c r="T148" s="3" t="inlineStr">
        <is>
          <t>3&gt;2-3; 2-1&gt;1</t>
        </is>
      </c>
    </row>
    <row r="149">
      <c r="A149" s="2" t="inlineStr">
        <is>
          <t>R047</t>
        </is>
      </c>
      <c r="B149" s="2" t="n">
        <v>3</v>
      </c>
      <c r="C149" s="2" t="inlineStr">
        <is>
          <t>proton transfer</t>
        </is>
      </c>
      <c r="D149" s="2" t="inlineStr">
        <is>
          <t>a lone pair on EtO⁻</t>
        </is>
      </c>
      <c r="E149" s="2" t="inlineStr">
        <is>
          <t>the acid's O–H</t>
        </is>
      </c>
      <c r="F149" s="2" t="inlineStr">
        <is>
          <t>O–H</t>
        </is>
      </c>
      <c r="G149" s="2" t="inlineStr">
        <is>
          <t>O–H</t>
        </is>
      </c>
      <c r="H149" s="2" t="inlineStr">
        <is>
          <t>benzoic acid</t>
        </is>
      </c>
      <c r="I149" s="2" t="n">
        <v>4.2</v>
      </c>
      <c r="J149" s="2" t="inlineStr">
        <is>
          <t>ethanol</t>
        </is>
      </c>
      <c r="K149" s="2" t="n">
        <v>16</v>
      </c>
      <c r="L149" s="2">
        <f>IF(AND(ISNUMBER(I149),ISNUMBER(K149)),K149-I149,"")</f>
        <v/>
      </c>
      <c r="M149" s="4">
        <f>IF(ISNUMBER(L149),10^L149,"")</f>
        <v/>
      </c>
      <c r="N149" s="2">
        <f>IF(ISNUMBER(L149),IF(L149&gt;=0,"downhill (favoured)","uphill (small amount)"),"")</f>
        <v/>
      </c>
      <c r="O149" s="2" t="n"/>
      <c r="P149" s="2" t="n"/>
      <c r="Q149" s="3" t="inlineStr">
        <is>
          <t>O=C([O-])c1ccccc1.CCO</t>
        </is>
      </c>
      <c r="R149" s="2" t="inlineStr">
        <is>
          <t>Very favourable: this makes saponification irreversible.</t>
        </is>
      </c>
      <c r="S149" s="3" t="inlineStr">
        <is>
          <t>O=C([O:1][H:2])c1ccccc1.CC[O-:3]</t>
        </is>
      </c>
      <c r="T149" s="3" t="inlineStr">
        <is>
          <t>3&gt;2; 2-1&gt;1</t>
        </is>
      </c>
    </row>
    <row r="150">
      <c r="A150" s="2" t="inlineStr">
        <is>
          <t>R047</t>
        </is>
      </c>
      <c r="B150" s="2" t="n">
        <v>4</v>
      </c>
      <c r="C150" s="2" t="inlineStr">
        <is>
          <t>acid work-up (proton transfer)</t>
        </is>
      </c>
      <c r="D150" s="2" t="inlineStr">
        <is>
          <t>a lone pair on the carboxylate O</t>
        </is>
      </c>
      <c r="E150" s="2" t="inlineStr">
        <is>
          <t>an H of H3O⁺</t>
        </is>
      </c>
      <c r="F150" s="2" t="inlineStr">
        <is>
          <t>O–H</t>
        </is>
      </c>
      <c r="G150" s="2" t="inlineStr">
        <is>
          <t>O–H (H3O⁺)</t>
        </is>
      </c>
      <c r="H150" s="2" t="inlineStr">
        <is>
          <t>H3O⁺</t>
        </is>
      </c>
      <c r="I150" s="2" t="n">
        <v>-1.7</v>
      </c>
      <c r="J150" s="2" t="inlineStr">
        <is>
          <t>benzoic acid</t>
        </is>
      </c>
      <c r="K150" s="2" t="n">
        <v>4.2</v>
      </c>
      <c r="L150" s="2">
        <f>IF(AND(ISNUMBER(I150),ISNUMBER(K150)),K150-I150,"")</f>
        <v/>
      </c>
      <c r="M150" s="4">
        <f>IF(ISNUMBER(L150),10^L150,"")</f>
        <v/>
      </c>
      <c r="N150" s="2">
        <f>IF(ISNUMBER(L150),IF(L150&gt;=0,"downhill (favoured)","uphill (small amount)"),"")</f>
        <v/>
      </c>
      <c r="O150" s="2" t="n"/>
      <c r="P150" s="2" t="n"/>
      <c r="Q150" s="3" t="inlineStr">
        <is>
          <t>O=C(O)c1ccccc1.CCO</t>
        </is>
      </c>
      <c r="R150" s="2" t="inlineStr">
        <is>
          <t>Benzoic acid (and the ethanol from step 2).</t>
        </is>
      </c>
      <c r="S150" s="3" t="inlineStr">
        <is>
          <t>O=C([O-:1])c1ccccc1.[H:2][OH2+:3].CCO</t>
        </is>
      </c>
      <c r="T150" s="3" t="inlineStr">
        <is>
          <t>1&gt;2; 2-3&gt;3</t>
        </is>
      </c>
    </row>
    <row r="151">
      <c r="A151" s="2" t="inlineStr">
        <is>
          <t>R048</t>
        </is>
      </c>
      <c r="B151" s="2" t="n">
        <v>1</v>
      </c>
      <c r="C151" s="2" t="inlineStr">
        <is>
          <t>N adds to C=O</t>
        </is>
      </c>
      <c r="D151" s="2" t="inlineStr">
        <is>
          <t>the lone pair on aniline's N</t>
        </is>
      </c>
      <c r="E151" s="2" t="inlineStr">
        <is>
          <t>the acyl chloride's carbonyl C; the π electrons go to O</t>
        </is>
      </c>
      <c r="F151" s="2" t="inlineStr">
        <is>
          <t>C–N</t>
        </is>
      </c>
      <c r="G151" s="2" t="inlineStr">
        <is>
          <t>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CC([O-])(Cl)[NH2+]c1ccccc1</t>
        </is>
      </c>
      <c r="R151" s="2" t="inlineStr">
        <is>
          <t>Tetrahedral intermediate.</t>
        </is>
      </c>
      <c r="S151" s="3" t="inlineStr">
        <is>
          <t>C[C:1](=[O:2])Cl.[NH2:3]c1ccccc1</t>
        </is>
      </c>
      <c r="T151" s="3" t="inlineStr">
        <is>
          <t>3&gt;1; 1-2&gt;2</t>
        </is>
      </c>
    </row>
    <row r="152">
      <c r="A152" s="2" t="inlineStr">
        <is>
          <t>R048</t>
        </is>
      </c>
      <c r="B152" s="2" t="n">
        <v>2</v>
      </c>
      <c r="C152" s="2" t="inlineStr">
        <is>
          <t>collapse (chloride leaves)</t>
        </is>
      </c>
      <c r="D152" s="2" t="inlineStr">
        <is>
          <t>the O⁻ lone pair reforms C=O</t>
        </is>
      </c>
      <c r="E152" s="2" t="inlineStr">
        <is>
          <t>the C–Cl electrons go to Cl (Cl⁻ leaves)</t>
        </is>
      </c>
      <c r="F152" s="2" t="inlineStr">
        <is>
          <t>C=O</t>
        </is>
      </c>
      <c r="G152" s="2" t="inlineStr">
        <is>
          <t>C–Cl</t>
        </is>
      </c>
      <c r="H152" s="2" t="n"/>
      <c r="I152" s="2" t="n"/>
      <c r="J152" s="2" t="n"/>
      <c r="K152" s="2" t="n"/>
      <c r="L152" s="2">
        <f>IF(AND(ISNUMBER(I152),ISNUMBER(K152)),K152-I152,"")</f>
        <v/>
      </c>
      <c r="M152" s="4">
        <f>IF(ISNUMBER(L152),10^L152,"")</f>
        <v/>
      </c>
      <c r="N152" s="2">
        <f>IF(ISNUMBER(L152),IF(L152&gt;=0,"downhill (favoured)","uphill (small amount)"),"")</f>
        <v/>
      </c>
      <c r="O152" s="2" t="inlineStr">
        <is>
          <t>chloride</t>
        </is>
      </c>
      <c r="P152" s="2" t="n">
        <v>-7</v>
      </c>
      <c r="Q152" s="3" t="inlineStr">
        <is>
          <t>CC(=O)[NH2+]c1ccccc1.[Cl-]</t>
        </is>
      </c>
      <c r="R152" s="2" t="inlineStr">
        <is>
          <t>Cl⁻ is an excellent leaving group: fast even at 0 °C.</t>
        </is>
      </c>
      <c r="S152" s="3" t="inlineStr">
        <is>
          <t>C[C:1]([O-:2])([Cl:3])[NH2+]c1ccccc1</t>
        </is>
      </c>
      <c r="T152" s="3" t="inlineStr">
        <is>
          <t>2&gt;1-2; 1-3&gt;3</t>
        </is>
      </c>
    </row>
    <row r="153">
      <c r="A153" s="2" t="inlineStr">
        <is>
          <t>R048</t>
        </is>
      </c>
      <c r="B153" s="2" t="n">
        <v>3</v>
      </c>
      <c r="C153" s="2" t="inlineStr">
        <is>
          <t>deprotonation</t>
        </is>
      </c>
      <c r="D153" s="2" t="inlineStr">
        <is>
          <t>the lone pair on pyridine's N</t>
        </is>
      </c>
      <c r="E153" s="2" t="inlineStr">
        <is>
          <t>the H on the N⁺</t>
        </is>
      </c>
      <c r="F153" s="2" t="inlineStr">
        <is>
          <t>N–H (pyridinium)</t>
        </is>
      </c>
      <c r="G153" s="2" t="inlineStr">
        <is>
          <t>N–H</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CC(=O)Nc1ccccc1.c1cc[nH+]cc1</t>
        </is>
      </c>
      <c r="R153" s="2" t="inlineStr">
        <is>
          <t>Acetanilide; pyridine takes up the HCl so the aniline is not used up as its salt.</t>
        </is>
      </c>
      <c r="S153" s="3" t="inlineStr">
        <is>
          <t>CC(=O)[NH+:1]([H:2])c1ccccc1.[n:3]1ccccc1</t>
        </is>
      </c>
      <c r="T153" s="3" t="inlineStr">
        <is>
          <t>3&gt;2; 2-1&gt;1</t>
        </is>
      </c>
    </row>
    <row r="154">
      <c r="A154" s="2" t="inlineStr">
        <is>
          <t>R049</t>
        </is>
      </c>
      <c r="B154" s="2" t="n">
        <v>1</v>
      </c>
      <c r="C154" s="2" t="inlineStr">
        <is>
          <t>phenol O adds to the anhydride C=O</t>
        </is>
      </c>
      <c r="D154" s="2" t="inlineStr">
        <is>
          <t>a lone pair on the phenol O</t>
        </is>
      </c>
      <c r="E154" s="2" t="inlineStr">
        <is>
          <t>a carbonyl C of acetic anhydride; the π electrons go to O (acid catalyst helps)</t>
        </is>
      </c>
      <c r="F154" s="2" t="inlineStr">
        <is>
          <t>C–O</t>
        </is>
      </c>
      <c r="G154" s="2" t="inlineStr">
        <is>
          <t>C=O (π)</t>
        </is>
      </c>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CC([O-])(OC(C)=O)[OH+]c1ccccc1C(=O)O</t>
        </is>
      </c>
      <c r="R154" s="2" t="inlineStr">
        <is>
          <t>Tetrahedral intermediate.</t>
        </is>
      </c>
      <c r="S154" s="3" t="inlineStr">
        <is>
          <t>C[C:2](=[O:3])OC(C)=O.[OH:1]c1ccccc1C(=O)O</t>
        </is>
      </c>
      <c r="T154" s="3" t="inlineStr">
        <is>
          <t>1&gt;2; 2-3&gt;3</t>
        </is>
      </c>
    </row>
    <row r="155">
      <c r="A155" s="2" t="inlineStr">
        <is>
          <t>R049</t>
        </is>
      </c>
      <c r="B155" s="2" t="n">
        <v>2</v>
      </c>
      <c r="C155" s="2" t="inlineStr">
        <is>
          <t>collapse (acetate leaves)</t>
        </is>
      </c>
      <c r="D155" s="2" t="inlineStr">
        <is>
          <t>the O⁻ lone pair reforms C=O</t>
        </is>
      </c>
      <c r="E155" s="2" t="inlineStr">
        <is>
          <t>the C–OAc electrons go to O (acetate leaves)</t>
        </is>
      </c>
      <c r="F155" s="2" t="inlineStr">
        <is>
          <t>C=O</t>
        </is>
      </c>
      <c r="G155" s="2" t="inlineStr">
        <is>
          <t>C–O</t>
        </is>
      </c>
      <c r="H155" s="2" t="n"/>
      <c r="I155" s="2" t="n"/>
      <c r="J155" s="2" t="n"/>
      <c r="K155" s="2" t="n"/>
      <c r="L155" s="2">
        <f>IF(AND(ISNUMBER(I155),ISNUMBER(K155)),K155-I155,"")</f>
        <v/>
      </c>
      <c r="M155" s="4">
        <f>IF(ISNUMBER(L155),10^L155,"")</f>
        <v/>
      </c>
      <c r="N155" s="2">
        <f>IF(ISNUMBER(L155),IF(L155&gt;=0,"downhill (favoured)","uphill (small amount)"),"")</f>
        <v/>
      </c>
      <c r="O155" s="2" t="inlineStr">
        <is>
          <t>acetate</t>
        </is>
      </c>
      <c r="P155" s="2" t="n">
        <v>4.76</v>
      </c>
      <c r="Q155" s="3" t="inlineStr">
        <is>
          <t>CC(=O)[OH+]c1ccccc1C(=O)O.CC(=O)[O-]</t>
        </is>
      </c>
      <c r="R155" s="2" t="inlineStr"/>
      <c r="S155" s="3" t="inlineStr">
        <is>
          <t>C[C:1]([O-:2])([O:3]C(C)=O)[OH+]c1ccccc1C(=O)O</t>
        </is>
      </c>
      <c r="T155" s="3" t="inlineStr">
        <is>
          <t>2&gt;1-2; 1-3&gt;3</t>
        </is>
      </c>
    </row>
    <row r="156">
      <c r="A156" s="2" t="inlineStr">
        <is>
          <t>R049</t>
        </is>
      </c>
      <c r="B156" s="2" t="n">
        <v>3</v>
      </c>
      <c r="C156" s="2" t="inlineStr">
        <is>
          <t>proton transfer</t>
        </is>
      </c>
      <c r="D156" s="2" t="inlineStr">
        <is>
          <t>a lone pair on acetate</t>
        </is>
      </c>
      <c r="E156" s="2" t="inlineStr">
        <is>
          <t>the H on the O⁺</t>
        </is>
      </c>
      <c r="F156" s="2" t="inlineStr">
        <is>
          <t>O–H</t>
        </is>
      </c>
      <c r="G156" s="2" t="inlineStr">
        <is>
          <t>O–H</t>
        </is>
      </c>
      <c r="H156" s="2" t="inlineStr">
        <is>
          <t>the protonated ester</t>
        </is>
      </c>
      <c r="I156" s="2" t="n">
        <v>-6.5</v>
      </c>
      <c r="J156" s="2" t="inlineStr">
        <is>
          <t>acetic acid</t>
        </is>
      </c>
      <c r="K156" s="2" t="n">
        <v>4.76</v>
      </c>
      <c r="L156" s="2">
        <f>IF(AND(ISNUMBER(I156),ISNUMBER(K156)),K156-I156,"")</f>
        <v/>
      </c>
      <c r="M156" s="4">
        <f>IF(ISNUMBER(L156),10^L156,"")</f>
        <v/>
      </c>
      <c r="N156" s="2">
        <f>IF(ISNUMBER(L156),IF(L156&gt;=0,"downhill (favoured)","uphill (small amount)"),"")</f>
        <v/>
      </c>
      <c r="O156" s="2" t="n"/>
      <c r="P156" s="2" t="n"/>
      <c r="Q156" s="3" t="inlineStr">
        <is>
          <t>CC(=O)Oc1ccccc1C(=O)O.CC(=O)O</t>
        </is>
      </c>
      <c r="R156" s="2" t="inlineStr">
        <is>
          <t>Aspirin + acetic acid.</t>
        </is>
      </c>
      <c r="S156" s="3" t="inlineStr">
        <is>
          <t>CC(=O)[O+:1]([H:2])c1ccccc1C(=O)O.CC(=O)[O-:3]</t>
        </is>
      </c>
      <c r="T156" s="3" t="inlineStr">
        <is>
          <t>3&gt;2; 2-1&gt;1</t>
        </is>
      </c>
    </row>
    <row r="157">
      <c r="A157" s="2" t="inlineStr">
        <is>
          <t>R050</t>
        </is>
      </c>
      <c r="B157" s="2" t="n">
        <v>1</v>
      </c>
      <c r="C157" s="2" t="inlineStr">
        <is>
          <t>protonate the epoxide O</t>
        </is>
      </c>
      <c r="D157" s="2" t="inlineStr">
        <is>
          <t>a lone pair on the epoxide O</t>
        </is>
      </c>
      <c r="E157" s="2" t="inlineStr">
        <is>
          <t>an H of H3O⁺</t>
        </is>
      </c>
      <c r="F157" s="2" t="inlineStr">
        <is>
          <t>O–H</t>
        </is>
      </c>
      <c r="G157" s="2" t="inlineStr">
        <is>
          <t>O–H (H3O⁺)</t>
        </is>
      </c>
      <c r="H157" s="2" t="inlineStr">
        <is>
          <t>H3O⁺</t>
        </is>
      </c>
      <c r="I157" s="2" t="n">
        <v>-1.7</v>
      </c>
      <c r="J157" s="2" t="inlineStr">
        <is>
          <t>the protonated epoxide (like a protonated ether)</t>
        </is>
      </c>
      <c r="K157" s="2" t="n">
        <v>-3.5</v>
      </c>
      <c r="L157" s="2">
        <f>IF(AND(ISNUMBER(I157),ISNUMBER(K157)),K157-I157,"")</f>
        <v/>
      </c>
      <c r="M157" s="4">
        <f>IF(ISNUMBER(L157),10^L157,"")</f>
        <v/>
      </c>
      <c r="N157" s="2">
        <f>IF(ISNUMBER(L157),IF(L157&gt;=0,"downhill (favoured)","uphill (small amount)"),"")</f>
        <v/>
      </c>
      <c r="O157" s="2" t="n"/>
      <c r="P157" s="2" t="n"/>
      <c r="Q157" s="3" t="inlineStr">
        <is>
          <t>C1CCC2[OH+]C2C1.O</t>
        </is>
      </c>
      <c r="R157" s="2" t="inlineStr">
        <is>
          <t>Uphill, but the protonated epoxide is very reactive.</t>
        </is>
      </c>
      <c r="S157" s="3" t="inlineStr">
        <is>
          <t>C1CCC2[O:1]C2C1.[H:2][OH2+:3]</t>
        </is>
      </c>
      <c r="T157" s="3" t="inlineStr">
        <is>
          <t>1&gt;2; 2-3&gt;3</t>
        </is>
      </c>
    </row>
    <row r="158">
      <c r="A158" s="2" t="inlineStr">
        <is>
          <t>R050</t>
        </is>
      </c>
      <c r="B158" s="2" t="n">
        <v>2</v>
      </c>
      <c r="C158" s="2" t="inlineStr">
        <is>
          <t>water opens the ring</t>
        </is>
      </c>
      <c r="D158" s="2" t="inlineStr">
        <is>
          <t>a lone pair on water</t>
        </is>
      </c>
      <c r="E158" s="2" t="inlineStr">
        <is>
          <t>a ring C from the back; the C–O⁺ bond's electrons go to O</t>
        </is>
      </c>
      <c r="F158" s="2" t="inlineStr">
        <is>
          <t>C–O</t>
        </is>
      </c>
      <c r="G158" s="2" t="inlineStr">
        <is>
          <t>C–O⁺</t>
        </is>
      </c>
      <c r="H158" s="2" t="n"/>
      <c r="I158" s="2" t="n"/>
      <c r="J158" s="2" t="n"/>
      <c r="K158" s="2" t="n"/>
      <c r="L158" s="2">
        <f>IF(AND(ISNUMBER(I158),ISNUMBER(K158)),K158-I158,"")</f>
        <v/>
      </c>
      <c r="M158" s="4">
        <f>IF(ISNUMBER(L158),10^L158,"")</f>
        <v/>
      </c>
      <c r="N158" s="2">
        <f>IF(ISNUMBER(L158),IF(L158&gt;=0,"downhill (favoured)","uphill (small amount)"),"")</f>
        <v/>
      </c>
      <c r="O158" s="2" t="n"/>
      <c r="P158" s="2" t="n"/>
      <c r="Q158" s="3" t="inlineStr">
        <is>
          <t>[OH2+]C1CCCCC1O</t>
        </is>
      </c>
      <c r="R158" s="2" t="inlineStr">
        <is>
          <t>Backside attack: the two O end up trans; ring strain (≈ 27 kcal/mol) is released.</t>
        </is>
      </c>
      <c r="S158" s="3" t="inlineStr">
        <is>
          <t>C1CC[CH:1]2[OH+:2][CH:3]2C1.[OH2:4]</t>
        </is>
      </c>
      <c r="T158" s="3" t="inlineStr">
        <is>
          <t>4&gt;1; 1-2&gt;2</t>
        </is>
      </c>
    </row>
    <row r="159">
      <c r="A159" s="2" t="inlineStr">
        <is>
          <t>R050</t>
        </is>
      </c>
      <c r="B159" s="2" t="n">
        <v>3</v>
      </c>
      <c r="C159" s="2" t="inlineStr">
        <is>
          <t>deprotonation</t>
        </is>
      </c>
      <c r="D159" s="2" t="inlineStr">
        <is>
          <t>a lone pair on water</t>
        </is>
      </c>
      <c r="E159" s="2" t="inlineStr">
        <is>
          <t>an H on the oxonium O</t>
        </is>
      </c>
      <c r="F159" s="2" t="inlineStr">
        <is>
          <t>O–H</t>
        </is>
      </c>
      <c r="G159" s="2" t="inlineStr">
        <is>
          <t>O–H</t>
        </is>
      </c>
      <c r="H159" s="2" t="inlineStr">
        <is>
          <t>the oxonium (R–OH2⁺)</t>
        </is>
      </c>
      <c r="I159" s="2" t="n">
        <v>-2</v>
      </c>
      <c r="J159" s="2" t="inlineStr">
        <is>
          <t>H3O⁺</t>
        </is>
      </c>
      <c r="K159" s="2" t="n">
        <v>-1.7</v>
      </c>
      <c r="L159" s="2">
        <f>IF(AND(ISNUMBER(I159),ISNUMBER(K159)),K159-I159,"")</f>
        <v/>
      </c>
      <c r="M159" s="4">
        <f>IF(ISNUMBER(L159),10^L159,"")</f>
        <v/>
      </c>
      <c r="N159" s="2">
        <f>IF(ISNUMBER(L159),IF(L159&gt;=0,"downhill (favoured)","uphill (small amount)"),"")</f>
        <v/>
      </c>
      <c r="O159" s="2" t="n"/>
      <c r="P159" s="2" t="n"/>
      <c r="Q159" s="3" t="inlineStr">
        <is>
          <t>OC1CCCCC1O.[OH3+]</t>
        </is>
      </c>
      <c r="R159" s="2" t="inlineStr">
        <is>
          <t>trans-1,2-Cyclohexanediol; H3O⁺ given back.</t>
        </is>
      </c>
      <c r="S159" s="3" t="inlineStr">
        <is>
          <t>[O+:1]([H:2])([H])C1CCCCC1O.[OH2:3]</t>
        </is>
      </c>
      <c r="T159" s="3" t="inlineStr">
        <is>
          <t>3&gt;2; 2-1&gt;1</t>
        </is>
      </c>
    </row>
    <row r="160">
      <c r="A160" s="2" t="inlineStr">
        <is>
          <t>R051</t>
        </is>
      </c>
      <c r="B160" s="2" t="n">
        <v>1</v>
      </c>
      <c r="C160" s="2" t="inlineStr">
        <is>
          <t>[4+2] cycloaddition (one step)</t>
        </is>
      </c>
      <c r="D160" s="2" t="inlineStr">
        <is>
          <t>the diene's two π bonds and the dienophile's π bond (6 electrons move in a ring)</t>
        </is>
      </c>
      <c r="E160" s="2" t="inlineStr">
        <is>
          <t>two new σ bonds (diene C1 and C4 to the dienophile C) and a new π bond between diene C2 and C3</t>
        </is>
      </c>
      <c r="F160" s="2" t="inlineStr">
        <is>
          <t>2 × C–C (σ); C2=C3</t>
        </is>
      </c>
      <c r="G160" s="2" t="inlineStr">
        <is>
          <t>3 × C=C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O=C1OC(=O)C2CC=CCC12</t>
        </is>
      </c>
      <c r="R160" s="2" t="inlineStr">
        <is>
          <t>Concerted and suprafacial: the anhydride's cis ring stays cis; the endo adduct forms faster (secondary orbital overlap). Electron-poor dienophile (two C=O) reacts fast.</t>
        </is>
      </c>
      <c r="S160" s="3" t="inlineStr">
        <is>
          <t>[CH2:1]=[CH:2][CH:3]=[CH2:4].O=C1[CH:5]=[CH:6]C(=O)O1</t>
        </is>
      </c>
      <c r="T160" s="3" t="inlineStr">
        <is>
          <t>1-2&gt;2-3; 3-4&gt;4-5; 5-6&gt;1-6</t>
        </is>
      </c>
    </row>
    <row r="161">
      <c r="A161" s="2" t="inlineStr">
        <is>
          <t>R052</t>
        </is>
      </c>
      <c r="B161" s="2" t="n">
        <v>1</v>
      </c>
      <c r="C161" s="2" t="inlineStr">
        <is>
          <t>nucleophilic addition (1st equiv)</t>
        </is>
      </c>
      <c r="D161" s="2" t="inlineStr">
        <is>
          <t>the C–Mg bond's electrons (CH3 as a carbanion)</t>
        </is>
      </c>
      <c r="E161" s="2" t="inlineStr">
        <is>
          <t>the ester C=O carbon; the π electrons go to O</t>
        </is>
      </c>
      <c r="F161" s="2" t="inlineStr">
        <is>
          <t>C–C</t>
        </is>
      </c>
      <c r="G161" s="2" t="inlineStr">
        <is>
          <t>C–Mg; C=O (π)</t>
        </is>
      </c>
      <c r="H161" s="2" t="n"/>
      <c r="I161" s="2" t="n"/>
      <c r="J161" s="2" t="n"/>
      <c r="K161" s="2" t="n"/>
      <c r="L161" s="2">
        <f>IF(AND(ISNUMBER(I161),ISNUMBER(K161)),K161-I161,"")</f>
        <v/>
      </c>
      <c r="M161" s="4">
        <f>IF(ISNUMBER(L161),10^L161,"")</f>
        <v/>
      </c>
      <c r="N161" s="2">
        <f>IF(ISNUMBER(L161),IF(L161&gt;=0,"downhill (favoured)","uphill (small amount)"),"")</f>
        <v/>
      </c>
      <c r="O161" s="2" t="n"/>
      <c r="P161" s="2" t="n"/>
      <c r="Q161" s="3" t="inlineStr">
        <is>
          <t>COC(C)([O-])c1ccccc1.[Mg+]Br</t>
        </is>
      </c>
      <c r="R161" s="2" t="inlineStr">
        <is>
          <t>Tetrahedral intermediate (magnesium alkoxide).</t>
        </is>
      </c>
      <c r="S161" s="3" t="inlineStr">
        <is>
          <t>C[O:1][C:2](=[O:3])c1ccccc1.[CH3:4][Mg:5]Br</t>
        </is>
      </c>
      <c r="T161" s="3" t="inlineStr">
        <is>
          <t>4-5&gt;2-4; 2-3&gt;3</t>
        </is>
      </c>
    </row>
    <row r="162">
      <c r="A162" s="2" t="inlineStr">
        <is>
          <t>R052</t>
        </is>
      </c>
      <c r="B162" s="2" t="n">
        <v>2</v>
      </c>
      <c r="C162" s="2" t="inlineStr">
        <is>
          <t>collapse (methoxide leaves)</t>
        </is>
      </c>
      <c r="D162" s="2" t="inlineStr">
        <is>
          <t>the O⁻ lone pair reforms C=O</t>
        </is>
      </c>
      <c r="E162" s="2" t="inlineStr">
        <is>
          <t>the C–OMe bond's electrons go to O (MeO⁻ leaves)</t>
        </is>
      </c>
      <c r="F162" s="2" t="inlineStr">
        <is>
          <t>C=O</t>
        </is>
      </c>
      <c r="G162" s="2" t="inlineStr">
        <is>
          <t>C–OMe</t>
        </is>
      </c>
      <c r="H162" s="2" t="n"/>
      <c r="I162" s="2" t="n"/>
      <c r="J162" s="2" t="n"/>
      <c r="K162" s="2" t="n"/>
      <c r="L162" s="2">
        <f>IF(AND(ISNUMBER(I162),ISNUMBER(K162)),K162-I162,"")</f>
        <v/>
      </c>
      <c r="M162" s="4">
        <f>IF(ISNUMBER(L162),10^L162,"")</f>
        <v/>
      </c>
      <c r="N162" s="2">
        <f>IF(ISNUMBER(L162),IF(L162&gt;=0,"downhill (favoured)","uphill (small amount)"),"")</f>
        <v/>
      </c>
      <c r="O162" s="2" t="inlineStr">
        <is>
          <t>methoxide</t>
        </is>
      </c>
      <c r="P162" s="2" t="n">
        <v>15.5</v>
      </c>
      <c r="Q162" s="3" t="inlineStr">
        <is>
          <t>CC(=O)c1ccccc1.C[O-]</t>
        </is>
      </c>
      <c r="R162" s="2" t="inlineStr">
        <is>
          <t>A ketone forms. It is MORE electrophilic than the ester, so it reacts with the second equivalent faster than the ester does: the ketone is never isolated.</t>
        </is>
      </c>
      <c r="S162" s="3" t="inlineStr">
        <is>
          <t>C[O:1][C:2](C)([O-:3])c1ccccc1</t>
        </is>
      </c>
      <c r="T162" s="3" t="inlineStr">
        <is>
          <t>3&gt;2-3; 2-1&gt;1</t>
        </is>
      </c>
    </row>
    <row r="163">
      <c r="A163" s="2" t="inlineStr">
        <is>
          <t>R052</t>
        </is>
      </c>
      <c r="B163" s="2" t="n">
        <v>3</v>
      </c>
      <c r="C163" s="2" t="inlineStr">
        <is>
          <t>nucleophilic addition (2nd equiv)</t>
        </is>
      </c>
      <c r="D163" s="2" t="inlineStr">
        <is>
          <t>the C–Mg bond's electrons of a second MeMgBr</t>
        </is>
      </c>
      <c r="E163" s="2" t="inlineStr">
        <is>
          <t>the ketone C=O carbon; the π electrons go to O</t>
        </is>
      </c>
      <c r="F163" s="2" t="inlineStr">
        <is>
          <t>C–C</t>
        </is>
      </c>
      <c r="G163" s="2" t="inlineStr">
        <is>
          <t>C–Mg; C=O (π)</t>
        </is>
      </c>
      <c r="H163" s="2" t="n"/>
      <c r="I163" s="2" t="n"/>
      <c r="J163" s="2" t="n"/>
      <c r="K163" s="2" t="n"/>
      <c r="L163" s="2">
        <f>IF(AND(ISNUMBER(I163),ISNUMBER(K163)),K163-I163,"")</f>
        <v/>
      </c>
      <c r="M163" s="4">
        <f>IF(ISNUMBER(L163),10^L163,"")</f>
        <v/>
      </c>
      <c r="N163" s="2">
        <f>IF(ISNUMBER(L163),IF(L163&gt;=0,"downhill (favoured)","uphill (small amount)"),"")</f>
        <v/>
      </c>
      <c r="O163" s="2" t="n"/>
      <c r="P163" s="2" t="n"/>
      <c r="Q163" s="3" t="inlineStr">
        <is>
          <t>CC(C)([O-])c1ccccc1</t>
        </is>
      </c>
      <c r="R163" s="2" t="inlineStr">
        <is>
          <t>Tertiary alkoxide: both new CH3 groups came from the Grignard.</t>
        </is>
      </c>
      <c r="S163" s="3" t="inlineStr">
        <is>
          <t>C[C:1](=[O:2])c1ccccc1.[CH3:3][Mg:4]Br</t>
        </is>
      </c>
      <c r="T163" s="3" t="inlineStr">
        <is>
          <t>3-4&gt;1-3; 1-2&gt;2</t>
        </is>
      </c>
    </row>
    <row r="164">
      <c r="A164" s="2" t="inlineStr">
        <is>
          <t>R052</t>
        </is>
      </c>
      <c r="B164" s="2" t="n">
        <v>4</v>
      </c>
      <c r="C164" s="2" t="inlineStr">
        <is>
          <t>acid work-up (proton transfer)</t>
        </is>
      </c>
      <c r="D164" s="2" t="inlineStr">
        <is>
          <t>a lone pair on the alkoxide O</t>
        </is>
      </c>
      <c r="E164" s="2" t="inlineStr">
        <is>
          <t>an H of H3O⁺</t>
        </is>
      </c>
      <c r="F164" s="2" t="inlineStr">
        <is>
          <t>O–H</t>
        </is>
      </c>
      <c r="G164" s="2" t="inlineStr">
        <is>
          <t>O–H (H3O⁺)</t>
        </is>
      </c>
      <c r="H164" s="2" t="inlineStr">
        <is>
          <t>H3O⁺</t>
        </is>
      </c>
      <c r="I164" s="2" t="n">
        <v>-1.7</v>
      </c>
      <c r="J164" s="2" t="inlineStr">
        <is>
          <t>2-phenyl-2-propanol</t>
        </is>
      </c>
      <c r="K164" s="2" t="n">
        <v>18</v>
      </c>
      <c r="L164" s="2">
        <f>IF(AND(ISNUMBER(I164),ISNUMBER(K164)),K164-I164,"")</f>
        <v/>
      </c>
      <c r="M164" s="4">
        <f>IF(ISNUMBER(L164),10^L164,"")</f>
        <v/>
      </c>
      <c r="N164" s="2">
        <f>IF(ISNUMBER(L164),IF(L164&gt;=0,"downhill (favoured)","uphill (small amount)"),"")</f>
        <v/>
      </c>
      <c r="O164" s="2" t="n"/>
      <c r="P164" s="2" t="n"/>
      <c r="Q164" s="3" t="inlineStr">
        <is>
          <t>CC(C)(O)c1ccccc1.CO</t>
        </is>
      </c>
      <c r="R164" s="2" t="inlineStr">
        <is>
          <t>2-Phenyl-2-propanol (and methanol from the ester's OMe).</t>
        </is>
      </c>
      <c r="S164" s="3" t="inlineStr">
        <is>
          <t>CC(C)([O-:1])c1ccccc1.[H:2][OH2+:3].C[O-:4].[H:5][OH2+:6]</t>
        </is>
      </c>
      <c r="T164" s="3" t="inlineStr">
        <is>
          <t>1&gt;2; 2-3&gt;3; 4&gt;5; 5-6&gt;6</t>
        </is>
      </c>
    </row>
    <row r="166">
      <c r="A166"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row r="12">
      <c r="A12" t="inlineStr">
        <is>
          <t>concentrated</t>
        </is>
      </c>
      <c r="B12" t="inlineStr">
        <is>
          <t>concentrated, conc, conc., concd</t>
        </is>
      </c>
      <c r="F12" t="inlineStr">
        <is>
          <t>The reagent is used at full strength (conc. H2SO4 ~98 %, conc. HCl ~37 %, conc. HNO3 ~70 %, conc. NaOH ~50 %). Set from the reagent's strength (right-click the reagent) or typed here. A rule that requires it is assumed to have it when no strength is given.</t>
        </is>
      </c>
    </row>
    <row r="13">
      <c r="A13" t="inlineStr">
        <is>
          <t>dilute</t>
        </is>
      </c>
      <c r="B13" t="inlineStr">
        <is>
          <t>dilute, diluted, dil, dil.</t>
        </is>
      </c>
      <c r="F13" t="inlineStr">
        <is>
          <t>The reagent is used as a dilute aqueous solution (about 1-2 M, 10 % or weaker). Water is then the nucleophile and the medium, so addition/hydrolysis wins over dehydration/elimination. Set from the reagent's strength (right-click the reagent) or typed here.</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F043 methyl, F044 1°, F045 2°, F046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F037</t>
        </is>
      </c>
      <c r="B2" s="2" t="inlineStr">
        <is>
          <t>allylic CH2</t>
        </is>
      </c>
      <c r="C2" s="2" t="inlineStr">
        <is>
          <t>light</t>
        </is>
      </c>
      <c r="D2" s="2" t="inlineStr">
        <is>
          <t>Radical bromination at the allylic C–H (with NBS) needs light (or a radical initiator).</t>
        </is>
      </c>
    </row>
    <row r="3">
      <c r="A3" s="2" t="inlineStr">
        <is>
          <t>F035</t>
        </is>
      </c>
      <c r="B3" s="2" t="inlineStr">
        <is>
          <t>aryl methyl (benzylic C–H)</t>
        </is>
      </c>
      <c r="C3" s="2" t="inlineStr">
        <is>
          <t>light</t>
        </is>
      </c>
      <c r="D3" s="2" t="inlineStr">
        <is>
          <t>Radical bromination at the benzylic C–H (with NBS) needs light.</t>
        </is>
      </c>
    </row>
    <row r="4">
      <c r="A4" s="2" t="inlineStr">
        <is>
          <t>F035</t>
        </is>
      </c>
      <c r="B4" s="2" t="inlineStr">
        <is>
          <t>aryl methyl (benzylic C–H)</t>
        </is>
      </c>
      <c r="C4" s="2" t="inlineStr">
        <is>
          <t>reflux in water</t>
        </is>
      </c>
      <c r="D4" s="2" t="inlineStr">
        <is>
          <t>KMnO4 oxidises a benzylic C–H to COOH in hot water.</t>
        </is>
      </c>
    </row>
    <row r="5">
      <c r="A5" s="2" t="inlineStr">
        <is>
          <t>F029</t>
        </is>
      </c>
      <c r="B5" s="2" t="inlineStr">
        <is>
          <t>Grignard (C–MgBr)</t>
        </is>
      </c>
      <c r="C5" s="2" t="inlineStr">
        <is>
          <t>anhydrous, diethyl ether</t>
        </is>
      </c>
      <c r="D5" s="2" t="inlineStr">
        <is>
          <t>Grignards are made and used in dry ether (any O–H destroys them).</t>
        </is>
      </c>
    </row>
    <row r="6">
      <c r="A6" s="2" t="inlineStr">
        <is>
          <t>F029</t>
        </is>
      </c>
      <c r="B6" s="2" t="inlineStr">
        <is>
          <t>Grignard (C–MgBr)</t>
        </is>
      </c>
      <c r="C6" s="2" t="inlineStr">
        <is>
          <t>anhydrous, tetrahydrofuran</t>
        </is>
      </c>
      <c r="D6" s="2" t="inlineStr">
        <is>
          <t>THF is the other usual dry ether for Grignards.</t>
        </is>
      </c>
    </row>
    <row r="7">
      <c r="A7" s="2" t="inlineStr">
        <is>
          <t>F042</t>
        </is>
      </c>
      <c r="B7" s="2" t="inlineStr">
        <is>
          <t>aluminium hydride (LiAlH4)</t>
        </is>
      </c>
      <c r="C7" s="2" t="inlineStr">
        <is>
          <t>anhydrous, tetrahydrofuran</t>
        </is>
      </c>
      <c r="D7" s="2" t="inlineStr">
        <is>
          <t>LiAlH4 reacts violently with water and alcohols: dry THF or ether.</t>
        </is>
      </c>
    </row>
    <row r="8">
      <c r="A8" s="2" t="inlineStr">
        <is>
          <t>F027</t>
        </is>
      </c>
      <c r="B8" s="2" t="inlineStr">
        <is>
          <t>aryl diazonium</t>
        </is>
      </c>
      <c r="C8" s="2" t="inlineStr">
        <is>
          <t>0 °C, water</t>
        </is>
      </c>
      <c r="D8" s="2" t="inlineStr">
        <is>
          <t>Diazonium salts are made and kept at 0–5 °C.</t>
        </is>
      </c>
    </row>
    <row r="9">
      <c r="A9" s="2" t="inlineStr">
        <is>
          <t>F020</t>
        </is>
      </c>
      <c r="B9" s="2" t="inlineStr">
        <is>
          <t>acyl chloride</t>
        </is>
      </c>
      <c r="C9" s="2" t="inlineStr">
        <is>
          <t>dichloromethane, 0 °C</t>
        </is>
      </c>
      <c r="D9" s="2" t="inlineStr">
        <is>
          <t>Acyl chlorides react fast: a dry, non-nucleophilic solvent, cold.</t>
        </is>
      </c>
    </row>
    <row r="10">
      <c r="A10" s="2" t="inlineStr">
        <is>
          <t>F044</t>
        </is>
      </c>
      <c r="B10" s="2" t="inlineStr">
        <is>
          <t>alkyl halide (1°)</t>
        </is>
      </c>
      <c r="C10" s="2" t="inlineStr">
        <is>
          <t>DMSO</t>
        </is>
      </c>
      <c r="D10" s="2" t="inlineStr">
        <is>
          <t>SN2 on a primary carbon is fastest in a polar aprotic solvent.</t>
        </is>
      </c>
    </row>
    <row r="11">
      <c r="A11" s="2" t="inlineStr">
        <is>
          <t>F045</t>
        </is>
      </c>
      <c r="B11" s="2" t="inlineStr">
        <is>
          <t>alkyl halide (2°)</t>
        </is>
      </c>
      <c r="C11" s="2" t="inlineStr">
        <is>
          <t>DMSO</t>
        </is>
      </c>
      <c r="D11" s="2" t="inlineStr">
        <is>
          <t>With a nucleophile that is a weak base: SN2 in a polar aprotic solvent.</t>
        </is>
      </c>
    </row>
    <row r="12">
      <c r="A12" s="2" t="inlineStr">
        <is>
          <t>F045</t>
        </is>
      </c>
      <c r="B12" s="2" t="inlineStr">
        <is>
          <t>alkyl halide (2°)</t>
        </is>
      </c>
      <c r="C12" s="2" t="inlineStr">
        <is>
          <t>reflux in ethanol</t>
        </is>
      </c>
      <c r="D12" s="2" t="inlineStr">
        <is>
          <t>With a strong base: E2, and heat favours elimination.</t>
        </is>
      </c>
    </row>
    <row r="13">
      <c r="A13" s="2" t="inlineStr">
        <is>
          <t>F046</t>
        </is>
      </c>
      <c r="B13" s="2" t="inlineStr">
        <is>
          <t>alkyl halide (3°)</t>
        </is>
      </c>
      <c r="C13" s="2" t="inlineStr">
        <is>
          <t>water, rt</t>
        </is>
      </c>
      <c r="D13" s="2" t="inlineStr">
        <is>
          <t>Solvolysis: SN1 in a protic solvent.</t>
        </is>
      </c>
    </row>
    <row r="14">
      <c r="A14" s="2" t="inlineStr">
        <is>
          <t>F046</t>
        </is>
      </c>
      <c r="B14" s="2" t="inlineStr">
        <is>
          <t>alkyl halide (3°)</t>
        </is>
      </c>
      <c r="C14" s="2" t="inlineStr">
        <is>
          <t>reflux in ethanol</t>
        </is>
      </c>
      <c r="D14" s="2" t="inlineStr">
        <is>
          <t>Heat in a protic solvent: E1 (or E2 with a strong base).</t>
        </is>
      </c>
    </row>
    <row r="15">
      <c r="A15" s="2" t="inlineStr">
        <is>
          <t>F030</t>
        </is>
      </c>
      <c r="B15" s="2" t="inlineStr">
        <is>
          <t>conjugated diene</t>
        </is>
      </c>
      <c r="C15" s="2" t="inlineStr">
        <is>
          <t>reflux in xylene</t>
        </is>
      </c>
      <c r="D15" s="2" t="inlineStr">
        <is>
          <t>Diels–Alder reactions are run hot (80–160 °C).</t>
        </is>
      </c>
    </row>
    <row r="16">
      <c r="A16" s="2" t="inlineStr">
        <is>
          <t>F017</t>
        </is>
      </c>
      <c r="B16" s="2" t="inlineStr">
        <is>
          <t>1,2-diol</t>
        </is>
      </c>
      <c r="C16" s="2" t="inlineStr">
        <is>
          <t>reflux in toluene</t>
        </is>
      </c>
      <c r="D16" s="2" t="inlineStr">
        <is>
          <t>Acetal formation: reflux in toluene with a Dean–Stark trap to remove water.</t>
        </is>
      </c>
    </row>
    <row r="17">
      <c r="A17" s="2" t="inlineStr">
        <is>
          <t>F001</t>
        </is>
      </c>
      <c r="B17" s="2" t="inlineStr">
        <is>
          <t>carboxylic acid</t>
        </is>
      </c>
      <c r="C17" s="2" t="inlineStr">
        <is>
          <t>reflux in ethanol</t>
        </is>
      </c>
      <c r="D17" s="2" t="inlineStr">
        <is>
          <t>Fischer esterification: reflux in the alcohol (60–120 °C) with an acid catalyst.</t>
        </is>
      </c>
    </row>
    <row r="18">
      <c r="A18" s="2" t="inlineStr">
        <is>
          <t>F014</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F004</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F001</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F021</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F005</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F005</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F009</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F009</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F009</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F009</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F016</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F016</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F013</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F005</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F018</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F019</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F004</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F003</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F015</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F003</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F015</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F003</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F015</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F007</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F005</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F005</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F019</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F002</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F026</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F014</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F028</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F043</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F044</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F045</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F029</t>
        </is>
      </c>
      <c r="B2" s="2" t="inlineStr">
        <is>
          <t>Grignard (C–MgBr)</t>
        </is>
      </c>
      <c r="C2" s="2" t="inlineStr">
        <is>
          <t>anhydrous</t>
        </is>
      </c>
      <c r="D2" s="2" t="inlineStr">
        <is>
          <t>water, methanol, ethanol, isopropanol, acetic acid</t>
        </is>
      </c>
      <c r="E2" s="2" t="inlineStr">
        <is>
          <t>F001, F014, F028, F002, F026, F008</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F042</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F020</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F027</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26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44" customWidth="1" min="3" max="3"/>
    <col width="26" customWidth="1" min="4" max="4"/>
    <col width="18" customWidth="1" min="5" max="5"/>
    <col width="18" customWidth="1" min="6" max="6"/>
    <col width="52" customWidth="1" min="7" max="7"/>
    <col width="30" customWidth="1" min="8" max="8"/>
    <col width="44" customWidth="1" min="9" max="9"/>
    <col width="34" customWidth="1" min="10" max="10"/>
    <col width="12" customWidth="1" min="11" max="11"/>
    <col width="14" customWidth="1" min="12" max="12"/>
    <col width="9" customWidth="1" min="13" max="13"/>
    <col width="12" customWidth="1" min="14" max="14"/>
    <col width="9" customWidth="1" min="15" max="15"/>
    <col width="12" customWidth="1" min="16" max="16"/>
    <col width="50" customWidth="1" min="17" max="17"/>
    <col width="70" customWidth="1" min="18" max="18"/>
    <col width="50" customWidth="1" min="19" max="19"/>
    <col width="9" customWidth="1" min="20" max="20"/>
    <col width="14" customWidth="1" min="21" max="21"/>
    <col width="40" customWidth="1" min="22" max="22"/>
    <col width="14" customWidth="1" min="23" max="23"/>
    <col width="12" customWidth="1" min="24" max="24"/>
    <col width="12" customWidth="1" min="25" max="25"/>
    <col width="12" customWidth="1" min="26" max="26"/>
    <col width="14" customWidth="1" min="27" max="27"/>
    <col width="14" customWidth="1" min="28" max="28"/>
    <col width="14" customWidth="1" min="29" max="29"/>
    <col width="14" customWidth="1" min="30" max="30"/>
    <col width="50" customWidth="1" min="31" max="31"/>
    <col width="44" customWidth="1" min="32" max="32"/>
  </cols>
  <sheetData>
    <row r="1" ht="92" customHeight="1">
      <c r="A1" s="8" t="inlineStr">
        <is>
          <t>ID</t>
        </is>
      </c>
      <c r="B1" s="8" t="inlineStr">
        <is>
          <t>Key</t>
        </is>
      </c>
      <c r="C1" s="8" t="inlineStr">
        <is>
          <t>Name</t>
        </is>
      </c>
      <c r="D1" s="8" t="inlineStr">
        <is>
          <t>Group</t>
        </is>
      </c>
      <c r="E1" s="8" t="inlineStr">
        <is>
          <t>Kind</t>
        </is>
      </c>
      <c r="F1" s="8" t="inlineStr">
        <is>
          <t>Applies to (the atom that reacts, or: reagent + group)</t>
        </is>
      </c>
      <c r="G1" s="8" t="inlineStr">
        <is>
          <t>Pattern (SMARTS; first atom = the atom that reacts; [900*] = an atom the reaction changes, [!900*] = one it does not)</t>
        </is>
      </c>
      <c r="H1" s="8" t="inlineStr">
        <is>
          <t>Prefilter (SMARTS the product must contain somewhere; it only makes the test faster)</t>
        </is>
      </c>
      <c r="I1" s="8" t="inlineStr">
        <is>
          <t>Reagent side (any alternative; + = all of them; frag:F… = a fragment found in a reagent part, smiles:… = a part as typed, role:… = a Reagents-sheet role, solvent:… = a Solvents-sheet type, elem:Pd = some part has that element; not:… = the reagent must NOT have it; empty = any reagent)</t>
        </is>
      </c>
      <c r="J1" s="8" t="inlineStr">
        <is>
          <t>Groups (fragment IDs; any one present)</t>
        </is>
      </c>
      <c r="K1" s="8" t="inlineStr">
        <is>
          <t>Groups are looked for in (substrate, reagent, both)</t>
        </is>
      </c>
      <c r="L1" s="8" t="inlineStr">
        <is>
          <t>Shown for (bystander = a group the product did not consume; target; both)</t>
        </is>
      </c>
      <c r="M1" s="8" t="inlineStr">
        <is>
          <t>Distinct groups needed</t>
        </is>
      </c>
      <c r="N1" s="8" t="inlineStr">
        <is>
          <t>Needs (solvent, conditions, size, reagent)</t>
        </is>
      </c>
      <c r="O1" s="8" t="inlineStr">
        <is>
          <t>Used by the page (yes/no)</t>
        </is>
      </c>
      <c r="P1" s="8" t="inlineStr">
        <is>
          <t>Effect kind</t>
        </is>
      </c>
      <c r="Q1" s="8" t="inlineStr">
        <is>
          <t>Where / when</t>
        </is>
      </c>
      <c r="R1" s="8" t="inlineStr">
        <is>
          <t>Effect on the reaction</t>
        </is>
      </c>
      <c r="S1" s="8" t="inlineStr">
        <is>
          <t>Why</t>
        </is>
      </c>
      <c r="T1" s="8" t="inlineStr">
        <is>
          <t>Hammett σ</t>
        </is>
      </c>
      <c r="U1" s="8" t="inlineStr">
        <is>
          <t>Learned weight (log-odds of this site being chosen; + = favoured; for a ring substituent the pattern plus ρ × σ)</t>
        </is>
      </c>
      <c r="V1" s="8" t="inlineStr">
        <is>
          <t>Learned by reaction family (only where the data say more than the global weight)</t>
        </is>
      </c>
      <c r="W1" s="8" t="inlineStr">
        <is>
          <t>Contests where this pattern told the outcomes apart</t>
        </is>
      </c>
      <c r="X1" s="8" t="inlineStr">
        <is>
          <t>Patents those contests come from</t>
        </is>
      </c>
      <c r="Y1" s="8" t="inlineStr">
        <is>
          <t>Recorded winner had it</t>
        </is>
      </c>
      <c r="Z1" s="8" t="inlineStr">
        <is>
          <t>A random pick would have it</t>
        </is>
      </c>
      <c r="AA1" s="8" t="inlineStr">
        <is>
          <t>Recorded reactions with the reagent and a group</t>
        </is>
      </c>
      <c r="AB1" s="8" t="inlineStr">
        <is>
          <t>Advisory would be shown in this share of all recorded reactions</t>
        </is>
      </c>
      <c r="AC1" s="8" t="inlineStr">
        <is>
          <t>Group consumed with this reagent</t>
        </is>
      </c>
      <c r="AD1" s="8" t="inlineStr">
        <is>
          <t>Group consumed with other reagents</t>
        </is>
      </c>
      <c r="AE1" s="8" t="inlineStr">
        <is>
          <t>Evidence note</t>
        </is>
      </c>
      <c r="AF1" s="8" t="inlineStr">
        <is>
          <t>Source</t>
        </is>
      </c>
    </row>
    <row r="2">
      <c r="A2" s="7" t="inlineStr">
        <is>
          <t>I001</t>
        </is>
      </c>
      <c r="B2" s="7" t="inlineStr">
        <is>
          <t>ring-ortho-nitro</t>
        </is>
      </c>
      <c r="C2" s="7" t="inlineStr">
        <is>
          <t>nitro, ortho to the reacting aromatic carbon</t>
        </is>
      </c>
      <c r="D2" s="7" t="inlineStr">
        <is>
          <t>ring substituent (position)</t>
        </is>
      </c>
      <c r="E2" s="7" t="inlineStr">
        <is>
          <t>electronic</t>
        </is>
      </c>
      <c r="F2" s="7" t="inlineStr">
        <is>
          <t>aromatic C</t>
        </is>
      </c>
      <c r="G2" s="7" t="inlineStr">
        <is>
          <t>[c;$(c:c-[N+;!900*](=O)[O-])]</t>
        </is>
      </c>
      <c r="H2" s="7" t="inlineStr">
        <is>
          <t>[c]-[N+](=O)[O-]</t>
        </is>
      </c>
      <c r="I2" s="7" t="inlineStr"/>
      <c r="J2" s="7" t="inlineStr"/>
      <c r="K2" s="7" t="inlineStr"/>
      <c r="L2" s="7" t="inlineStr"/>
      <c r="M2" s="7" t="n"/>
      <c r="N2" s="7" t="inlineStr"/>
      <c r="O2" s="7" t="inlineStr">
        <is>
          <t>yes</t>
        </is>
      </c>
      <c r="P2" s="7" t="inlineStr"/>
      <c r="Q2" s="7" t="inlineStr">
        <is>
          <t>on the ring atom next to the reacting carbon (ortho)</t>
        </is>
      </c>
      <c r="R2" s="7" t="inlineStr">
        <is>
          <t>withdraws electrons: speeds nucleophilic attack at the ring carbon (SNAr, oxidative addition, metalation next to it), slows electrophilic substitution. At ortho the electronic effect is like para, and the group also crowds the carbon.</t>
        </is>
      </c>
      <c r="S2" s="7" t="inlineStr">
        <is>
          <t>nitro (σp +0.78): the strongest common electron-withdrawing group (induction and resonance)</t>
        </is>
      </c>
      <c r="T2" s="7" t="n">
        <v>0.78</v>
      </c>
      <c r="U2" s="10" t="n">
        <v>1.05</v>
      </c>
      <c r="V2" s="7" t="inlineStr">
        <is>
          <t>aryl halide +2.91 (n=1066; winner had it 88 % vs 47 % at random) · n nucleophile +1.97 (n=125; winner had it 81 % vs 45 % at random) · carbonyl addition +1.69 (n=36; winner had it 56 % vs 39 % at random) · alkyl substitution +1.52 (n=74; winner had it 62 % vs 41 % at random) · deprotection +0.93 (n=47; winner had it 40 % vs 40 % at random) · arene ch -0.17 (n=286; winner had it 24 % vs 40 % at random)</t>
        </is>
      </c>
      <c r="W2" s="7" t="n">
        <v>1872</v>
      </c>
      <c r="X2" s="7" t="n">
        <v>1159</v>
      </c>
      <c r="Y2" s="9" t="n">
        <v>0.6672</v>
      </c>
      <c r="Z2" s="9" t="n">
        <v>0.4427</v>
      </c>
      <c r="AA2" s="7" t="n"/>
      <c r="AB2" s="7" t="n"/>
      <c r="AC2" s="7" t="n"/>
      <c r="AD2" s="7" t="n"/>
      <c r="AE2" s="7" t="inlineStr">
        <is>
          <t>learned from the training patents (tools/int_train.py)</t>
        </is>
      </c>
      <c r="AF2" s="7" t="inlineStr">
        <is>
          <t>Hansch, Leo, Taft, Chem. Rev. 91, 165 (1991); Clayden, Organic Chemistry (aromatic substitution)</t>
        </is>
      </c>
    </row>
    <row r="3">
      <c r="A3" s="7" t="inlineStr">
        <is>
          <t>I002</t>
        </is>
      </c>
      <c r="B3" s="7" t="inlineStr">
        <is>
          <t>ring-meta-nitro</t>
        </is>
      </c>
      <c r="C3" s="7" t="inlineStr">
        <is>
          <t>nitro, meta to the reacting aromatic carbon</t>
        </is>
      </c>
      <c r="D3" s="7" t="inlineStr">
        <is>
          <t>ring substituent (position)</t>
        </is>
      </c>
      <c r="E3" s="7" t="inlineStr">
        <is>
          <t>electronic</t>
        </is>
      </c>
      <c r="F3" s="7" t="inlineStr">
        <is>
          <t>aromatic C</t>
        </is>
      </c>
      <c r="G3" s="7" t="inlineStr">
        <is>
          <t>[c;$(c1:a:c(-[N+;!900*](=O)[O-]):a:a:a:1),$([c;r5]:[c;r5]:[c;r5]-[N+;!900*](=O)[O-])]</t>
        </is>
      </c>
      <c r="H3" s="7" t="inlineStr">
        <is>
          <t>[c]-[N+](=O)[O-]</t>
        </is>
      </c>
      <c r="I3" s="7" t="inlineStr"/>
      <c r="J3" s="7" t="inlineStr"/>
      <c r="K3" s="7" t="inlineStr"/>
      <c r="L3" s="7" t="inlineStr"/>
      <c r="M3" s="7" t="n"/>
      <c r="N3" s="7" t="inlineStr"/>
      <c r="O3" s="7" t="inlineStr">
        <is>
          <t>yes</t>
        </is>
      </c>
      <c r="P3" s="7" t="inlineStr"/>
      <c r="Q3" s="7" t="inlineStr">
        <is>
          <t>on the ring atom two bonds from the reacting carbon, inside the same six-membered ring (meta)</t>
        </is>
      </c>
      <c r="R3" s="7" t="inlineStr">
        <is>
          <t>withdraws electrons: speeds nucleophilic attack at the ring carbon (SNAr, oxidative addition, metalation next to it), slows electrophilic substitution. At meta mostly the inductive part acts; resonance does not reach this position.</t>
        </is>
      </c>
      <c r="S3" s="7" t="inlineStr">
        <is>
          <t>nitro (σm +0.71): the strongest common electron-withdrawing group (induction and resonance)</t>
        </is>
      </c>
      <c r="T3" s="7" t="n">
        <v>0.71</v>
      </c>
      <c r="U3" s="10" t="n">
        <v>0.18</v>
      </c>
      <c r="V3" s="7" t="inlineStr">
        <is>
          <t>aryl halide -1.83 (n=810; winner had it 2 % vs 46 % at random) · n nucleophile +1.42 (n=79; winner had it 66 % vs 42 % at random) · acyl substitution +0.76 (n=177; winner had it 60 % vs 38 % at random) · deprotection +0.53 (n=45; winner had it 40 % vs 34 % at random) · alkyl substitution -0.44 (n=73; winner had it 18 % vs 42 % at random)</t>
        </is>
      </c>
      <c r="W3" s="7" t="n">
        <v>1553</v>
      </c>
      <c r="X3" s="7" t="n">
        <v>1000</v>
      </c>
      <c r="Y3" s="9" t="n">
        <v>0.2724</v>
      </c>
      <c r="Z3" s="9" t="n">
        <v>0.4224</v>
      </c>
      <c r="AA3" s="7" t="n"/>
      <c r="AB3" s="7" t="n"/>
      <c r="AC3" s="7" t="n"/>
      <c r="AD3" s="7" t="n"/>
      <c r="AE3" s="7" t="inlineStr">
        <is>
          <t>learned from the training patents (tools/int_train.py)</t>
        </is>
      </c>
      <c r="AF3" s="7" t="inlineStr">
        <is>
          <t>Hansch, Leo, Taft, Chem. Rev. 91, 165 (1991); Clayden, Organic Chemistry (aromatic substitution)</t>
        </is>
      </c>
    </row>
    <row r="4">
      <c r="A4" s="7" t="inlineStr">
        <is>
          <t>I003</t>
        </is>
      </c>
      <c r="B4" s="7" t="inlineStr">
        <is>
          <t>ring-para-nitro</t>
        </is>
      </c>
      <c r="C4" s="7" t="inlineStr">
        <is>
          <t>nitro, para to the reacting aromatic carbon</t>
        </is>
      </c>
      <c r="D4" s="7" t="inlineStr">
        <is>
          <t>ring substituent (position)</t>
        </is>
      </c>
      <c r="E4" s="7" t="inlineStr">
        <is>
          <t>electronic</t>
        </is>
      </c>
      <c r="F4" s="7" t="inlineStr">
        <is>
          <t>aromatic C</t>
        </is>
      </c>
      <c r="G4" s="7" t="inlineStr">
        <is>
          <t>[c;$(c1:a:a:c(-[N+;!900*](=O)[O-]):a:a:1),$([c;r5]:[c;r5]:[c;r5]:[c;r5]-[N+;!900*](=O)[O-])]</t>
        </is>
      </c>
      <c r="H4" s="7" t="inlineStr">
        <is>
          <t>[c]-[N+](=O)[O-]</t>
        </is>
      </c>
      <c r="I4" s="7" t="inlineStr"/>
      <c r="J4" s="7" t="inlineStr"/>
      <c r="K4" s="7" t="inlineStr"/>
      <c r="L4" s="7" t="inlineStr"/>
      <c r="M4" s="7" t="n"/>
      <c r="N4" s="7" t="inlineStr"/>
      <c r="O4" s="7" t="inlineStr">
        <is>
          <t>yes</t>
        </is>
      </c>
      <c r="P4" s="7" t="inlineStr"/>
      <c r="Q4" s="7" t="inlineStr">
        <is>
          <t>on the ring atom opposite the reacting carbon, inside the same six-membered ring (para)</t>
        </is>
      </c>
      <c r="R4" s="7" t="inlineStr">
        <is>
          <t>withdraws electrons: speeds nucleophilic attack at the ring carbon (SNAr, oxidative addition, metalation next to it), slows electrophilic substitution. At para induction and resonance both act.</t>
        </is>
      </c>
      <c r="S4" s="7" t="inlineStr">
        <is>
          <t>nitro (σp +0.78): the strongest common electron-withdrawing group (induction and resonance)</t>
        </is>
      </c>
      <c r="T4" s="7" t="n">
        <v>0.78</v>
      </c>
      <c r="U4" s="10" t="n">
        <v>1.15</v>
      </c>
      <c r="V4" s="7" t="inlineStr">
        <is>
          <t>n nucleophile +2.54 (n=72; winner had it 81 % vs 43 % at random) · alkyl substitution +1.96 (n=48; winner had it 56 % vs 37 % at random) · carbonyl addition +1.65 (n=31; winner had it 55 % vs 42 % at random) · deprotection +1.53 (n=25; winner had it 64 % vs 44 % at random) · aryl halide +1.24 (n=1135; winner had it 47 % vs 48 % at random) · acyl substitution +0.34 (n=121; winner had it 26 % vs 33 % at random)</t>
        </is>
      </c>
      <c r="W4" s="7" t="n">
        <v>1647</v>
      </c>
      <c r="X4" s="7" t="n">
        <v>1010</v>
      </c>
      <c r="Y4" s="9" t="n">
        <v>0.4457</v>
      </c>
      <c r="Z4" s="9" t="n">
        <v>0.4386</v>
      </c>
      <c r="AA4" s="7" t="n"/>
      <c r="AB4" s="7" t="n"/>
      <c r="AC4" s="7" t="n"/>
      <c r="AD4" s="7" t="n"/>
      <c r="AE4" s="7" t="inlineStr">
        <is>
          <t>learned from the training patents (tools/int_train.py)</t>
        </is>
      </c>
      <c r="AF4" s="7" t="inlineStr">
        <is>
          <t>Hansch, Leo, Taft, Chem. Rev. 91, 165 (1991); Clayden, Organic Chemistry (aromatic substitution)</t>
        </is>
      </c>
    </row>
    <row r="5">
      <c r="A5" s="7" t="inlineStr">
        <is>
          <t>I004</t>
        </is>
      </c>
      <c r="B5" s="7" t="inlineStr">
        <is>
          <t>ring-ortho-cyano</t>
        </is>
      </c>
      <c r="C5" s="7" t="inlineStr">
        <is>
          <t>cyano, ortho to the reacting aromatic carbon</t>
        </is>
      </c>
      <c r="D5" s="7" t="inlineStr">
        <is>
          <t>ring substituent (position)</t>
        </is>
      </c>
      <c r="E5" s="7" t="inlineStr">
        <is>
          <t>electronic</t>
        </is>
      </c>
      <c r="F5" s="7" t="inlineStr">
        <is>
          <t>aromatic C</t>
        </is>
      </c>
      <c r="G5" s="7" t="inlineStr">
        <is>
          <t>[c;$(c:c-[C;!900*]#N)]</t>
        </is>
      </c>
      <c r="H5" s="7" t="inlineStr">
        <is>
          <t>[c]-C#N</t>
        </is>
      </c>
      <c r="I5" s="7" t="inlineStr"/>
      <c r="J5" s="7" t="inlineStr"/>
      <c r="K5" s="7" t="inlineStr"/>
      <c r="L5" s="7" t="inlineStr"/>
      <c r="M5" s="7" t="n"/>
      <c r="N5" s="7" t="inlineStr"/>
      <c r="O5" s="7" t="inlineStr">
        <is>
          <t>yes</t>
        </is>
      </c>
      <c r="P5" s="7" t="inlineStr"/>
      <c r="Q5" s="7" t="inlineStr">
        <is>
          <t>on the ring atom next to the reacting carbon (ortho)</t>
        </is>
      </c>
      <c r="R5" s="7" t="inlineStr">
        <is>
          <t>withdraws electrons: speeds nucleophilic attack at the ring carbon (SNAr, oxidative addition, metalation next to it), slows electrophilic substitution. At ortho the electronic effect is like para, and the group also crowds the carbon.</t>
        </is>
      </c>
      <c r="S5" s="7" t="inlineStr">
        <is>
          <t>cyano (σp +0.66): withdraws by induction and by resonance</t>
        </is>
      </c>
      <c r="T5" s="7" t="n">
        <v>0.66</v>
      </c>
      <c r="U5" s="10" t="n">
        <v>0.13</v>
      </c>
      <c r="V5" s="7" t="inlineStr">
        <is>
          <t>arene ch -1.32 (n=254; winner had it 17 % vs 34 % at random) · aryl halide +1.15 (n=524; winner had it 46 % vs 46 % at random) · alkyl substitution +0.73 (n=33; winner had it 52 % vs 36 % at random) · n nucleophile +0.52 (n=27; winner had it 44 % vs 33 % at random) · acyl substitution -0.28 (n=251; winner had it 21 % vs 34 % at random) · carbonyl addition -0.20 (n=42; winner had it 17 % vs 44 % at random)</t>
        </is>
      </c>
      <c r="W5" s="7" t="n">
        <v>1189</v>
      </c>
      <c r="X5" s="7" t="n">
        <v>699</v>
      </c>
      <c r="Y5" s="9" t="n">
        <v>0.3364</v>
      </c>
      <c r="Z5" s="9" t="n">
        <v>0.4013</v>
      </c>
      <c r="AA5" s="7" t="n"/>
      <c r="AB5" s="7" t="n"/>
      <c r="AC5" s="7" t="n"/>
      <c r="AD5" s="7" t="n"/>
      <c r="AE5" s="7" t="inlineStr">
        <is>
          <t>learned from the training patents (tools/int_train.py)</t>
        </is>
      </c>
      <c r="AF5" s="7" t="inlineStr">
        <is>
          <t>Hansch, Leo, Taft, Chem. Rev. 91, 165 (1991); Clayden, Organic Chemistry (aromatic substitution)</t>
        </is>
      </c>
    </row>
    <row r="6">
      <c r="A6" s="7" t="inlineStr">
        <is>
          <t>I005</t>
        </is>
      </c>
      <c r="B6" s="7" t="inlineStr">
        <is>
          <t>ring-meta-cyano</t>
        </is>
      </c>
      <c r="C6" s="7" t="inlineStr">
        <is>
          <t>cyano, meta to the reacting aromatic carbon</t>
        </is>
      </c>
      <c r="D6" s="7" t="inlineStr">
        <is>
          <t>ring substituent (position)</t>
        </is>
      </c>
      <c r="E6" s="7" t="inlineStr">
        <is>
          <t>electronic</t>
        </is>
      </c>
      <c r="F6" s="7" t="inlineStr">
        <is>
          <t>aromatic C</t>
        </is>
      </c>
      <c r="G6" s="7" t="inlineStr">
        <is>
          <t>[c;$(c1:a:c(-[C;!900*]#N):a:a:a:1),$([c;r5]:[c;r5]:[c;r5]-[C;!900*]#N)]</t>
        </is>
      </c>
      <c r="H6" s="7" t="inlineStr">
        <is>
          <t>[c]-C#N</t>
        </is>
      </c>
      <c r="I6" s="7" t="inlineStr"/>
      <c r="J6" s="7" t="inlineStr"/>
      <c r="K6" s="7" t="inlineStr"/>
      <c r="L6" s="7" t="inlineStr"/>
      <c r="M6" s="7" t="n"/>
      <c r="N6" s="7" t="inlineStr"/>
      <c r="O6" s="7" t="inlineStr">
        <is>
          <t>yes</t>
        </is>
      </c>
      <c r="P6" s="7" t="inlineStr"/>
      <c r="Q6" s="7" t="inlineStr">
        <is>
          <t>on the ring atom two bonds from the reacting carbon, inside the same six-membered ring (meta)</t>
        </is>
      </c>
      <c r="R6" s="7" t="inlineStr">
        <is>
          <t>withdraws electrons: speeds nucleophilic attack at the ring carbon (SNAr, oxidative addition, metalation next to it), slows electrophilic substitution. At meta mostly the inductive part acts; resonance does not reach this position.</t>
        </is>
      </c>
      <c r="S6" s="7" t="inlineStr">
        <is>
          <t>cyano (σm +0.56): withdraws by induction and by resonance</t>
        </is>
      </c>
      <c r="T6" s="7" t="n">
        <v>0.5600000000000001</v>
      </c>
      <c r="U6" s="10" t="n">
        <v>0.34</v>
      </c>
      <c r="V6" s="7" t="inlineStr">
        <is>
          <t>carbonyl addition +1.25 (n=48; winner had it 56 % vs 40 % at random) · aryl halide -0.97 (n=306; winner had it 11 % vs 44 % at random) · acyl substitution +0.86 (n=248; winner had it 52 % vs 36 % at random) · arene ch -0.51 (n=244; winner had it 48 % vs 37 % at random)</t>
        </is>
      </c>
      <c r="W6" s="7" t="n">
        <v>931</v>
      </c>
      <c r="X6" s="7" t="n">
        <v>603</v>
      </c>
      <c r="Y6" s="9" t="n">
        <v>0.3695</v>
      </c>
      <c r="Z6" s="9" t="n">
        <v>0.3922</v>
      </c>
      <c r="AA6" s="7" t="n"/>
      <c r="AB6" s="7" t="n"/>
      <c r="AC6" s="7" t="n"/>
      <c r="AD6" s="7" t="n"/>
      <c r="AE6" s="7" t="inlineStr">
        <is>
          <t>learned from the training patents (tools/int_train.py)</t>
        </is>
      </c>
      <c r="AF6" s="7" t="inlineStr">
        <is>
          <t>Hansch, Leo, Taft, Chem. Rev. 91, 165 (1991); Clayden, Organic Chemistry (aromatic substitution)</t>
        </is>
      </c>
    </row>
    <row r="7">
      <c r="A7" s="7" t="inlineStr">
        <is>
          <t>I006</t>
        </is>
      </c>
      <c r="B7" s="7" t="inlineStr">
        <is>
          <t>ring-para-cyano</t>
        </is>
      </c>
      <c r="C7" s="7" t="inlineStr">
        <is>
          <t>cyano, para to the reacting aromatic carbon</t>
        </is>
      </c>
      <c r="D7" s="7" t="inlineStr">
        <is>
          <t>ring substituent (position)</t>
        </is>
      </c>
      <c r="E7" s="7" t="inlineStr">
        <is>
          <t>electronic</t>
        </is>
      </c>
      <c r="F7" s="7" t="inlineStr">
        <is>
          <t>aromatic C</t>
        </is>
      </c>
      <c r="G7" s="7" t="inlineStr">
        <is>
          <t>[c;$(c1:a:a:c(-[C;!900*]#N):a:a:1),$([c;r5]:[c;r5]:[c;r5]:[c;r5]-[C;!900*]#N)]</t>
        </is>
      </c>
      <c r="H7" s="7" t="inlineStr">
        <is>
          <t>[c]-C#N</t>
        </is>
      </c>
      <c r="I7" s="7" t="inlineStr"/>
      <c r="J7" s="7" t="inlineStr"/>
      <c r="K7" s="7" t="inlineStr"/>
      <c r="L7" s="7" t="inlineStr"/>
      <c r="M7" s="7" t="n"/>
      <c r="N7" s="7" t="inlineStr"/>
      <c r="O7" s="7" t="inlineStr">
        <is>
          <t>yes</t>
        </is>
      </c>
      <c r="P7" s="7" t="inlineStr"/>
      <c r="Q7" s="7" t="inlineStr">
        <is>
          <t>on the ring atom opposite the reacting carbon, inside the same six-membered ring (para)</t>
        </is>
      </c>
      <c r="R7" s="7" t="inlineStr">
        <is>
          <t>withdraws electrons: speeds nucleophilic attack at the ring carbon (SNAr, oxidative addition, metalation next to it), slows electrophilic substitution. At para induction and resonance both act.</t>
        </is>
      </c>
      <c r="S7" s="7" t="inlineStr">
        <is>
          <t>cyano (σp +0.66): withdraws by induction and by resonance</t>
        </is>
      </c>
      <c r="T7" s="7" t="n">
        <v>0.66</v>
      </c>
      <c r="U7" s="10" t="n">
        <v>0.74</v>
      </c>
      <c r="V7" s="7" t="inlineStr">
        <is>
          <t>aryl halide +2.83 (n=434; winner had it 89 % vs 47 % at random) · arene ch -1.05 (n=122; winner had it 16 % vs 27 % at random) · acyl substitution +0.60 (n=133; winner had it 30 % vs 33 % at random) · alkyl substitution +0.46 (n=25; winner had it 36 % vs 46 % at random)</t>
        </is>
      </c>
      <c r="W7" s="7" t="n">
        <v>794</v>
      </c>
      <c r="X7" s="7" t="n">
        <v>455</v>
      </c>
      <c r="Y7" s="9" t="n">
        <v>0.6284999999999999</v>
      </c>
      <c r="Z7" s="9" t="n">
        <v>0.4088</v>
      </c>
      <c r="AA7" s="7" t="n"/>
      <c r="AB7" s="7" t="n"/>
      <c r="AC7" s="7" t="n"/>
      <c r="AD7" s="7" t="n"/>
      <c r="AE7" s="7" t="inlineStr">
        <is>
          <t>learned from the training patents (tools/int_train.py)</t>
        </is>
      </c>
      <c r="AF7" s="7" t="inlineStr">
        <is>
          <t>Hansch, Leo, Taft, Chem. Rev. 91, 165 (1991); Clayden, Organic Chemistry (aromatic substitution)</t>
        </is>
      </c>
    </row>
    <row r="8">
      <c r="A8" s="7" t="inlineStr">
        <is>
          <t>I007</t>
        </is>
      </c>
      <c r="B8" s="7" t="inlineStr">
        <is>
          <t>ring-ortho-cf3</t>
        </is>
      </c>
      <c r="C8" s="7" t="inlineStr">
        <is>
          <t>trifluoromethyl, ortho to the reacting aromatic carbon</t>
        </is>
      </c>
      <c r="D8" s="7" t="inlineStr">
        <is>
          <t>ring substituent (position)</t>
        </is>
      </c>
      <c r="E8" s="7" t="inlineStr">
        <is>
          <t>electronic</t>
        </is>
      </c>
      <c r="F8" s="7" t="inlineStr">
        <is>
          <t>aromatic C</t>
        </is>
      </c>
      <c r="G8" s="7" t="inlineStr">
        <is>
          <t>[c;$(c:c-[C;!900*](F)(F)F)]</t>
        </is>
      </c>
      <c r="H8" s="7" t="inlineStr">
        <is>
          <t>[c]-C(F)(F)F</t>
        </is>
      </c>
      <c r="I8" s="7" t="inlineStr"/>
      <c r="J8" s="7" t="inlineStr"/>
      <c r="K8" s="7" t="inlineStr"/>
      <c r="L8" s="7" t="inlineStr"/>
      <c r="M8" s="7" t="n"/>
      <c r="N8" s="7" t="inlineStr"/>
      <c r="O8" s="7" t="inlineStr">
        <is>
          <t>yes</t>
        </is>
      </c>
      <c r="P8" s="7" t="inlineStr"/>
      <c r="Q8" s="7" t="inlineStr">
        <is>
          <t>on the ring atom next to the reacting carbon (ortho)</t>
        </is>
      </c>
      <c r="R8" s="7" t="inlineStr">
        <is>
          <t>withdraws electrons: speeds nucleophilic attack at the ring carbon (SNAr, oxidative addition, metalation next to it), slows electrophilic substitution. At ortho the electronic effect is like para, and the group also crowds the carbon.</t>
        </is>
      </c>
      <c r="S8" s="7" t="inlineStr">
        <is>
          <t>trifluoromethyl (σp +0.54): withdraws by induction (three C–F dipoles); no resonance</t>
        </is>
      </c>
      <c r="T8" s="7" t="n">
        <v>0.54</v>
      </c>
      <c r="U8" s="10" t="n">
        <v>-0.14</v>
      </c>
      <c r="V8" s="7" t="inlineStr">
        <is>
          <t>arene ch -1.41 (n=364; winner had it 18 % vs 38 % at random) · alkyl substitution +1.02 (n=70; winner had it 51 % vs 42 % at random) · acyl substitution -0.82 (n=264; winner had it 18 % vs 37 % at random) · aryl halide -0.60 (n=290; winner had it 22 % vs 45 % at random) · carbonyl addition +0.45 (n=117; winner had it 42 % vs 41 % at random) · n nucleophile +0.42 (n=49; winner had it 27 % vs 34 % at random)</t>
        </is>
      </c>
      <c r="W8" s="7" t="n">
        <v>1215</v>
      </c>
      <c r="X8" s="7" t="n">
        <v>768</v>
      </c>
      <c r="Y8" s="9" t="n">
        <v>0.2362</v>
      </c>
      <c r="Z8" s="9" t="n">
        <v>0.3999</v>
      </c>
      <c r="AA8" s="7" t="n"/>
      <c r="AB8" s="7" t="n"/>
      <c r="AC8" s="7" t="n"/>
      <c r="AD8" s="7" t="n"/>
      <c r="AE8" s="7" t="inlineStr">
        <is>
          <t>learned from the training patents (tools/int_train.py)</t>
        </is>
      </c>
      <c r="AF8" s="7" t="inlineStr">
        <is>
          <t>Hansch, Leo, Taft, Chem. Rev. 91, 165 (1991); Clayden, Organic Chemistry (aromatic substitution)</t>
        </is>
      </c>
    </row>
    <row r="9">
      <c r="A9" s="7" t="inlineStr">
        <is>
          <t>I008</t>
        </is>
      </c>
      <c r="B9" s="7" t="inlineStr">
        <is>
          <t>ring-meta-cf3</t>
        </is>
      </c>
      <c r="C9" s="7" t="inlineStr">
        <is>
          <t>trifluoromethyl, meta to the reacting aromatic carbon</t>
        </is>
      </c>
      <c r="D9" s="7" t="inlineStr">
        <is>
          <t>ring substituent (position)</t>
        </is>
      </c>
      <c r="E9" s="7" t="inlineStr">
        <is>
          <t>electronic</t>
        </is>
      </c>
      <c r="F9" s="7" t="inlineStr">
        <is>
          <t>aromatic C</t>
        </is>
      </c>
      <c r="G9" s="7" t="inlineStr">
        <is>
          <t>[c;$(c1:a:c(-[C;!900*](F)(F)F):a:a:a:1),$([c;r5]:[c;r5]:[c;r5]-[C;!900*](F)(F)F)]</t>
        </is>
      </c>
      <c r="H9" s="7" t="inlineStr">
        <is>
          <t>[c]-C(F)(F)F</t>
        </is>
      </c>
      <c r="I9" s="7" t="inlineStr"/>
      <c r="J9" s="7" t="inlineStr"/>
      <c r="K9" s="7" t="inlineStr"/>
      <c r="L9" s="7" t="inlineStr"/>
      <c r="M9" s="7" t="n"/>
      <c r="N9" s="7" t="inlineStr"/>
      <c r="O9" s="7" t="inlineStr">
        <is>
          <t>yes</t>
        </is>
      </c>
      <c r="P9" s="7" t="inlineStr"/>
      <c r="Q9" s="7" t="inlineStr">
        <is>
          <t>on the ring atom two bonds from the reacting carbon, inside the same six-membered ring (meta)</t>
        </is>
      </c>
      <c r="R9" s="7" t="inlineStr">
        <is>
          <t>withdraws electrons: speeds nucleophilic attack at the ring carbon (SNAr, oxidative addition, metalation next to it), slows electrophilic substitution. At meta mostly the inductive part acts; resonance does not reach this position.</t>
        </is>
      </c>
      <c r="S9" s="7" t="inlineStr">
        <is>
          <t>trifluoromethyl (σm +0.43): withdraws by induction (three C–F dipoles); no resonance</t>
        </is>
      </c>
      <c r="T9" s="7" t="n">
        <v>0.43</v>
      </c>
      <c r="U9" s="10" t="n">
        <v>-0.1</v>
      </c>
      <c r="V9" s="7" t="inlineStr">
        <is>
          <t>arene ch -1.13 (n=315; winner had it 42 % vs 33 % at random) · carbonyl addition -0.45 (n=104; winner had it 34 % vs 37 % at random) · alkyl substitution +0.39 (n=37; winner had it 32 % vs 36 % at random) · aryl halide -0.39 (n=323; winner had it 28 % vs 45 % at random)</t>
        </is>
      </c>
      <c r="W9" s="7" t="n">
        <v>1114</v>
      </c>
      <c r="X9" s="7" t="n">
        <v>701</v>
      </c>
      <c r="Y9" s="9" t="n">
        <v>0.3618</v>
      </c>
      <c r="Z9" s="9" t="n">
        <v>0.3746</v>
      </c>
      <c r="AA9" s="7" t="n"/>
      <c r="AB9" s="7" t="n"/>
      <c r="AC9" s="7" t="n"/>
      <c r="AD9" s="7" t="n"/>
      <c r="AE9" s="7" t="inlineStr">
        <is>
          <t>learned from the training patents (tools/int_train.py)</t>
        </is>
      </c>
      <c r="AF9" s="7" t="inlineStr">
        <is>
          <t>Hansch, Leo, Taft, Chem. Rev. 91, 165 (1991); Clayden, Organic Chemistry (aromatic substitution)</t>
        </is>
      </c>
    </row>
    <row r="10">
      <c r="A10" s="7" t="inlineStr">
        <is>
          <t>I009</t>
        </is>
      </c>
      <c r="B10" s="7" t="inlineStr">
        <is>
          <t>ring-para-cf3</t>
        </is>
      </c>
      <c r="C10" s="7" t="inlineStr">
        <is>
          <t>trifluoromethyl, para to the reacting aromatic carbon</t>
        </is>
      </c>
      <c r="D10" s="7" t="inlineStr">
        <is>
          <t>ring substituent (position)</t>
        </is>
      </c>
      <c r="E10" s="7" t="inlineStr">
        <is>
          <t>electronic</t>
        </is>
      </c>
      <c r="F10" s="7" t="inlineStr">
        <is>
          <t>aromatic C</t>
        </is>
      </c>
      <c r="G10" s="7" t="inlineStr">
        <is>
          <t>[c;$(c1:a:a:c(-[C;!900*](F)(F)F):a:a:1),$([c;r5]:[c;r5]:[c;r5]:[c;r5]-[C;!900*](F)(F)F)]</t>
        </is>
      </c>
      <c r="H10" s="7" t="inlineStr">
        <is>
          <t>[c]-C(F)(F)F</t>
        </is>
      </c>
      <c r="I10" s="7" t="inlineStr"/>
      <c r="J10" s="7" t="inlineStr"/>
      <c r="K10" s="7" t="inlineStr"/>
      <c r="L10" s="7" t="inlineStr"/>
      <c r="M10" s="7" t="n"/>
      <c r="N10" s="7" t="inlineStr"/>
      <c r="O10" s="7" t="inlineStr">
        <is>
          <t>yes</t>
        </is>
      </c>
      <c r="P10" s="7" t="inlineStr"/>
      <c r="Q10" s="7" t="inlineStr">
        <is>
          <t>on the ring atom opposite the reacting carbon, inside the same six-membered ring (para)</t>
        </is>
      </c>
      <c r="R10" s="7" t="inlineStr">
        <is>
          <t>withdraws electrons: speeds nucleophilic attack at the ring carbon (SNAr, oxidative addition, metalation next to it), slows electrophilic substitution. At para induction and resonance both act.</t>
        </is>
      </c>
      <c r="S10" s="7" t="inlineStr">
        <is>
          <t>trifluoromethyl (σp +0.54): withdraws by induction (three C–F dipoles); no resonance</t>
        </is>
      </c>
      <c r="T10" s="7" t="n">
        <v>0.54</v>
      </c>
      <c r="U10" s="10" t="n">
        <v>0.11</v>
      </c>
      <c r="V10" s="7" t="inlineStr">
        <is>
          <t>arene ch -1.63 (n=170; winner had it 21 % vs 29 % at random) · aryl halide +1.14 (n=322; winner had it 81 % vs 48 % at random) · n nucleophile +0.91 (n=34; winner had it 41 % vs 28 % at random) · o nucleophile +0.62 (n=25; winner had it 40 % vs 35 % at random) · acyl substitution -0.32 (n=131; winner had it 20 % vs 30 % at random)</t>
        </is>
      </c>
      <c r="W10" s="7" t="n">
        <v>792</v>
      </c>
      <c r="X10" s="7" t="n">
        <v>502</v>
      </c>
      <c r="Y10" s="9" t="n">
        <v>0.4861</v>
      </c>
      <c r="Z10" s="9" t="n">
        <v>0.3833</v>
      </c>
      <c r="AA10" s="7" t="n"/>
      <c r="AB10" s="7" t="n"/>
      <c r="AC10" s="7" t="n"/>
      <c r="AD10" s="7" t="n"/>
      <c r="AE10" s="7" t="inlineStr">
        <is>
          <t>learned from the training patents (tools/int_train.py)</t>
        </is>
      </c>
      <c r="AF10" s="7" t="inlineStr">
        <is>
          <t>Hansch, Leo, Taft, Chem. Rev. 91, 165 (1991); Clayden, Organic Chemistry (aromatic substitution)</t>
        </is>
      </c>
    </row>
    <row r="11">
      <c r="A11" s="7" t="inlineStr">
        <is>
          <t>I010</t>
        </is>
      </c>
      <c r="B11" s="7" t="inlineStr">
        <is>
          <t>ring-ortho-sulfonyl</t>
        </is>
      </c>
      <c r="C11" s="7" t="inlineStr">
        <is>
          <t>sulfonyl (sulfone, sulfonamide), ortho to the reacting aromatic carbon</t>
        </is>
      </c>
      <c r="D11" s="7" t="inlineStr">
        <is>
          <t>ring substituent (position)</t>
        </is>
      </c>
      <c r="E11" s="7" t="inlineStr">
        <is>
          <t>electronic</t>
        </is>
      </c>
      <c r="F11" s="7" t="inlineStr">
        <is>
          <t>aromatic C</t>
        </is>
      </c>
      <c r="G11" s="7" t="inlineStr">
        <is>
          <t>[c;$(c:c-[SX4;!900*](=O)=O)]</t>
        </is>
      </c>
      <c r="H11" s="7" t="inlineStr">
        <is>
          <t>[c]-[SX4](=O)=O</t>
        </is>
      </c>
      <c r="I11" s="7" t="inlineStr"/>
      <c r="J11" s="7" t="inlineStr"/>
      <c r="K11" s="7" t="inlineStr"/>
      <c r="L11" s="7" t="inlineStr"/>
      <c r="M11" s="7" t="n"/>
      <c r="N11" s="7" t="inlineStr"/>
      <c r="O11" s="7" t="inlineStr">
        <is>
          <t>yes</t>
        </is>
      </c>
      <c r="P11" s="7" t="inlineStr"/>
      <c r="Q11" s="7" t="inlineStr">
        <is>
          <t>on the ring atom next to the reacting carbon (ortho)</t>
        </is>
      </c>
      <c r="R11" s="7" t="inlineStr">
        <is>
          <t>withdraws electrons: speeds nucleophilic attack at the ring carbon (SNAr, oxidative addition, metalation next to it), slows electrophilic substitution. At ortho the electronic effect is like para, and the group also crowds the carbon.</t>
        </is>
      </c>
      <c r="S11" s="7" t="inlineStr">
        <is>
          <t>sulfonyl (sulfone, sulfonamide) (σp +0.72): withdraws by induction and by resonance</t>
        </is>
      </c>
      <c r="T11" s="7" t="n">
        <v>0.72</v>
      </c>
      <c r="U11" s="10" t="n">
        <v>-0.39</v>
      </c>
      <c r="V11" s="7" t="inlineStr">
        <is>
          <t>arene ch -1.99 (n=263; winner had it 12 % vs 32 % at random) · other -1.28 (n=49; winner had it 8 % vs 22 % at random) · acyl substitution -0.66 (n=219; winner had it 13 % vs 27 % at random) · carbonyl addition +0.51 (n=81; winner had it 30 % vs 23 % at random) · deprotection -0.07 (n=41; winner had it 17 % vs 25 % at random) · alkyl substitution +0.06 (n=36; winner had it 8 % vs 18 % at random)</t>
        </is>
      </c>
      <c r="W11" s="7" t="n">
        <v>987</v>
      </c>
      <c r="X11" s="7" t="n">
        <v>530</v>
      </c>
      <c r="Y11" s="9" t="n">
        <v>0.1479</v>
      </c>
      <c r="Z11" s="9" t="n">
        <v>0.3069</v>
      </c>
      <c r="AA11" s="7" t="n"/>
      <c r="AB11" s="7" t="n"/>
      <c r="AC11" s="7" t="n"/>
      <c r="AD11" s="7" t="n"/>
      <c r="AE11" s="7" t="inlineStr">
        <is>
          <t>learned from the training patents (tools/int_train.py)</t>
        </is>
      </c>
      <c r="AF11" s="7" t="inlineStr">
        <is>
          <t>Hansch, Leo, Taft, Chem. Rev. 91, 165 (1991); Clayden, Organic Chemistry (aromatic substitution)</t>
        </is>
      </c>
    </row>
    <row r="12">
      <c r="A12" s="7" t="inlineStr">
        <is>
          <t>I011</t>
        </is>
      </c>
      <c r="B12" s="7" t="inlineStr">
        <is>
          <t>ring-meta-sulfonyl</t>
        </is>
      </c>
      <c r="C12" s="7" t="inlineStr">
        <is>
          <t>sulfonyl (sulfone, sulfonamide), meta to the reacting aromatic carbon</t>
        </is>
      </c>
      <c r="D12" s="7" t="inlineStr">
        <is>
          <t>ring substituent (position)</t>
        </is>
      </c>
      <c r="E12" s="7" t="inlineStr">
        <is>
          <t>electronic</t>
        </is>
      </c>
      <c r="F12" s="7" t="inlineStr">
        <is>
          <t>aromatic C</t>
        </is>
      </c>
      <c r="G12" s="7" t="inlineStr">
        <is>
          <t>[c;$(c1:a:c(-[SX4;!900*](=O)=O):a:a:a:1),$([c;r5]:[c;r5]:[c;r5]-[SX4;!900*](=O)=O)]</t>
        </is>
      </c>
      <c r="H12" s="7" t="inlineStr">
        <is>
          <t>[c]-[SX4](=O)=O</t>
        </is>
      </c>
      <c r="I12" s="7" t="inlineStr"/>
      <c r="J12" s="7" t="inlineStr"/>
      <c r="K12" s="7" t="inlineStr"/>
      <c r="L12" s="7" t="inlineStr"/>
      <c r="M12" s="7" t="n"/>
      <c r="N12" s="7" t="inlineStr"/>
      <c r="O12" s="7" t="inlineStr">
        <is>
          <t>yes</t>
        </is>
      </c>
      <c r="P12" s="7" t="inlineStr"/>
      <c r="Q12" s="7" t="inlineStr">
        <is>
          <t>on the ring atom two bonds from the reacting carbon, inside the same six-membered ring (meta)</t>
        </is>
      </c>
      <c r="R12" s="7" t="inlineStr">
        <is>
          <t>withdraws electrons: speeds nucleophilic attack at the ring carbon (SNAr, oxidative addition, metalation next to it), slows electrophilic substitution. At meta mostly the inductive part acts; resonance does not reach this position.</t>
        </is>
      </c>
      <c r="S12" s="7" t="inlineStr">
        <is>
          <t>sulfonyl (sulfone, sulfonamide) (σm +0.60): withdraws by induction and by resonance</t>
        </is>
      </c>
      <c r="T12" s="7" t="n">
        <v>0.6</v>
      </c>
      <c r="U12" s="10" t="n">
        <v>-0.78</v>
      </c>
      <c r="V12" s="7" t="inlineStr">
        <is>
          <t>arene ch -1.58 (n=260; winner had it 34 % vs 31 % at random) · aryl halide -1.33 (n=183; winner had it 11 % vs 39 % at random) · alkyl substitution -1.09 (n=35; winner had it 0 % vs 20 % at random) · carbonyl addition -0.76 (n=65; winner had it 2 % vs 17 % at random) · deprotection -0.65 (n=36; winner had it 8 % vs 22 % at random) · acyl substitution -0.63 (n=208; winner had it 22 % vs 25 % at random)</t>
        </is>
      </c>
      <c r="W12" s="7" t="n">
        <v>894</v>
      </c>
      <c r="X12" s="7" t="n">
        <v>502</v>
      </c>
      <c r="Y12" s="9" t="n">
        <v>0.2002</v>
      </c>
      <c r="Z12" s="9" t="n">
        <v>0.2842</v>
      </c>
      <c r="AA12" s="7" t="n"/>
      <c r="AB12" s="7" t="n"/>
      <c r="AC12" s="7" t="n"/>
      <c r="AD12" s="7" t="n"/>
      <c r="AE12" s="7" t="inlineStr">
        <is>
          <t>learned from the training patents (tools/int_train.py)</t>
        </is>
      </c>
      <c r="AF12" s="7" t="inlineStr">
        <is>
          <t>Hansch, Leo, Taft, Chem. Rev. 91, 165 (1991); Clayden, Organic Chemistry (aromatic substitution)</t>
        </is>
      </c>
    </row>
    <row r="13">
      <c r="A13" s="7" t="inlineStr">
        <is>
          <t>I012</t>
        </is>
      </c>
      <c r="B13" s="7" t="inlineStr">
        <is>
          <t>ring-para-sulfonyl</t>
        </is>
      </c>
      <c r="C13" s="7" t="inlineStr">
        <is>
          <t>sulfonyl (sulfone, sulfonamide), para to the reacting aromatic carbon</t>
        </is>
      </c>
      <c r="D13" s="7" t="inlineStr">
        <is>
          <t>ring substituent (position)</t>
        </is>
      </c>
      <c r="E13" s="7" t="inlineStr">
        <is>
          <t>electronic</t>
        </is>
      </c>
      <c r="F13" s="7" t="inlineStr">
        <is>
          <t>aromatic C</t>
        </is>
      </c>
      <c r="G13" s="7" t="inlineStr">
        <is>
          <t>[c;$(c1:a:a:c(-[SX4;!900*](=O)=O):a:a:1),$([c;r5]:[c;r5]:[c;r5]:[c;r5]-[SX4;!900*](=O)=O)]</t>
        </is>
      </c>
      <c r="H13" s="7" t="inlineStr">
        <is>
          <t>[c]-[SX4](=O)=O</t>
        </is>
      </c>
      <c r="I13" s="7" t="inlineStr"/>
      <c r="J13" s="7" t="inlineStr"/>
      <c r="K13" s="7" t="inlineStr"/>
      <c r="L13" s="7" t="inlineStr"/>
      <c r="M13" s="7" t="n"/>
      <c r="N13" s="7" t="inlineStr"/>
      <c r="O13" s="7" t="inlineStr">
        <is>
          <t>yes</t>
        </is>
      </c>
      <c r="P13" s="7" t="inlineStr"/>
      <c r="Q13" s="7" t="inlineStr">
        <is>
          <t>on the ring atom opposite the reacting carbon, inside the same six-membered ring (para)</t>
        </is>
      </c>
      <c r="R13" s="7" t="inlineStr">
        <is>
          <t>withdraws electrons: speeds nucleophilic attack at the ring carbon (SNAr, oxidative addition, metalation next to it), slows electrophilic substitution. At para induction and resonance both act.</t>
        </is>
      </c>
      <c r="S13" s="7" t="inlineStr">
        <is>
          <t>sulfonyl (sulfone, sulfonamide) (σp +0.72): withdraws by induction and by resonance</t>
        </is>
      </c>
      <c r="T13" s="7" t="n">
        <v>0.72</v>
      </c>
      <c r="U13" s="10" t="n">
        <v>-0.02</v>
      </c>
      <c r="V13" s="7" t="inlineStr">
        <is>
          <t>arene ch -2.30 (n=101; winner had it 14 % vs 25 % at random) · aryl halide +1.31 (n=286; winner had it 79 % vs 44 % at random) · other -0.75 (n=32; winner had it 12 % vs 21 % at random) · deprotection +0.73 (n=33; winner had it 36 % vs 26 % at random) · alkyl substitution +0.40 (n=26; winner had it 15 % vs 21 % at random)</t>
        </is>
      </c>
      <c r="W13" s="7" t="n">
        <v>683</v>
      </c>
      <c r="X13" s="7" t="n">
        <v>358</v>
      </c>
      <c r="Y13" s="9" t="n">
        <v>0.4363</v>
      </c>
      <c r="Z13" s="9" t="n">
        <v>0.3344</v>
      </c>
      <c r="AA13" s="7" t="n"/>
      <c r="AB13" s="7" t="n"/>
      <c r="AC13" s="7" t="n"/>
      <c r="AD13" s="7" t="n"/>
      <c r="AE13" s="7" t="inlineStr">
        <is>
          <t>learned from the training patents (tools/int_train.py)</t>
        </is>
      </c>
      <c r="AF13" s="7" t="inlineStr">
        <is>
          <t>Hansch, Leo, Taft, Chem. Rev. 91, 165 (1991); Clayden, Organic Chemistry (aromatic substitution)</t>
        </is>
      </c>
    </row>
    <row r="14">
      <c r="A14" s="7" t="inlineStr">
        <is>
          <t>I013</t>
        </is>
      </c>
      <c r="B14" s="7" t="inlineStr">
        <is>
          <t>ring-ortho-formyl</t>
        </is>
      </c>
      <c r="C14" s="7" t="inlineStr">
        <is>
          <t>formyl, ortho to the reacting aromatic carbon</t>
        </is>
      </c>
      <c r="D14" s="7" t="inlineStr">
        <is>
          <t>ring substituent (position)</t>
        </is>
      </c>
      <c r="E14" s="7" t="inlineStr">
        <is>
          <t>electronic</t>
        </is>
      </c>
      <c r="F14" s="7" t="inlineStr">
        <is>
          <t>aromatic C</t>
        </is>
      </c>
      <c r="G14" s="7" t="inlineStr">
        <is>
          <t>[c;$(c:c-[CH1;!900*]=O)]</t>
        </is>
      </c>
      <c r="H14" s="7" t="inlineStr">
        <is>
          <t>[c]-[CH1]=O</t>
        </is>
      </c>
      <c r="I14" s="7" t="inlineStr"/>
      <c r="J14" s="7" t="inlineStr"/>
      <c r="K14" s="7" t="inlineStr"/>
      <c r="L14" s="7" t="inlineStr"/>
      <c r="M14" s="7" t="n"/>
      <c r="N14" s="7" t="inlineStr"/>
      <c r="O14" s="7" t="inlineStr">
        <is>
          <t>yes</t>
        </is>
      </c>
      <c r="P14" s="7" t="inlineStr"/>
      <c r="Q14" s="7" t="inlineStr">
        <is>
          <t>on the ring atom next to the reacting carbon (ortho)</t>
        </is>
      </c>
      <c r="R14" s="7" t="inlineStr">
        <is>
          <t>withdraws electrons: speeds nucleophilic attack at the ring carbon (SNAr, oxidative addition, metalation next to it), slows electrophilic substitution. At ortho the electronic effect is like para, and the group also crowds the carbon.</t>
        </is>
      </c>
      <c r="S14" s="7" t="inlineStr">
        <is>
          <t>formyl (σp +0.42): the C=O pulls electron density out of the ring, most at ortho and para</t>
        </is>
      </c>
      <c r="T14" s="7" t="n">
        <v>0.42</v>
      </c>
      <c r="U14" s="10" t="n">
        <v>-0.08</v>
      </c>
      <c r="V14" s="7" t="inlineStr">
        <is>
          <t>acyl substitution -1.10 (n=111; winner had it 20 % vs 39 % at random) · aryl halide +0.87 (n=113; winner had it 58 % vs 45 % at random) · arene ch -0.69 (n=171; winner had it 28 % vs 45 % at random) · carbonyl addition -0.50 (n=33; winner had it 9 % vs 45 % at random)</t>
        </is>
      </c>
      <c r="W14" s="7" t="n">
        <v>503</v>
      </c>
      <c r="X14" s="7" t="n">
        <v>360</v>
      </c>
      <c r="Y14" s="9" t="n">
        <v>0.3241</v>
      </c>
      <c r="Z14" s="9" t="n">
        <v>0.4236</v>
      </c>
      <c r="AA14" s="7" t="n"/>
      <c r="AB14" s="7" t="n"/>
      <c r="AC14" s="7" t="n"/>
      <c r="AD14" s="7" t="n"/>
      <c r="AE14" s="7" t="inlineStr">
        <is>
          <t>learned from the training patents (tools/int_train.py)</t>
        </is>
      </c>
      <c r="AF14" s="7" t="inlineStr">
        <is>
          <t>Hansch, Leo, Taft, Chem. Rev. 91, 165 (1991); Clayden, Organic Chemistry (aromatic substitution)</t>
        </is>
      </c>
    </row>
    <row r="15">
      <c r="A15" s="7" t="inlineStr">
        <is>
          <t>I014</t>
        </is>
      </c>
      <c r="B15" s="7" t="inlineStr">
        <is>
          <t>ring-meta-formyl</t>
        </is>
      </c>
      <c r="C15" s="7" t="inlineStr">
        <is>
          <t>formyl, meta to the reacting aromatic carbon</t>
        </is>
      </c>
      <c r="D15" s="7" t="inlineStr">
        <is>
          <t>ring substituent (position)</t>
        </is>
      </c>
      <c r="E15" s="7" t="inlineStr">
        <is>
          <t>electronic</t>
        </is>
      </c>
      <c r="F15" s="7" t="inlineStr">
        <is>
          <t>aromatic C</t>
        </is>
      </c>
      <c r="G15" s="7" t="inlineStr">
        <is>
          <t>[c;$(c1:a:c(-[CH1;!900*]=O):a:a:a:1),$([c;r5]:[c;r5]:[c;r5]-[CH1;!900*]=O)]</t>
        </is>
      </c>
      <c r="H15" s="7" t="inlineStr">
        <is>
          <t>[c]-[CH1]=O</t>
        </is>
      </c>
      <c r="I15" s="7" t="inlineStr"/>
      <c r="J15" s="7" t="inlineStr"/>
      <c r="K15" s="7" t="inlineStr"/>
      <c r="L15" s="7" t="inlineStr"/>
      <c r="M15" s="7" t="n"/>
      <c r="N15" s="7" t="inlineStr"/>
      <c r="O15" s="7" t="inlineStr">
        <is>
          <t>yes</t>
        </is>
      </c>
      <c r="P15" s="7" t="inlineStr"/>
      <c r="Q15" s="7" t="inlineStr">
        <is>
          <t>on the ring atom two bonds from the reacting carbon, inside the same six-membered ring (meta)</t>
        </is>
      </c>
      <c r="R15" s="7" t="inlineStr">
        <is>
          <t>withdraws electrons: speeds nucleophilic attack at the ring carbon (SNAr, oxidative addition, metalation next to it), slows electrophilic substitution. At meta mostly the inductive part acts; resonance does not reach this position.</t>
        </is>
      </c>
      <c r="S15" s="7" t="inlineStr">
        <is>
          <t>formyl (σm +0.35): the C=O pulls electron density out of the ring, most at ortho and para</t>
        </is>
      </c>
      <c r="T15" s="7" t="n">
        <v>0.35</v>
      </c>
      <c r="U15" s="10" t="n">
        <v>-0.17</v>
      </c>
      <c r="V15" s="7" t="inlineStr">
        <is>
          <t>aryl halide -1.43 (n=130; winner had it 3 % vs 47 % at random) · carbonyl addition +0.33 (n=35; winner had it 60 % vs 42 % at random)</t>
        </is>
      </c>
      <c r="W15" s="7" t="n">
        <v>509</v>
      </c>
      <c r="X15" s="7" t="n">
        <v>350</v>
      </c>
      <c r="Y15" s="9" t="n">
        <v>0.4479</v>
      </c>
      <c r="Z15" s="9" t="n">
        <v>0.4139</v>
      </c>
      <c r="AA15" s="7" t="n"/>
      <c r="AB15" s="7" t="n"/>
      <c r="AC15" s="7" t="n"/>
      <c r="AD15" s="7" t="n"/>
      <c r="AE15" s="7" t="inlineStr">
        <is>
          <t>learned from the training patents (tools/int_train.py)</t>
        </is>
      </c>
      <c r="AF15" s="7" t="inlineStr">
        <is>
          <t>Hansch, Leo, Taft, Chem. Rev. 91, 165 (1991); Clayden, Organic Chemistry (aromatic substitution)</t>
        </is>
      </c>
    </row>
    <row r="16">
      <c r="A16" s="7" t="inlineStr">
        <is>
          <t>I015</t>
        </is>
      </c>
      <c r="B16" s="7" t="inlineStr">
        <is>
          <t>ring-para-formyl</t>
        </is>
      </c>
      <c r="C16" s="7" t="inlineStr">
        <is>
          <t>formyl, para to the reacting aromatic carbon</t>
        </is>
      </c>
      <c r="D16" s="7" t="inlineStr">
        <is>
          <t>ring substituent (position)</t>
        </is>
      </c>
      <c r="E16" s="7" t="inlineStr">
        <is>
          <t>electronic</t>
        </is>
      </c>
      <c r="F16" s="7" t="inlineStr">
        <is>
          <t>aromatic C</t>
        </is>
      </c>
      <c r="G16" s="7" t="inlineStr">
        <is>
          <t>[c;$(c1:a:a:c(-[CH1;!900*]=O):a:a:1),$([c;r5]:[c;r5]:[c;r5]:[c;r5]-[CH1;!900*]=O)]</t>
        </is>
      </c>
      <c r="H16" s="7" t="inlineStr">
        <is>
          <t>[c]-[CH1]=O</t>
        </is>
      </c>
      <c r="I16" s="7" t="inlineStr"/>
      <c r="J16" s="7" t="inlineStr"/>
      <c r="K16" s="7" t="inlineStr"/>
      <c r="L16" s="7" t="inlineStr"/>
      <c r="M16" s="7" t="n"/>
      <c r="N16" s="7" t="inlineStr"/>
      <c r="O16" s="7" t="inlineStr">
        <is>
          <t>yes</t>
        </is>
      </c>
      <c r="P16" s="7" t="inlineStr"/>
      <c r="Q16" s="7" t="inlineStr">
        <is>
          <t>on the ring atom opposite the reacting carbon, inside the same six-membered ring (para)</t>
        </is>
      </c>
      <c r="R16" s="7" t="inlineStr">
        <is>
          <t>withdraws electrons: speeds nucleophilic attack at the ring carbon (SNAr, oxidative addition, metalation next to it), slows electrophilic substitution. At para induction and resonance both act.</t>
        </is>
      </c>
      <c r="S16" s="7" t="inlineStr">
        <is>
          <t>formyl (σp +0.42): the C=O pulls electron density out of the ring, most at ortho and para</t>
        </is>
      </c>
      <c r="T16" s="7" t="n">
        <v>0.42</v>
      </c>
      <c r="U16" s="10" t="n">
        <v>0.4</v>
      </c>
      <c r="V16" s="7" t="inlineStr">
        <is>
          <t>aryl halide +1.69 (n=131; winner had it 86 % vs 48 % at random) · o nucleophile +1.53 (n=28; winner had it 75 % vs 43 % at random) · arene ch -0.89 (n=71; winner had it 11 % vs 33 % at random) · acyl substitution -0.20 (n=63; winner had it 24 % vs 38 % at random)</t>
        </is>
      </c>
      <c r="W16" s="7" t="n">
        <v>362</v>
      </c>
      <c r="X16" s="7" t="n">
        <v>257</v>
      </c>
      <c r="Y16" s="9" t="n">
        <v>0.5028</v>
      </c>
      <c r="Z16" s="9" t="n">
        <v>0.4114</v>
      </c>
      <c r="AA16" s="7" t="n"/>
      <c r="AB16" s="7" t="n"/>
      <c r="AC16" s="7" t="n"/>
      <c r="AD16" s="7" t="n"/>
      <c r="AE16" s="7" t="inlineStr">
        <is>
          <t>learned from the training patents (tools/int_train.py)</t>
        </is>
      </c>
      <c r="AF16" s="7" t="inlineStr">
        <is>
          <t>Hansch, Leo, Taft, Chem. Rev. 91, 165 (1991); Clayden, Organic Chemistry (aromatic substitution)</t>
        </is>
      </c>
    </row>
    <row r="17">
      <c r="A17" s="7" t="inlineStr">
        <is>
          <t>I016</t>
        </is>
      </c>
      <c r="B17" s="7" t="inlineStr">
        <is>
          <t>ring-ortho-acyl</t>
        </is>
      </c>
      <c r="C17" s="7" t="inlineStr">
        <is>
          <t>acyl (ketone), ortho to the reacting aromatic carbon</t>
        </is>
      </c>
      <c r="D17" s="7" t="inlineStr">
        <is>
          <t>ring substituent (position)</t>
        </is>
      </c>
      <c r="E17" s="7" t="inlineStr">
        <is>
          <t>electronic</t>
        </is>
      </c>
      <c r="F17" s="7" t="inlineStr">
        <is>
          <t>aromatic C</t>
        </is>
      </c>
      <c r="G17" s="7" t="inlineStr">
        <is>
          <t>[c;$(c:c-[CX3;!900*](=O)[#6])]</t>
        </is>
      </c>
      <c r="H17" s="7" t="inlineStr">
        <is>
          <t>[c]-[CX3](=O)[#6]</t>
        </is>
      </c>
      <c r="I17" s="7" t="inlineStr"/>
      <c r="J17" s="7" t="inlineStr"/>
      <c r="K17" s="7" t="inlineStr"/>
      <c r="L17" s="7" t="inlineStr"/>
      <c r="M17" s="7" t="n"/>
      <c r="N17" s="7" t="inlineStr"/>
      <c r="O17" s="7" t="inlineStr">
        <is>
          <t>yes</t>
        </is>
      </c>
      <c r="P17" s="7" t="inlineStr"/>
      <c r="Q17" s="7" t="inlineStr">
        <is>
          <t>on the ring atom next to the reacting carbon (ortho)</t>
        </is>
      </c>
      <c r="R17" s="7" t="inlineStr">
        <is>
          <t>withdraws electrons: speeds nucleophilic attack at the ring carbon (SNAr, oxidative addition, metalation next to it), slows electrophilic substitution. At ortho the electronic effect is like para, and the group also crowds the carbon.</t>
        </is>
      </c>
      <c r="S17" s="7" t="inlineStr">
        <is>
          <t>acyl (ketone) (σp +0.50): the C=O pulls electron density out of the ring, most at ortho and para</t>
        </is>
      </c>
      <c r="T17" s="7" t="n">
        <v>0.5</v>
      </c>
      <c r="U17" s="10" t="n">
        <v>-0.5</v>
      </c>
      <c r="V17" s="7" t="inlineStr">
        <is>
          <t>acyl substitution -2.18 (n=335; winner had it 11 % vs 42 % at random) · alkyl substitution -1.58 (n=308; winner had it 13 % vs 48 % at random) · arene ch -1.08 (n=333; winner had it 16 % vs 41 % at random) · deprotection -0.84 (n=148; winner had it 9 % vs 45 % at random) · o nucleophile -0.71 (n=53; winner had it 8 % vs 42 % at random) · other -0.55 (n=34; winner had it 15 % vs 29 % at random)</t>
        </is>
      </c>
      <c r="W17" s="7" t="n">
        <v>2153</v>
      </c>
      <c r="X17" s="7" t="n">
        <v>1161</v>
      </c>
      <c r="Y17" s="9" t="n">
        <v>0.1505</v>
      </c>
      <c r="Z17" s="9" t="n">
        <v>0.4462</v>
      </c>
      <c r="AA17" s="7" t="n"/>
      <c r="AB17" s="7" t="n"/>
      <c r="AC17" s="7" t="n"/>
      <c r="AD17" s="7" t="n"/>
      <c r="AE17" s="7" t="inlineStr">
        <is>
          <t>learned from the training patents (tools/int_train.py)</t>
        </is>
      </c>
      <c r="AF17" s="7" t="inlineStr">
        <is>
          <t>Hansch, Leo, Taft, Chem. Rev. 91, 165 (1991); Clayden, Organic Chemistry (aromatic substitution)</t>
        </is>
      </c>
    </row>
    <row r="18">
      <c r="A18" s="7" t="inlineStr">
        <is>
          <t>I017</t>
        </is>
      </c>
      <c r="B18" s="7" t="inlineStr">
        <is>
          <t>ring-meta-acyl</t>
        </is>
      </c>
      <c r="C18" s="7" t="inlineStr">
        <is>
          <t>acyl (ketone), meta to the reacting aromatic carbon</t>
        </is>
      </c>
      <c r="D18" s="7" t="inlineStr">
        <is>
          <t>ring substituent (position)</t>
        </is>
      </c>
      <c r="E18" s="7" t="inlineStr">
        <is>
          <t>electronic</t>
        </is>
      </c>
      <c r="F18" s="7" t="inlineStr">
        <is>
          <t>aromatic C</t>
        </is>
      </c>
      <c r="G18" s="7" t="inlineStr">
        <is>
          <t>[c;$(c1:a:c(-[CX3;!900*](=O)[#6]):a:a:a:1),$([c;r5]:[c;r5]:[c;r5]-[CX3;!900*](=O)[#6])]</t>
        </is>
      </c>
      <c r="H18" s="7" t="inlineStr">
        <is>
          <t>[c]-[CX3](=O)[#6]</t>
        </is>
      </c>
      <c r="I18" s="7" t="inlineStr"/>
      <c r="J18" s="7" t="inlineStr"/>
      <c r="K18" s="7" t="inlineStr"/>
      <c r="L18" s="7" t="inlineStr"/>
      <c r="M18" s="7" t="n"/>
      <c r="N18" s="7" t="inlineStr"/>
      <c r="O18" s="7" t="inlineStr">
        <is>
          <t>yes</t>
        </is>
      </c>
      <c r="P18" s="7" t="inlineStr"/>
      <c r="Q18" s="7" t="inlineStr">
        <is>
          <t>on the ring atom two bonds from the reacting carbon, inside the same six-membered ring (meta)</t>
        </is>
      </c>
      <c r="R18" s="7" t="inlineStr">
        <is>
          <t>withdraws electrons: speeds nucleophilic attack at the ring carbon (SNAr, oxidative addition, metalation next to it), slows electrophilic substitution. At meta mostly the inductive part acts; resonance does not reach this position.</t>
        </is>
      </c>
      <c r="S18" s="7" t="inlineStr">
        <is>
          <t>acyl (ketone) (σm +0.38): the C=O pulls electron density out of the ring, most at ortho and para</t>
        </is>
      </c>
      <c r="T18" s="7" t="n">
        <v>0.38</v>
      </c>
      <c r="U18" s="10" t="n">
        <v>0.55</v>
      </c>
      <c r="V18" s="7" t="inlineStr">
        <is>
          <t>carbonyl addition +1.53 (n=405; winner had it 27 % vs 46 % at random) · alkyl substitution +1.41 (n=112; winner had it 46 % vs 47 % at random) · deprotection +1.17 (n=58; winner had it 45 % vs 44 % at random) · unsaturated -0.91 (n=36; winner had it 6 % vs 44 % at random) · arene ch +0.77 (n=329; winner had it 80 % vs 43 % at random) · aryl halide -0.41 (n=165; winner had it 19 % vs 46 % at random)</t>
        </is>
      </c>
      <c r="W18" s="7" t="n">
        <v>1388</v>
      </c>
      <c r="X18" s="7" t="n">
        <v>799</v>
      </c>
      <c r="Y18" s="9" t="n">
        <v>0.4539</v>
      </c>
      <c r="Z18" s="9" t="n">
        <v>0.4411</v>
      </c>
      <c r="AA18" s="7" t="n"/>
      <c r="AB18" s="7" t="n"/>
      <c r="AC18" s="7" t="n"/>
      <c r="AD18" s="7" t="n"/>
      <c r="AE18" s="7" t="inlineStr">
        <is>
          <t>learned from the training patents (tools/int_train.py)</t>
        </is>
      </c>
      <c r="AF18" s="7" t="inlineStr">
        <is>
          <t>Hansch, Leo, Taft, Chem. Rev. 91, 165 (1991); Clayden, Organic Chemistry (aromatic substitution)</t>
        </is>
      </c>
    </row>
    <row r="19">
      <c r="A19" s="7" t="inlineStr">
        <is>
          <t>I018</t>
        </is>
      </c>
      <c r="B19" s="7" t="inlineStr">
        <is>
          <t>ring-para-acyl</t>
        </is>
      </c>
      <c r="C19" s="7" t="inlineStr">
        <is>
          <t>acyl (ketone), para to the reacting aromatic carbon</t>
        </is>
      </c>
      <c r="D19" s="7" t="inlineStr">
        <is>
          <t>ring substituent (position)</t>
        </is>
      </c>
      <c r="E19" s="7" t="inlineStr">
        <is>
          <t>electronic</t>
        </is>
      </c>
      <c r="F19" s="7" t="inlineStr">
        <is>
          <t>aromatic C</t>
        </is>
      </c>
      <c r="G19" s="7" t="inlineStr">
        <is>
          <t>[c;$(c1:a:a:c(-[CX3;!900*](=O)[#6]):a:a:1),$([c;r5]:[c;r5]:[c;r5]:[c;r5]-[CX3;!900*](=O)[#6])]</t>
        </is>
      </c>
      <c r="H19" s="7" t="inlineStr">
        <is>
          <t>[c]-[CX3](=O)[#6]</t>
        </is>
      </c>
      <c r="I19" s="7" t="inlineStr"/>
      <c r="J19" s="7" t="inlineStr"/>
      <c r="K19" s="7" t="inlineStr"/>
      <c r="L19" s="7" t="inlineStr"/>
      <c r="M19" s="7" t="n"/>
      <c r="N19" s="7" t="inlineStr"/>
      <c r="O19" s="7" t="inlineStr">
        <is>
          <t>yes</t>
        </is>
      </c>
      <c r="P19" s="7" t="inlineStr"/>
      <c r="Q19" s="7" t="inlineStr">
        <is>
          <t>on the ring atom opposite the reacting carbon, inside the same six-membered ring (para)</t>
        </is>
      </c>
      <c r="R19" s="7" t="inlineStr">
        <is>
          <t>withdraws electrons: speeds nucleophilic attack at the ring carbon (SNAr, oxidative addition, metalation next to it), slows electrophilic substitution. At para induction and resonance both act.</t>
        </is>
      </c>
      <c r="S19" s="7" t="inlineStr">
        <is>
          <t>acyl (ketone) (σp +0.50): the C=O pulls electron density out of the ring, most at ortho and para</t>
        </is>
      </c>
      <c r="T19" s="7" t="n">
        <v>0.5</v>
      </c>
      <c r="U19" s="10" t="n">
        <v>0.42</v>
      </c>
      <c r="V19" s="7" t="inlineStr">
        <is>
          <t>o nucleophile +2.10 (n=54; winner had it 89 % vs 47 % at random) · aryl halide +1.04 (n=174; winner had it 54 % vs 46 % at random) · arene ch -0.94 (n=183; winner had it 12 % vs 31 % at random) · carbonyl addition +0.87 (n=275; winner had it 18 % vs 43 % at random) · alkyl substitution +0.81 (n=36; winner had it 56 % vs 45 % at random) · acyl substitution +0.10 (n=130; winner had it 27 % vs 35 % at random)</t>
        </is>
      </c>
      <c r="W19" s="7" t="n">
        <v>951</v>
      </c>
      <c r="X19" s="7" t="n">
        <v>591</v>
      </c>
      <c r="Y19" s="9" t="n">
        <v>0.3049</v>
      </c>
      <c r="Z19" s="9" t="n">
        <v>0.3985</v>
      </c>
      <c r="AA19" s="7" t="n"/>
      <c r="AB19" s="7" t="n"/>
      <c r="AC19" s="7" t="n"/>
      <c r="AD19" s="7" t="n"/>
      <c r="AE19" s="7" t="inlineStr">
        <is>
          <t>learned from the training patents (tools/int_train.py)</t>
        </is>
      </c>
      <c r="AF19" s="7" t="inlineStr">
        <is>
          <t>Hansch, Leo, Taft, Chem. Rev. 91, 165 (1991); Clayden, Organic Chemistry (aromatic substitution)</t>
        </is>
      </c>
    </row>
    <row r="20">
      <c r="A20" s="7" t="inlineStr">
        <is>
          <t>I019</t>
        </is>
      </c>
      <c r="B20" s="7" t="inlineStr">
        <is>
          <t>ring-ortho-carboxy</t>
        </is>
      </c>
      <c r="C20" s="7" t="inlineStr">
        <is>
          <t>carboxy (acid, ester), ortho to the reacting aromatic carbon</t>
        </is>
      </c>
      <c r="D20" s="7" t="inlineStr">
        <is>
          <t>ring substituent (position)</t>
        </is>
      </c>
      <c r="E20" s="7" t="inlineStr">
        <is>
          <t>electronic</t>
        </is>
      </c>
      <c r="F20" s="7" t="inlineStr">
        <is>
          <t>aromatic C</t>
        </is>
      </c>
      <c r="G20" s="7" t="inlineStr">
        <is>
          <t>[c;$(c:c-[CX3;!900*](=O)[OX2])]</t>
        </is>
      </c>
      <c r="H20" s="7" t="inlineStr">
        <is>
          <t>[c]-[CX3](=O)[OX2]</t>
        </is>
      </c>
      <c r="I20" s="7" t="inlineStr"/>
      <c r="J20" s="7" t="inlineStr"/>
      <c r="K20" s="7" t="inlineStr"/>
      <c r="L20" s="7" t="inlineStr"/>
      <c r="M20" s="7" t="n"/>
      <c r="N20" s="7" t="inlineStr"/>
      <c r="O20" s="7" t="inlineStr">
        <is>
          <t>yes</t>
        </is>
      </c>
      <c r="P20" s="7" t="inlineStr"/>
      <c r="Q20" s="7" t="inlineStr">
        <is>
          <t>on the ring atom next to the reacting carbon (ortho)</t>
        </is>
      </c>
      <c r="R20" s="7" t="inlineStr">
        <is>
          <t>withdraws electrons: speeds nucleophilic attack at the ring carbon (SNAr, oxidative addition, metalation next to it), slows electrophilic substitution. At ortho the electronic effect is like para, and the group also crowds the carbon.</t>
        </is>
      </c>
      <c r="S20" s="7" t="inlineStr">
        <is>
          <t>carboxy (acid, ester) (σp +0.45): an acid or ester C=O withdraws electrons from the ring</t>
        </is>
      </c>
      <c r="T20" s="7" t="n">
        <v>0.45</v>
      </c>
      <c r="U20" s="10" t="n">
        <v>0.7</v>
      </c>
      <c r="V20" s="7" t="inlineStr">
        <is>
          <t>deprotection +1.71 (n=193; winner had it 74 % vs 44 % at random) · aryl halide +1.43 (n=987; winner had it 62 % vs 47 % at random) · carbonyl addition +1.41 (n=485; winner had it 92 % vs 46 % at random) · alkyl substitution +1.34 (n=322; winner had it 80 % vs 47 % at random) · arene ch -1.07 (n=843; winner had it 19 % vs 40 % at random) · n nucleophile +1.01 (n=63; winner had it 35 % vs 37 % at random)</t>
        </is>
      </c>
      <c r="W20" s="7" t="n">
        <v>3949</v>
      </c>
      <c r="X20" s="7" t="n">
        <v>2115</v>
      </c>
      <c r="Y20" s="9" t="n">
        <v>0.4973</v>
      </c>
      <c r="Z20" s="9" t="n">
        <v>0.4285</v>
      </c>
      <c r="AA20" s="7" t="n"/>
      <c r="AB20" s="7" t="n"/>
      <c r="AC20" s="7" t="n"/>
      <c r="AD20" s="7" t="n"/>
      <c r="AE20" s="7" t="inlineStr">
        <is>
          <t>learned from the training patents (tools/int_train.py)</t>
        </is>
      </c>
      <c r="AF20" s="7" t="inlineStr">
        <is>
          <t>Hansch, Leo, Taft, Chem. Rev. 91, 165 (1991); Clayden, Organic Chemistry (aromatic substitution)</t>
        </is>
      </c>
    </row>
    <row r="21">
      <c r="A21" s="7" t="inlineStr">
        <is>
          <t>I020</t>
        </is>
      </c>
      <c r="B21" s="7" t="inlineStr">
        <is>
          <t>ring-meta-carboxy</t>
        </is>
      </c>
      <c r="C21" s="7" t="inlineStr">
        <is>
          <t>carboxy (acid, ester), meta to the reacting aromatic carbon</t>
        </is>
      </c>
      <c r="D21" s="7" t="inlineStr">
        <is>
          <t>ring substituent (position)</t>
        </is>
      </c>
      <c r="E21" s="7" t="inlineStr">
        <is>
          <t>electronic</t>
        </is>
      </c>
      <c r="F21" s="7" t="inlineStr">
        <is>
          <t>aromatic C</t>
        </is>
      </c>
      <c r="G21" s="7" t="inlineStr">
        <is>
          <t>[c;$(c1:a:c(-[CX3;!900*](=O)[OX2]):a:a:a:1),$([c;r5]:[c;r5]:[c;r5]-[CX3;!900*](=O)[OX2])]</t>
        </is>
      </c>
      <c r="H21" s="7" t="inlineStr">
        <is>
          <t>[c]-[CX3](=O)[OX2]</t>
        </is>
      </c>
      <c r="I21" s="7" t="inlineStr"/>
      <c r="J21" s="7" t="inlineStr"/>
      <c r="K21" s="7" t="inlineStr"/>
      <c r="L21" s="7" t="inlineStr"/>
      <c r="M21" s="7" t="n"/>
      <c r="N21" s="7" t="inlineStr"/>
      <c r="O21" s="7" t="inlineStr">
        <is>
          <t>yes</t>
        </is>
      </c>
      <c r="P21" s="7" t="inlineStr"/>
      <c r="Q21" s="7" t="inlineStr">
        <is>
          <t>on the ring atom two bonds from the reacting carbon, inside the same six-membered ring (meta)</t>
        </is>
      </c>
      <c r="R21" s="7" t="inlineStr">
        <is>
          <t>withdraws electrons: speeds nucleophilic attack at the ring carbon (SNAr, oxidative addition, metalation next to it), slows electrophilic substitution. At meta mostly the inductive part acts; resonance does not reach this position.</t>
        </is>
      </c>
      <c r="S21" s="7" t="inlineStr">
        <is>
          <t>carboxy (acid, ester) (σm +0.37): an acid or ester C=O withdraws electrons from the ring</t>
        </is>
      </c>
      <c r="T21" s="7" t="n">
        <v>0.37</v>
      </c>
      <c r="U21" s="10" t="n">
        <v>0.66</v>
      </c>
      <c r="V21" s="7" t="inlineStr">
        <is>
          <t>o nucleophile +1.63 (n=66; winner had it 71 % vs 39 % at random) · n nucleophile +1.44 (n=53; winner had it 72 % vs 39 % at random) · unsaturated -1.36 (n=52; winner had it 4 % vs 50 % at random) · deprotection +1.31 (n=92; winner had it 62 % vs 41 % at random) · alkyl substitution +1.06 (n=131; winner had it 58 % vs 42 % at random) · carbonyl addition +0.93 (n=258; winner had it 86 % vs 47 % at random)</t>
        </is>
      </c>
      <c r="W21" s="7" t="n">
        <v>2815</v>
      </c>
      <c r="X21" s="7" t="n">
        <v>1630</v>
      </c>
      <c r="Y21" s="9" t="n">
        <v>0.5893</v>
      </c>
      <c r="Z21" s="9" t="n">
        <v>0.4107</v>
      </c>
      <c r="AA21" s="7" t="n"/>
      <c r="AB21" s="7" t="n"/>
      <c r="AC21" s="7" t="n"/>
      <c r="AD21" s="7" t="n"/>
      <c r="AE21" s="7" t="inlineStr">
        <is>
          <t>learned from the training patents (tools/int_train.py)</t>
        </is>
      </c>
      <c r="AF21" s="7" t="inlineStr">
        <is>
          <t>Hansch, Leo, Taft, Chem. Rev. 91, 165 (1991); Clayden, Organic Chemistry (aromatic substitution)</t>
        </is>
      </c>
    </row>
    <row r="22">
      <c r="A22" s="7" t="inlineStr">
        <is>
          <t>I021</t>
        </is>
      </c>
      <c r="B22" s="7" t="inlineStr">
        <is>
          <t>ring-para-carboxy</t>
        </is>
      </c>
      <c r="C22" s="7" t="inlineStr">
        <is>
          <t>carboxy (acid, ester), para to the reacting aromatic carbon</t>
        </is>
      </c>
      <c r="D22" s="7" t="inlineStr">
        <is>
          <t>ring substituent (position)</t>
        </is>
      </c>
      <c r="E22" s="7" t="inlineStr">
        <is>
          <t>electronic</t>
        </is>
      </c>
      <c r="F22" s="7" t="inlineStr">
        <is>
          <t>aromatic C</t>
        </is>
      </c>
      <c r="G22" s="7" t="inlineStr">
        <is>
          <t>[c;$(c1:a:a:c(-[CX3;!900*](=O)[OX2]):a:a:1),$([c;r5]:[c;r5]:[c;r5]:[c;r5]-[CX3;!900*](=O)[OX2])]</t>
        </is>
      </c>
      <c r="H22" s="7" t="inlineStr">
        <is>
          <t>[c]-[CX3](=O)[OX2]</t>
        </is>
      </c>
      <c r="I22" s="7" t="inlineStr"/>
      <c r="J22" s="7" t="inlineStr"/>
      <c r="K22" s="7" t="inlineStr"/>
      <c r="L22" s="7" t="inlineStr"/>
      <c r="M22" s="7" t="n"/>
      <c r="N22" s="7" t="inlineStr"/>
      <c r="O22" s="7" t="inlineStr">
        <is>
          <t>yes</t>
        </is>
      </c>
      <c r="P22" s="7" t="inlineStr"/>
      <c r="Q22" s="7" t="inlineStr">
        <is>
          <t>on the ring atom opposite the reacting carbon, inside the same six-membered ring (para)</t>
        </is>
      </c>
      <c r="R22" s="7" t="inlineStr">
        <is>
          <t>withdraws electrons: speeds nucleophilic attack at the ring carbon (SNAr, oxidative addition, metalation next to it), slows electrophilic substitution. At para induction and resonance both act.</t>
        </is>
      </c>
      <c r="S22" s="7" t="inlineStr">
        <is>
          <t>carboxy (acid, ester) (σp +0.45): an acid or ester C=O withdraws electrons from the ring</t>
        </is>
      </c>
      <c r="T22" s="7" t="n">
        <v>0.45</v>
      </c>
      <c r="U22" s="10" t="n">
        <v>0.77</v>
      </c>
      <c r="V22" s="7" t="inlineStr">
        <is>
          <t>alkyl substitution +1.56 (n=78; winner had it 64 % vs 41 % at random) · aryl halide +1.52 (n=667; winner had it 68 % vs 47 % at random) · o nucleophile +1.31 (n=52; winner had it 52 % vs 43 % at random) · deprotection +1.28 (n=68; winner had it 69 % vs 43 % at random) · acyl substitution +0.91 (n=384; winner had it 38 % vs 36 % at random) · arene ch -0.80 (n=364; winner had it 23 % vs 33 % at random)</t>
        </is>
      </c>
      <c r="W22" s="7" t="n">
        <v>1904</v>
      </c>
      <c r="X22" s="7" t="n">
        <v>1219</v>
      </c>
      <c r="Y22" s="9" t="n">
        <v>0.531</v>
      </c>
      <c r="Z22" s="9" t="n">
        <v>0.4112</v>
      </c>
      <c r="AA22" s="7" t="n"/>
      <c r="AB22" s="7" t="n"/>
      <c r="AC22" s="7" t="n"/>
      <c r="AD22" s="7" t="n"/>
      <c r="AE22" s="7" t="inlineStr">
        <is>
          <t>learned from the training patents (tools/int_train.py)</t>
        </is>
      </c>
      <c r="AF22" s="7" t="inlineStr">
        <is>
          <t>Hansch, Leo, Taft, Chem. Rev. 91, 165 (1991); Clayden, Organic Chemistry (aromatic substitution)</t>
        </is>
      </c>
    </row>
    <row r="23">
      <c r="A23" s="7" t="inlineStr">
        <is>
          <t>I022</t>
        </is>
      </c>
      <c r="B23" s="7" t="inlineStr">
        <is>
          <t>ring-ortho-carboxamide</t>
        </is>
      </c>
      <c r="C23" s="7" t="inlineStr">
        <is>
          <t>carboxamide, ortho to the reacting aromatic carbon</t>
        </is>
      </c>
      <c r="D23" s="7" t="inlineStr">
        <is>
          <t>ring substituent (position)</t>
        </is>
      </c>
      <c r="E23" s="7" t="inlineStr">
        <is>
          <t>electronic</t>
        </is>
      </c>
      <c r="F23" s="7" t="inlineStr">
        <is>
          <t>aromatic C</t>
        </is>
      </c>
      <c r="G23" s="7" t="inlineStr">
        <is>
          <t>[c;$(c:c-[CX3;!900*](=O)[NX3])]</t>
        </is>
      </c>
      <c r="H23" s="7" t="inlineStr">
        <is>
          <t>[c]-[CX3](=O)[NX3]</t>
        </is>
      </c>
      <c r="I23" s="7" t="inlineStr"/>
      <c r="J23" s="7" t="inlineStr"/>
      <c r="K23" s="7" t="inlineStr"/>
      <c r="L23" s="7" t="inlineStr"/>
      <c r="M23" s="7" t="n"/>
      <c r="N23" s="7" t="inlineStr"/>
      <c r="O23" s="7" t="inlineStr">
        <is>
          <t>yes</t>
        </is>
      </c>
      <c r="P23" s="7" t="inlineStr"/>
      <c r="Q23" s="7" t="inlineStr">
        <is>
          <t>on the ring atom next to the reacting carbon (ortho)</t>
        </is>
      </c>
      <c r="R23" s="7" t="inlineStr">
        <is>
          <t>withdraws electrons: speeds nucleophilic attack at the ring carbon (SNAr, oxidative addition, metalation next to it), slows electrophilic substitution. At ortho the electronic effect is like para, and the group also crowds the carbon.</t>
        </is>
      </c>
      <c r="S23" s="7" t="inlineStr">
        <is>
          <t>carboxamide (σp +0.36): the amide C=O withdraws, less than an ester does</t>
        </is>
      </c>
      <c r="T23" s="7" t="n">
        <v>0.36</v>
      </c>
      <c r="U23" s="10" t="n">
        <v>0.41</v>
      </c>
      <c r="V23" s="7" t="inlineStr">
        <is>
          <t>alkyl substitution +1.19 (n=73; winner had it 60 % vs 34 % at random) · carbonyl addition +0.94 (n=98; winner had it 45 % vs 32 % at random) · acyl substitution +0.59 (n=363; winner had it 28 % vs 30 % at random) · aryl halide +0.55 (n=502; winner had it 42 % vs 45 % at random) · arene ch +0.54 (n=252; winner had it 32 % vs 29 % at random) · o nucleophile -0.40 (n=41; winner had it 20 % vs 45 % at random)</t>
        </is>
      </c>
      <c r="W23" s="7" t="n">
        <v>1510</v>
      </c>
      <c r="X23" s="7" t="n">
        <v>728</v>
      </c>
      <c r="Y23" s="9" t="n">
        <v>0.3576</v>
      </c>
      <c r="Z23" s="9" t="n">
        <v>0.3505</v>
      </c>
      <c r="AA23" s="7" t="n"/>
      <c r="AB23" s="7" t="n"/>
      <c r="AC23" s="7" t="n"/>
      <c r="AD23" s="7" t="n"/>
      <c r="AE23" s="7" t="inlineStr">
        <is>
          <t>learned from the training patents (tools/int_train.py)</t>
        </is>
      </c>
      <c r="AF23" s="7" t="inlineStr">
        <is>
          <t>Hansch, Leo, Taft, Chem. Rev. 91, 165 (1991); Clayden, Organic Chemistry (aromatic substitution)</t>
        </is>
      </c>
    </row>
    <row r="24">
      <c r="A24" s="7" t="inlineStr">
        <is>
          <t>I023</t>
        </is>
      </c>
      <c r="B24" s="7" t="inlineStr">
        <is>
          <t>ring-meta-carboxamide</t>
        </is>
      </c>
      <c r="C24" s="7" t="inlineStr">
        <is>
          <t>carboxamide, meta to the reacting aromatic carbon</t>
        </is>
      </c>
      <c r="D24" s="7" t="inlineStr">
        <is>
          <t>ring substituent (position)</t>
        </is>
      </c>
      <c r="E24" s="7" t="inlineStr">
        <is>
          <t>electronic</t>
        </is>
      </c>
      <c r="F24" s="7" t="inlineStr">
        <is>
          <t>aromatic C</t>
        </is>
      </c>
      <c r="G24" s="7" t="inlineStr">
        <is>
          <t>[c;$(c1:a:c(-[CX3;!900*](=O)[NX3]):a:a:a:1),$([c;r5]:[c;r5]:[c;r5]-[CX3;!900*](=O)[NX3])]</t>
        </is>
      </c>
      <c r="H24" s="7" t="inlineStr">
        <is>
          <t>[c]-[CX3](=O)[NX3]</t>
        </is>
      </c>
      <c r="I24" s="7" t="inlineStr"/>
      <c r="J24" s="7" t="inlineStr"/>
      <c r="K24" s="7" t="inlineStr"/>
      <c r="L24" s="7" t="inlineStr"/>
      <c r="M24" s="7" t="n"/>
      <c r="N24" s="7" t="inlineStr"/>
      <c r="O24" s="7" t="inlineStr">
        <is>
          <t>yes</t>
        </is>
      </c>
      <c r="P24" s="7" t="inlineStr"/>
      <c r="Q24" s="7" t="inlineStr">
        <is>
          <t>on the ring atom two bonds from the reacting carbon, inside the same six-membered ring (meta)</t>
        </is>
      </c>
      <c r="R24" s="7" t="inlineStr">
        <is>
          <t>withdraws electrons: speeds nucleophilic attack at the ring carbon (SNAr, oxidative addition, metalation next to it), slows electrophilic substitution. At meta mostly the inductive part acts; resonance does not reach this position.</t>
        </is>
      </c>
      <c r="S24" s="7" t="inlineStr">
        <is>
          <t>carboxamide (σm +0.28): the amide C=O withdraws, less than an ester does</t>
        </is>
      </c>
      <c r="T24" s="7" t="n">
        <v>0.28</v>
      </c>
      <c r="U24" s="10" t="n">
        <v>0.19</v>
      </c>
      <c r="V24" s="7" t="inlineStr">
        <is>
          <t>carbonyl addition +0.96 (n=75; winner had it 33 % vs 27 % at random) · acyl substitution +0.89 (n=350; winner had it 45 % vs 30 % at random) · n nucleophile +0.48 (n=41; winner had it 41 % vs 26 % at random) · aryl halide -0.42 (n=320; winner had it 28 % vs 40 % at random) · other -0.30 (n=29; winner had it 14 % vs 23 % at random) · arene ch -0.12 (n=258; winner had it 38 % vs 34 % at random)</t>
        </is>
      </c>
      <c r="W24" s="7" t="n">
        <v>1238</v>
      </c>
      <c r="X24" s="7" t="n">
        <v>629</v>
      </c>
      <c r="Y24" s="9" t="n">
        <v>0.3667</v>
      </c>
      <c r="Z24" s="9" t="n">
        <v>0.3334</v>
      </c>
      <c r="AA24" s="7" t="n"/>
      <c r="AB24" s="7" t="n"/>
      <c r="AC24" s="7" t="n"/>
      <c r="AD24" s="7" t="n"/>
      <c r="AE24" s="7" t="inlineStr">
        <is>
          <t>learned from the training patents (tools/int_train.py)</t>
        </is>
      </c>
      <c r="AF24" s="7" t="inlineStr">
        <is>
          <t>Hansch, Leo, Taft, Chem. Rev. 91, 165 (1991); Clayden, Organic Chemistry (aromatic substitution)</t>
        </is>
      </c>
    </row>
    <row r="25">
      <c r="A25" s="7" t="inlineStr">
        <is>
          <t>I024</t>
        </is>
      </c>
      <c r="B25" s="7" t="inlineStr">
        <is>
          <t>ring-para-carboxamide</t>
        </is>
      </c>
      <c r="C25" s="7" t="inlineStr">
        <is>
          <t>carboxamide, para to the reacting aromatic carbon</t>
        </is>
      </c>
      <c r="D25" s="7" t="inlineStr">
        <is>
          <t>ring substituent (position)</t>
        </is>
      </c>
      <c r="E25" s="7" t="inlineStr">
        <is>
          <t>electronic</t>
        </is>
      </c>
      <c r="F25" s="7" t="inlineStr">
        <is>
          <t>aromatic C</t>
        </is>
      </c>
      <c r="G25" s="7" t="inlineStr">
        <is>
          <t>[c;$(c1:a:a:c(-[CX3;!900*](=O)[NX3]):a:a:1),$([c;r5]:[c;r5]:[c;r5]:[c;r5]-[CX3;!900*](=O)[NX3])]</t>
        </is>
      </c>
      <c r="H25" s="7" t="inlineStr">
        <is>
          <t>[c]-[CX3](=O)[NX3]</t>
        </is>
      </c>
      <c r="I25" s="7" t="inlineStr"/>
      <c r="J25" s="7" t="inlineStr"/>
      <c r="K25" s="7" t="inlineStr"/>
      <c r="L25" s="7" t="inlineStr"/>
      <c r="M25" s="7" t="n"/>
      <c r="N25" s="7" t="inlineStr"/>
      <c r="O25" s="7" t="inlineStr">
        <is>
          <t>yes</t>
        </is>
      </c>
      <c r="P25" s="7" t="inlineStr"/>
      <c r="Q25" s="7" t="inlineStr">
        <is>
          <t>on the ring atom opposite the reacting carbon, inside the same six-membered ring (para)</t>
        </is>
      </c>
      <c r="R25" s="7" t="inlineStr">
        <is>
          <t>withdraws electrons: speeds nucleophilic attack at the ring carbon (SNAr, oxidative addition, metalation next to it), slows electrophilic substitution. At para induction and resonance both act.</t>
        </is>
      </c>
      <c r="S25" s="7" t="inlineStr">
        <is>
          <t>carboxamide (σp +0.36): the amide C=O withdraws, less than an ester does</t>
        </is>
      </c>
      <c r="T25" s="7" t="n">
        <v>0.36</v>
      </c>
      <c r="U25" s="10" t="n">
        <v>0.35</v>
      </c>
      <c r="V25" s="7" t="inlineStr">
        <is>
          <t>carbonyl addition +1.29 (n=37; winner had it 65 % vs 38 % at random) · acyl substitution +1.03 (n=218; winner had it 40 % vs 28 % at random) · aryl halide +0.72 (n=455; winner had it 62 % vs 44 % at random) · arene ch -0.44 (n=167; winner had it 14 % vs 25 % at random)</t>
        </is>
      </c>
      <c r="W25" s="7" t="n">
        <v>1035</v>
      </c>
      <c r="X25" s="7" t="n">
        <v>519</v>
      </c>
      <c r="Y25" s="9" t="n">
        <v>0.4483</v>
      </c>
      <c r="Z25" s="9" t="n">
        <v>0.3561</v>
      </c>
      <c r="AA25" s="7" t="n"/>
      <c r="AB25" s="7" t="n"/>
      <c r="AC25" s="7" t="n"/>
      <c r="AD25" s="7" t="n"/>
      <c r="AE25" s="7" t="inlineStr">
        <is>
          <t>learned from the training patents (tools/int_train.py)</t>
        </is>
      </c>
      <c r="AF25" s="7" t="inlineStr">
        <is>
          <t>Hansch, Leo, Taft, Chem. Rev. 91, 165 (1991); Clayden, Organic Chemistry (aromatic substitution)</t>
        </is>
      </c>
    </row>
    <row r="26">
      <c r="A26" s="7" t="inlineStr">
        <is>
          <t>I025</t>
        </is>
      </c>
      <c r="B26" s="7" t="inlineStr">
        <is>
          <t>ring-ortho-ocf3</t>
        </is>
      </c>
      <c r="C26" s="7" t="inlineStr">
        <is>
          <t>trifluoromethoxy, ortho to the reacting aromatic carbon</t>
        </is>
      </c>
      <c r="D26" s="7" t="inlineStr">
        <is>
          <t>ring substituent (position)</t>
        </is>
      </c>
      <c r="E26" s="7" t="inlineStr">
        <is>
          <t>electronic</t>
        </is>
      </c>
      <c r="F26" s="7" t="inlineStr">
        <is>
          <t>aromatic C</t>
        </is>
      </c>
      <c r="G26" s="7" t="inlineStr">
        <is>
          <t>[c;$(c:c-[OX2;!900*]C(F)(F)F)]</t>
        </is>
      </c>
      <c r="H26" s="7" t="inlineStr">
        <is>
          <t>[c]-[OX2]C(F)(F)F</t>
        </is>
      </c>
      <c r="I26" s="7" t="inlineStr"/>
      <c r="J26" s="7" t="inlineStr"/>
      <c r="K26" s="7" t="inlineStr"/>
      <c r="L26" s="7" t="inlineStr"/>
      <c r="M26" s="7" t="n"/>
      <c r="N26" s="7" t="inlineStr"/>
      <c r="O26" s="7" t="inlineStr">
        <is>
          <t>yes</t>
        </is>
      </c>
      <c r="P26" s="7" t="inlineStr"/>
      <c r="Q26" s="7" t="inlineStr">
        <is>
          <t>on the ring atom next to the reacting carbon (ortho)</t>
        </is>
      </c>
      <c r="R26" s="7" t="inlineStr">
        <is>
          <t>withdraws electrons: speeds nucleophilic attack at the ring carbon (SNAr, oxidative addition, metalation next to it), slows electrophilic substitution. At ortho the electronic effect is like para, and the group also crowds the carbon.</t>
        </is>
      </c>
      <c r="S26" s="7" t="inlineStr">
        <is>
          <t>trifluoromethoxy (σp +0.35): withdraws by induction; the O lone pair is held back by the CF3</t>
        </is>
      </c>
      <c r="T26" s="7" t="n">
        <v>0.35</v>
      </c>
      <c r="U26" s="10" t="n">
        <v>0.31</v>
      </c>
      <c r="V26" s="7" t="inlineStr">
        <is>
          <t>arene ch -0.07 (n=59; winner had it 32 % vs 42 % at random)</t>
        </is>
      </c>
      <c r="W26" s="7" t="n">
        <v>133</v>
      </c>
      <c r="X26" s="7" t="n">
        <v>112</v>
      </c>
      <c r="Y26" s="9" t="n">
        <v>0.2632</v>
      </c>
      <c r="Z26" s="9" t="n">
        <v>0.4233</v>
      </c>
      <c r="AA26" s="7" t="n"/>
      <c r="AB26" s="7" t="n"/>
      <c r="AC26" s="7" t="n"/>
      <c r="AD26" s="7" t="n"/>
      <c r="AE26" s="7" t="inlineStr">
        <is>
          <t>learned from the training patents (tools/int_train.py)</t>
        </is>
      </c>
      <c r="AF26" s="7" t="inlineStr">
        <is>
          <t>Hansch, Leo, Taft, Chem. Rev. 91, 165 (1991); Clayden, Organic Chemistry (aromatic substitution)</t>
        </is>
      </c>
    </row>
    <row r="27">
      <c r="A27" s="7" t="inlineStr">
        <is>
          <t>I026</t>
        </is>
      </c>
      <c r="B27" s="7" t="inlineStr">
        <is>
          <t>ring-meta-ocf3</t>
        </is>
      </c>
      <c r="C27" s="7" t="inlineStr">
        <is>
          <t>trifluoromethoxy, meta to the reacting aromatic carbon</t>
        </is>
      </c>
      <c r="D27" s="7" t="inlineStr">
        <is>
          <t>ring substituent (position)</t>
        </is>
      </c>
      <c r="E27" s="7" t="inlineStr">
        <is>
          <t>electronic</t>
        </is>
      </c>
      <c r="F27" s="7" t="inlineStr">
        <is>
          <t>aromatic C</t>
        </is>
      </c>
      <c r="G27" s="7" t="inlineStr">
        <is>
          <t>[c;$(c1:a:c(-[OX2;!900*]C(F)(F)F):a:a:a:1),$([c;r5]:[c;r5]:[c;r5]-[OX2;!900*]C(F)(F)F)]</t>
        </is>
      </c>
      <c r="H27" s="7" t="inlineStr">
        <is>
          <t>[c]-[OX2]C(F)(F)F</t>
        </is>
      </c>
      <c r="I27" s="7" t="inlineStr"/>
      <c r="J27" s="7" t="inlineStr"/>
      <c r="K27" s="7" t="inlineStr"/>
      <c r="L27" s="7" t="inlineStr"/>
      <c r="M27" s="7" t="n"/>
      <c r="N27" s="7" t="inlineStr"/>
      <c r="O27" s="7" t="inlineStr">
        <is>
          <t>yes</t>
        </is>
      </c>
      <c r="P27" s="7" t="inlineStr"/>
      <c r="Q27" s="7" t="inlineStr">
        <is>
          <t>on the ring atom two bonds from the reacting carbon, inside the same six-membered ring (meta)</t>
        </is>
      </c>
      <c r="R27" s="7" t="inlineStr">
        <is>
          <t>withdraws electrons: speeds nucleophilic attack at the ring carbon (SNAr, oxidative addition, metalation next to it), slows electrophilic substitution. At meta mostly the inductive part acts; resonance does not reach this position.</t>
        </is>
      </c>
      <c r="S27" s="7" t="inlineStr">
        <is>
          <t>trifluoromethoxy (σm +0.38): withdraws by induction; the O lone pair is held back by the CF3</t>
        </is>
      </c>
      <c r="T27" s="7" t="n">
        <v>0.38</v>
      </c>
      <c r="U27" s="10" t="n">
        <v>0.38</v>
      </c>
      <c r="V27" s="7" t="inlineStr">
        <is>
          <t>acyl substitution +0.69 (n=33; winner had it 55 % vs 36 % at random) · arene ch -0.54 (n=58; winner had it 38 % vs 40 % at random)</t>
        </is>
      </c>
      <c r="W27" s="7" t="n">
        <v>118</v>
      </c>
      <c r="X27" s="7" t="n">
        <v>99</v>
      </c>
      <c r="Y27" s="9" t="n">
        <v>0.4576</v>
      </c>
      <c r="Z27" s="9" t="n">
        <v>0.3921</v>
      </c>
      <c r="AA27" s="7" t="n"/>
      <c r="AB27" s="7" t="n"/>
      <c r="AC27" s="7" t="n"/>
      <c r="AD27" s="7" t="n"/>
      <c r="AE27" s="7" t="inlineStr">
        <is>
          <t>learned from the training patents (tools/int_train.py)</t>
        </is>
      </c>
      <c r="AF27" s="7" t="inlineStr">
        <is>
          <t>Hansch, Leo, Taft, Chem. Rev. 91, 165 (1991); Clayden, Organic Chemistry (aromatic substitution)</t>
        </is>
      </c>
    </row>
    <row r="28">
      <c r="A28" s="7" t="inlineStr">
        <is>
          <t>I027</t>
        </is>
      </c>
      <c r="B28" s="7" t="inlineStr">
        <is>
          <t>ring-para-ocf3</t>
        </is>
      </c>
      <c r="C28" s="7" t="inlineStr">
        <is>
          <t>trifluoromethoxy, para to the reacting aromatic carbon</t>
        </is>
      </c>
      <c r="D28" s="7" t="inlineStr">
        <is>
          <t>ring substituent (position)</t>
        </is>
      </c>
      <c r="E28" s="7" t="inlineStr">
        <is>
          <t>electronic</t>
        </is>
      </c>
      <c r="F28" s="7" t="inlineStr">
        <is>
          <t>aromatic C</t>
        </is>
      </c>
      <c r="G28" s="7" t="inlineStr">
        <is>
          <t>[c;$(c1:a:a:c(-[OX2;!900*]C(F)(F)F):a:a:1),$([c;r5]:[c;r5]:[c;r5]:[c;r5]-[OX2;!900*]C(F)(F)F)]</t>
        </is>
      </c>
      <c r="H28" s="7" t="inlineStr">
        <is>
          <t>[c]-[OX2]C(F)(F)F</t>
        </is>
      </c>
      <c r="I28" s="7" t="inlineStr"/>
      <c r="J28" s="7" t="inlineStr"/>
      <c r="K28" s="7" t="inlineStr"/>
      <c r="L28" s="7" t="inlineStr"/>
      <c r="M28" s="7" t="n"/>
      <c r="N28" s="7" t="inlineStr"/>
      <c r="O28" s="7" t="inlineStr">
        <is>
          <t>yes</t>
        </is>
      </c>
      <c r="P28" s="7" t="inlineStr"/>
      <c r="Q28" s="7" t="inlineStr">
        <is>
          <t>on the ring atom opposite the reacting carbon, inside the same six-membered ring (para)</t>
        </is>
      </c>
      <c r="R28" s="7" t="inlineStr">
        <is>
          <t>withdraws electrons: speeds nucleophilic attack at the ring carbon (SNAr, oxidative addition, metalation next to it), slows electrophilic substitution. At para induction and resonance both act.</t>
        </is>
      </c>
      <c r="S28" s="7" t="inlineStr">
        <is>
          <t>trifluoromethoxy (σp +0.35): withdraws by induction; the O lone pair is held back by the CF3</t>
        </is>
      </c>
      <c r="T28" s="7" t="n">
        <v>0.35</v>
      </c>
      <c r="U28" s="10" t="n">
        <v>1.99</v>
      </c>
      <c r="V28" s="7" t="inlineStr">
        <is>
          <t>arene ch +1.34 (n=25; winner had it 48 % vs 28 % at random)</t>
        </is>
      </c>
      <c r="W28" s="7" t="n">
        <v>87</v>
      </c>
      <c r="X28" s="7" t="n">
        <v>74</v>
      </c>
      <c r="Y28" s="9" t="n">
        <v>0.6667</v>
      </c>
      <c r="Z28" s="9" t="n">
        <v>0.3721</v>
      </c>
      <c r="AA28" s="7" t="n"/>
      <c r="AB28" s="7" t="n"/>
      <c r="AC28" s="7" t="n"/>
      <c r="AD28" s="7" t="n"/>
      <c r="AE28" s="7" t="inlineStr">
        <is>
          <t>learned from the training patents (tools/int_train.py)</t>
        </is>
      </c>
      <c r="AF28" s="7" t="inlineStr">
        <is>
          <t>Hansch, Leo, Taft, Chem. Rev. 91, 165 (1991); Clayden, Organic Chemistry (aromatic substitution)</t>
        </is>
      </c>
    </row>
    <row r="29">
      <c r="A29" s="7" t="inlineStr">
        <is>
          <t>I028</t>
        </is>
      </c>
      <c r="B29" s="7" t="inlineStr">
        <is>
          <t>ring-ortho-osulfonyl</t>
        </is>
      </c>
      <c r="C29" s="7" t="inlineStr">
        <is>
          <t>sulfonyloxy (OMs, OTs), ortho to the reacting aromatic carbon</t>
        </is>
      </c>
      <c r="D29" s="7" t="inlineStr">
        <is>
          <t>ring substituent (position)</t>
        </is>
      </c>
      <c r="E29" s="7" t="inlineStr">
        <is>
          <t>electronic</t>
        </is>
      </c>
      <c r="F29" s="7" t="inlineStr">
        <is>
          <t>aromatic C</t>
        </is>
      </c>
      <c r="G29" s="7" t="inlineStr">
        <is>
          <t>[c;$(c:c-[OX2;!900*][SX4](=O)=O)]</t>
        </is>
      </c>
      <c r="H29" s="7" t="inlineStr">
        <is>
          <t>[c]-[OX2][SX4](=O)=O</t>
        </is>
      </c>
      <c r="I29" s="7" t="inlineStr"/>
      <c r="J29" s="7" t="inlineStr"/>
      <c r="K29" s="7" t="inlineStr"/>
      <c r="L29" s="7" t="inlineStr"/>
      <c r="M29" s="7" t="n"/>
      <c r="N29" s="7" t="inlineStr"/>
      <c r="O29" s="7" t="inlineStr">
        <is>
          <t>yes</t>
        </is>
      </c>
      <c r="P29" s="7" t="inlineStr"/>
      <c r="Q29" s="7" t="inlineStr">
        <is>
          <t>on the ring atom next to the reacting carbon (ortho)</t>
        </is>
      </c>
      <c r="R29" s="7" t="inlineStr">
        <is>
          <t>withdraws electrons: speeds nucleophilic attack at the ring carbon (SNAr, oxidative addition, metalation next to it), slows electrophilic substitution. At ortho the electronic effect is like para, and the group also crowds the carbon.</t>
        </is>
      </c>
      <c r="S29" s="7" t="inlineStr">
        <is>
          <t>sulfonyloxy (OMs, OTs) (σp +0.36): withdraws by induction; the O lone pair is held back by the sulfonyl group (triflate is stronger: σp 0.53)</t>
        </is>
      </c>
      <c r="T29" s="7" t="n">
        <v>0.36</v>
      </c>
      <c r="U29" s="10" t="n">
        <v>-0.59</v>
      </c>
      <c r="V29" s="7" t="inlineStr"/>
      <c r="W29" s="7" t="n">
        <v>35</v>
      </c>
      <c r="X29" s="7" t="n">
        <v>27</v>
      </c>
      <c r="Y29" s="9" t="n">
        <v>0.1429</v>
      </c>
      <c r="Z29" s="9" t="n">
        <v>0.3534</v>
      </c>
      <c r="AA29" s="7" t="n"/>
      <c r="AB29" s="7" t="n"/>
      <c r="AC29" s="7" t="n"/>
      <c r="AD29" s="7" t="n"/>
      <c r="AE29" s="7" t="inlineStr">
        <is>
          <t>learned from the training patents (tools/int_train.py)</t>
        </is>
      </c>
      <c r="AF29" s="7" t="inlineStr">
        <is>
          <t>Hansch, Leo, Taft, Chem. Rev. 91, 165 (1991); Clayden, Organic Chemistry (aromatic substitution)</t>
        </is>
      </c>
    </row>
    <row r="30">
      <c r="A30" s="7" t="inlineStr">
        <is>
          <t>I029</t>
        </is>
      </c>
      <c r="B30" s="7" t="inlineStr">
        <is>
          <t>ring-meta-osulfonyl</t>
        </is>
      </c>
      <c r="C30" s="7" t="inlineStr">
        <is>
          <t>sulfonyloxy (OMs, OTs), meta to the reacting aromatic carbon</t>
        </is>
      </c>
      <c r="D30" s="7" t="inlineStr">
        <is>
          <t>ring substituent (position)</t>
        </is>
      </c>
      <c r="E30" s="7" t="inlineStr">
        <is>
          <t>electronic</t>
        </is>
      </c>
      <c r="F30" s="7" t="inlineStr">
        <is>
          <t>aromatic C</t>
        </is>
      </c>
      <c r="G30" s="7" t="inlineStr">
        <is>
          <t>[c;$(c1:a:c(-[OX2;!900*][SX4](=O)=O):a:a:a:1),$([c;r5]:[c;r5]:[c;r5]-[OX2;!900*][SX4](=O)=O)]</t>
        </is>
      </c>
      <c r="H30" s="7" t="inlineStr">
        <is>
          <t>[c]-[OX2][SX4](=O)=O</t>
        </is>
      </c>
      <c r="I30" s="7" t="inlineStr"/>
      <c r="J30" s="7" t="inlineStr"/>
      <c r="K30" s="7" t="inlineStr"/>
      <c r="L30" s="7" t="inlineStr"/>
      <c r="M30" s="7" t="n"/>
      <c r="N30" s="7" t="inlineStr"/>
      <c r="O30" s="7" t="inlineStr">
        <is>
          <t>yes</t>
        </is>
      </c>
      <c r="P30" s="7" t="inlineStr"/>
      <c r="Q30" s="7" t="inlineStr">
        <is>
          <t>on the ring atom two bonds from the reacting carbon, inside the same six-membered ring (meta)</t>
        </is>
      </c>
      <c r="R30" s="7" t="inlineStr">
        <is>
          <t>withdraws electrons: speeds nucleophilic attack at the ring carbon (SNAr, oxidative addition, metalation next to it), slows electrophilic substitution. At meta mostly the inductive part acts; resonance does not reach this position.</t>
        </is>
      </c>
      <c r="S30" s="7" t="inlineStr">
        <is>
          <t>sulfonyloxy (OMs, OTs) (σm +0.39): withdraws by induction; the O lone pair is held back by the sulfonyl group (triflate is stronger: σp 0.53)</t>
        </is>
      </c>
      <c r="T30" s="7" t="n">
        <v>0.39</v>
      </c>
      <c r="U30" s="10" t="n">
        <v>-0.17</v>
      </c>
      <c r="V30" s="7" t="inlineStr"/>
      <c r="W30" s="7" t="n">
        <v>38</v>
      </c>
      <c r="X30" s="7" t="n">
        <v>29</v>
      </c>
      <c r="Y30" s="9" t="n">
        <v>0.3947</v>
      </c>
      <c r="Z30" s="9" t="n">
        <v>0.3384</v>
      </c>
      <c r="AA30" s="7" t="n"/>
      <c r="AB30" s="7" t="n"/>
      <c r="AC30" s="7" t="n"/>
      <c r="AD30" s="7" t="n"/>
      <c r="AE30" s="7" t="inlineStr">
        <is>
          <t>learned from the training patents (tools/int_train.py)</t>
        </is>
      </c>
      <c r="AF30" s="7" t="inlineStr">
        <is>
          <t>Hansch, Leo, Taft, Chem. Rev. 91, 165 (1991); Clayden, Organic Chemistry (aromatic substitution)</t>
        </is>
      </c>
    </row>
    <row r="31">
      <c r="A31" s="7" t="inlineStr">
        <is>
          <t>I030</t>
        </is>
      </c>
      <c r="B31" s="7" t="inlineStr">
        <is>
          <t>ring-para-osulfonyl</t>
        </is>
      </c>
      <c r="C31" s="7" t="inlineStr">
        <is>
          <t>sulfonyloxy (OMs, OTs), para to the reacting aromatic carbon</t>
        </is>
      </c>
      <c r="D31" s="7" t="inlineStr">
        <is>
          <t>ring substituent (position)</t>
        </is>
      </c>
      <c r="E31" s="7" t="inlineStr">
        <is>
          <t>electronic</t>
        </is>
      </c>
      <c r="F31" s="7" t="inlineStr">
        <is>
          <t>aromatic C</t>
        </is>
      </c>
      <c r="G31" s="7" t="inlineStr">
        <is>
          <t>[c;$(c1:a:a:c(-[OX2;!900*][SX4](=O)=O):a:a:1),$([c;r5]:[c;r5]:[c;r5]:[c;r5]-[OX2;!900*][SX4](=O)=O)]</t>
        </is>
      </c>
      <c r="H31" s="7" t="inlineStr">
        <is>
          <t>[c]-[OX2][SX4](=O)=O</t>
        </is>
      </c>
      <c r="I31" s="7" t="inlineStr"/>
      <c r="J31" s="7" t="inlineStr"/>
      <c r="K31" s="7" t="inlineStr"/>
      <c r="L31" s="7" t="inlineStr"/>
      <c r="M31" s="7" t="n"/>
      <c r="N31" s="7" t="inlineStr"/>
      <c r="O31" s="7" t="inlineStr">
        <is>
          <t>yes</t>
        </is>
      </c>
      <c r="P31" s="7" t="inlineStr"/>
      <c r="Q31" s="7" t="inlineStr">
        <is>
          <t>on the ring atom opposite the reacting carbon, inside the same six-membered ring (para)</t>
        </is>
      </c>
      <c r="R31" s="7" t="inlineStr">
        <is>
          <t>withdraws electrons: speeds nucleophilic attack at the ring carbon (SNAr, oxidative addition, metalation next to it), slows electrophilic substitution. At para induction and resonance both act.</t>
        </is>
      </c>
      <c r="S31" s="7" t="inlineStr">
        <is>
          <t>sulfonyloxy (OMs, OTs) (σp +0.36): withdraws by induction; the O lone pair is held back by the sulfonyl group (triflate is stronger: σp 0.53)</t>
        </is>
      </c>
      <c r="T31" s="7" t="n">
        <v>0.36</v>
      </c>
      <c r="U31" s="10" t="n">
        <v>0.71</v>
      </c>
      <c r="V31" s="7" t="inlineStr"/>
      <c r="W31" s="7" t="n">
        <v>13</v>
      </c>
      <c r="X31" s="7" t="n">
        <v>12</v>
      </c>
      <c r="Y31" s="9" t="n">
        <v>0.5385</v>
      </c>
      <c r="Z31" s="9" t="n">
        <v>0.3872</v>
      </c>
      <c r="AA31" s="7" t="n"/>
      <c r="AB31" s="7" t="n"/>
      <c r="AC31" s="7" t="n"/>
      <c r="AD31" s="7" t="n"/>
      <c r="AE31" s="7" t="inlineStr">
        <is>
          <t>too few contests in the recorded reactions to learn a weight (the weight is shrunk to about zero): the textbook effect is advisory</t>
        </is>
      </c>
      <c r="AF31" s="7" t="inlineStr">
        <is>
          <t>Hansch, Leo, Taft, Chem. Rev. 91, 165 (1991); Clayden, Organic Chemistry (aromatic substitution)</t>
        </is>
      </c>
    </row>
    <row r="32">
      <c r="A32" s="7" t="inlineStr">
        <is>
          <t>I031</t>
        </is>
      </c>
      <c r="B32" s="7" t="inlineStr">
        <is>
          <t>ring-ortho-fluoro</t>
        </is>
      </c>
      <c r="C32" s="7" t="inlineStr">
        <is>
          <t>fluoro, ortho to the reacting aromatic carbon</t>
        </is>
      </c>
      <c r="D32" s="7" t="inlineStr">
        <is>
          <t>ring substituent (position)</t>
        </is>
      </c>
      <c r="E32" s="7" t="inlineStr">
        <is>
          <t>electronic</t>
        </is>
      </c>
      <c r="F32" s="7" t="inlineStr">
        <is>
          <t>aromatic C</t>
        </is>
      </c>
      <c r="G32" s="7" t="inlineStr">
        <is>
          <t>[c;$(c:c-[F;!900*])]</t>
        </is>
      </c>
      <c r="H32" s="7" t="inlineStr">
        <is>
          <t>[c]-F</t>
        </is>
      </c>
      <c r="I32" s="7" t="inlineStr"/>
      <c r="J32" s="7" t="inlineStr"/>
      <c r="K32" s="7" t="inlineStr"/>
      <c r="L32" s="7" t="inlineStr"/>
      <c r="M32" s="7" t="n"/>
      <c r="N32" s="7" t="inlineStr"/>
      <c r="O32" s="7" t="inlineStr">
        <is>
          <t>yes</t>
        </is>
      </c>
      <c r="P32" s="7" t="inlineStr"/>
      <c r="Q32" s="7" t="inlineStr">
        <is>
          <t>on the ring atom next to the reacting carbon (ortho)</t>
        </is>
      </c>
      <c r="R32" s="7" t="inlineStr">
        <is>
          <t>withdraws by induction but donates by resonance: slows electrophilic substitution yet directs it ortho/para; speeds SNAr a little. At ortho the electronic effect is like para, and the group also crowds the carbon.</t>
        </is>
      </c>
      <c r="S32" s="7" t="inlineStr">
        <is>
          <t>fluoro (σp +0.06): strongly withdrawing by induction but a lone-pair donor: directs ortho/para in electrophilic substitution</t>
        </is>
      </c>
      <c r="T32" s="7" t="n">
        <v>0.06</v>
      </c>
      <c r="U32" s="10" t="n">
        <v>0.1</v>
      </c>
      <c r="V32" s="7" t="inlineStr">
        <is>
          <t>other +0.42 (n=59; winner had it 53 % vs 33 % at random) · o nucleophile +0.39 (n=103; winner had it 39 % vs 43 % at random) · carbonyl addition -0.19 (n=254; winner had it 46 % vs 39 % at random)</t>
        </is>
      </c>
      <c r="W32" s="7" t="n">
        <v>4045</v>
      </c>
      <c r="X32" s="7" t="n">
        <v>2256</v>
      </c>
      <c r="Y32" s="9" t="n">
        <v>0.4714</v>
      </c>
      <c r="Z32" s="9" t="n">
        <v>0.4162</v>
      </c>
      <c r="AA32" s="7" t="n"/>
      <c r="AB32" s="7" t="n"/>
      <c r="AC32" s="7" t="n"/>
      <c r="AD32" s="7" t="n"/>
      <c r="AE32" s="7" t="inlineStr">
        <is>
          <t>learned from the training patents (tools/int_train.py)</t>
        </is>
      </c>
      <c r="AF32" s="7" t="inlineStr">
        <is>
          <t>Hansch, Leo, Taft, Chem. Rev. 91, 165 (1991); Clayden, Organic Chemistry (aromatic substitution)</t>
        </is>
      </c>
    </row>
    <row r="33">
      <c r="A33" s="7" t="inlineStr">
        <is>
          <t>I032</t>
        </is>
      </c>
      <c r="B33" s="7" t="inlineStr">
        <is>
          <t>ring-meta-fluoro</t>
        </is>
      </c>
      <c r="C33" s="7" t="inlineStr">
        <is>
          <t>fluoro, meta to the reacting aromatic carbon</t>
        </is>
      </c>
      <c r="D33" s="7" t="inlineStr">
        <is>
          <t>ring substituent (position)</t>
        </is>
      </c>
      <c r="E33" s="7" t="inlineStr">
        <is>
          <t>electronic</t>
        </is>
      </c>
      <c r="F33" s="7" t="inlineStr">
        <is>
          <t>aromatic C</t>
        </is>
      </c>
      <c r="G33" s="7" t="inlineStr">
        <is>
          <t>[c;$(c1:a:c(-[F;!900*]):a:a:a:1),$([c;r5]:[c;r5]:[c;r5]-[F;!900*])]</t>
        </is>
      </c>
      <c r="H33" s="7" t="inlineStr">
        <is>
          <t>[c]-F</t>
        </is>
      </c>
      <c r="I33" s="7" t="inlineStr"/>
      <c r="J33" s="7" t="inlineStr"/>
      <c r="K33" s="7" t="inlineStr"/>
      <c r="L33" s="7" t="inlineStr"/>
      <c r="M33" s="7" t="n"/>
      <c r="N33" s="7" t="inlineStr"/>
      <c r="O33" s="7" t="inlineStr">
        <is>
          <t>yes</t>
        </is>
      </c>
      <c r="P33" s="7" t="inlineStr"/>
      <c r="Q33" s="7" t="inlineStr">
        <is>
          <t>on the ring atom two bonds from the reacting carbon, inside the same six-membered ring (meta)</t>
        </is>
      </c>
      <c r="R33" s="7" t="inlineStr">
        <is>
          <t>withdraws by induction but donates by resonance: slows electrophilic substitution yet directs it ortho/para; speeds SNAr a little. At meta mostly the inductive part acts; resonance does not reach this position.</t>
        </is>
      </c>
      <c r="S33" s="7" t="inlineStr">
        <is>
          <t>fluoro (σm +0.34): strongly withdrawing by induction but a lone-pair donor: directs ortho/para in electrophilic substitution</t>
        </is>
      </c>
      <c r="T33" s="7" t="n">
        <v>0.34</v>
      </c>
      <c r="U33" s="10" t="n">
        <v>-0.51</v>
      </c>
      <c r="V33" s="7" t="inlineStr">
        <is>
          <t>aryl halide -1.41 (n=1040; winner had it 28 % vs 56 % at random) · deprotection -1.13 (n=91; winner had it 14 % vs 35 % at random) · carbonyl addition -1.05 (n=172; winner had it 12 % vs 34 % at random) · acyl substitution -1.01 (n=958; winner had it 22 % vs 32 % at random) · arene ch -0.78 (n=1055; winner had it 25 % vs 36 % at random) · o nucleophile +0.57 (n=84; winner had it 62 % vs 47 % at random)</t>
        </is>
      </c>
      <c r="W33" s="7" t="n">
        <v>3760</v>
      </c>
      <c r="X33" s="7" t="n">
        <v>2033</v>
      </c>
      <c r="Y33" s="9" t="n">
        <v>0.2625</v>
      </c>
      <c r="Z33" s="9" t="n">
        <v>0.4055</v>
      </c>
      <c r="AA33" s="7" t="n"/>
      <c r="AB33" s="7" t="n"/>
      <c r="AC33" s="7" t="n"/>
      <c r="AD33" s="7" t="n"/>
      <c r="AE33" s="7" t="inlineStr">
        <is>
          <t>learned from the training patents (tools/int_train.py)</t>
        </is>
      </c>
      <c r="AF33" s="7" t="inlineStr">
        <is>
          <t>Hansch, Leo, Taft, Chem. Rev. 91, 165 (1991); Clayden, Organic Chemistry (aromatic substitution)</t>
        </is>
      </c>
    </row>
    <row r="34">
      <c r="A34" s="7" t="inlineStr">
        <is>
          <t>I033</t>
        </is>
      </c>
      <c r="B34" s="7" t="inlineStr">
        <is>
          <t>ring-para-fluoro</t>
        </is>
      </c>
      <c r="C34" s="7" t="inlineStr">
        <is>
          <t>fluoro, para to the reacting aromatic carbon</t>
        </is>
      </c>
      <c r="D34" s="7" t="inlineStr">
        <is>
          <t>ring substituent (position)</t>
        </is>
      </c>
      <c r="E34" s="7" t="inlineStr">
        <is>
          <t>electronic</t>
        </is>
      </c>
      <c r="F34" s="7" t="inlineStr">
        <is>
          <t>aromatic C</t>
        </is>
      </c>
      <c r="G34" s="7" t="inlineStr">
        <is>
          <t>[c;$(c1:a:a:c(-[F;!900*]):a:a:1),$([c;r5]:[c;r5]:[c;r5]:[c;r5]-[F;!900*])]</t>
        </is>
      </c>
      <c r="H34" s="7" t="inlineStr">
        <is>
          <t>[c]-F</t>
        </is>
      </c>
      <c r="I34" s="7" t="inlineStr"/>
      <c r="J34" s="7" t="inlineStr"/>
      <c r="K34" s="7" t="inlineStr"/>
      <c r="L34" s="7" t="inlineStr"/>
      <c r="M34" s="7" t="n"/>
      <c r="N34" s="7" t="inlineStr"/>
      <c r="O34" s="7" t="inlineStr">
        <is>
          <t>yes</t>
        </is>
      </c>
      <c r="P34" s="7" t="inlineStr"/>
      <c r="Q34" s="7" t="inlineStr">
        <is>
          <t>on the ring atom opposite the reacting carbon, inside the same six-membered ring (para)</t>
        </is>
      </c>
      <c r="R34" s="7" t="inlineStr">
        <is>
          <t>withdraws by induction but donates by resonance: slows electrophilic substitution yet directs it ortho/para; speeds SNAr a little. At para induction and resonance both act.</t>
        </is>
      </c>
      <c r="S34" s="7" t="inlineStr">
        <is>
          <t>fluoro (σp +0.06): strongly withdrawing by induction but a lone-pair donor: directs ortho/para in electrophilic substitution</t>
        </is>
      </c>
      <c r="T34" s="7" t="n">
        <v>0.06</v>
      </c>
      <c r="U34" s="10" t="n">
        <v>-0.11</v>
      </c>
      <c r="V34" s="7" t="inlineStr">
        <is>
          <t>aryl halide -0.99 (n=718; winner had it 27 % vs 52 % at random) · arene ch +0.84 (n=713; winner had it 38 % vs 33 % at random) · carbonyl addition -0.64 (n=136; winner had it 24 % vs 39 % at random) · acyl substitution +0.35 (n=679; winner had it 27 % vs 31 % at random) · alkyl substitution +0.17 (n=108; winner had it 29 % vs 36 % at random)</t>
        </is>
      </c>
      <c r="W34" s="7" t="n">
        <v>2688</v>
      </c>
      <c r="X34" s="7" t="n">
        <v>1675</v>
      </c>
      <c r="Y34" s="9" t="n">
        <v>0.3062</v>
      </c>
      <c r="Z34" s="9" t="n">
        <v>0.3869</v>
      </c>
      <c r="AA34" s="7" t="n"/>
      <c r="AB34" s="7" t="n"/>
      <c r="AC34" s="7" t="n"/>
      <c r="AD34" s="7" t="n"/>
      <c r="AE34" s="7" t="inlineStr">
        <is>
          <t>learned from the training patents (tools/int_train.py)</t>
        </is>
      </c>
      <c r="AF34" s="7" t="inlineStr">
        <is>
          <t>Hansch, Leo, Taft, Chem. Rev. 91, 165 (1991); Clayden, Organic Chemistry (aromatic substitution)</t>
        </is>
      </c>
    </row>
    <row r="35">
      <c r="A35" s="7" t="inlineStr">
        <is>
          <t>I034</t>
        </is>
      </c>
      <c r="B35" s="7" t="inlineStr">
        <is>
          <t>ring-ortho-chloro</t>
        </is>
      </c>
      <c r="C35" s="7" t="inlineStr">
        <is>
          <t>chloro, ortho to the reacting aromatic carbon</t>
        </is>
      </c>
      <c r="D35" s="7" t="inlineStr">
        <is>
          <t>ring substituent (position)</t>
        </is>
      </c>
      <c r="E35" s="7" t="inlineStr">
        <is>
          <t>electronic</t>
        </is>
      </c>
      <c r="F35" s="7" t="inlineStr">
        <is>
          <t>aromatic C</t>
        </is>
      </c>
      <c r="G35" s="7" t="inlineStr">
        <is>
          <t>[c;$(c:c-[Cl;!900*])]</t>
        </is>
      </c>
      <c r="H35" s="7" t="inlineStr">
        <is>
          <t>[c]-Cl</t>
        </is>
      </c>
      <c r="I35" s="7" t="inlineStr"/>
      <c r="J35" s="7" t="inlineStr"/>
      <c r="K35" s="7" t="inlineStr"/>
      <c r="L35" s="7" t="inlineStr"/>
      <c r="M35" s="7" t="n"/>
      <c r="N35" s="7" t="inlineStr"/>
      <c r="O35" s="7" t="inlineStr">
        <is>
          <t>yes</t>
        </is>
      </c>
      <c r="P35" s="7" t="inlineStr"/>
      <c r="Q35" s="7" t="inlineStr">
        <is>
          <t>on the ring atom next to the reacting carbon (ortho)</t>
        </is>
      </c>
      <c r="R35" s="7" t="inlineStr">
        <is>
          <t>withdraws by induction but donates by resonance: slows electrophilic substitution yet directs it ortho/para; speeds SNAr a little. At ortho the electronic effect is like para, and the group also crowds the carbon.</t>
        </is>
      </c>
      <c r="S35" s="7" t="inlineStr">
        <is>
          <t>chloro (σp +0.23): withdrawing by induction, a weak lone-pair donor: deactivates but directs ortho/para</t>
        </is>
      </c>
      <c r="T35" s="7" t="n">
        <v>0.23</v>
      </c>
      <c r="U35" s="10" t="n">
        <v>-0.36</v>
      </c>
      <c r="V35" s="7" t="inlineStr">
        <is>
          <t>redox other -0.75 (n=32; winner had it 41 % vs 44 % at random) · carbonyl addition -0.59 (n=233; winner had it 25 % vs 41 % at random) · aryl halide +0.33 (n=1180; winner had it 60 % vs 52 % at random) · other -0.07 (n=47; winner had it 43 % vs 32 % at random)</t>
        </is>
      </c>
      <c r="W35" s="7" t="n">
        <v>3964</v>
      </c>
      <c r="X35" s="7" t="n">
        <v>2250</v>
      </c>
      <c r="Y35" s="9" t="n">
        <v>0.3779</v>
      </c>
      <c r="Z35" s="9" t="n">
        <v>0.4227</v>
      </c>
      <c r="AA35" s="7" t="n"/>
      <c r="AB35" s="7" t="n"/>
      <c r="AC35" s="7" t="n"/>
      <c r="AD35" s="7" t="n"/>
      <c r="AE35" s="7" t="inlineStr">
        <is>
          <t>learned from the training patents (tools/int_train.py)</t>
        </is>
      </c>
      <c r="AF35" s="7" t="inlineStr">
        <is>
          <t>Hansch, Leo, Taft, Chem. Rev. 91, 165 (1991); Clayden, Organic Chemistry (aromatic substitution)</t>
        </is>
      </c>
    </row>
    <row r="36">
      <c r="A36" s="7" t="inlineStr">
        <is>
          <t>I035</t>
        </is>
      </c>
      <c r="B36" s="7" t="inlineStr">
        <is>
          <t>ring-meta-chloro</t>
        </is>
      </c>
      <c r="C36" s="7" t="inlineStr">
        <is>
          <t>chloro, meta to the reacting aromatic carbon</t>
        </is>
      </c>
      <c r="D36" s="7" t="inlineStr">
        <is>
          <t>ring substituent (position)</t>
        </is>
      </c>
      <c r="E36" s="7" t="inlineStr">
        <is>
          <t>electronic</t>
        </is>
      </c>
      <c r="F36" s="7" t="inlineStr">
        <is>
          <t>aromatic C</t>
        </is>
      </c>
      <c r="G36" s="7" t="inlineStr">
        <is>
          <t>[c;$(c1:a:c(-[Cl;!900*]):a:a:a:1),$([c;r5]:[c;r5]:[c;r5]-[Cl;!900*])]</t>
        </is>
      </c>
      <c r="H36" s="7" t="inlineStr">
        <is>
          <t>[c]-Cl</t>
        </is>
      </c>
      <c r="I36" s="7" t="inlineStr"/>
      <c r="J36" s="7" t="inlineStr"/>
      <c r="K36" s="7" t="inlineStr"/>
      <c r="L36" s="7" t="inlineStr"/>
      <c r="M36" s="7" t="n"/>
      <c r="N36" s="7" t="inlineStr"/>
      <c r="O36" s="7" t="inlineStr">
        <is>
          <t>yes</t>
        </is>
      </c>
      <c r="P36" s="7" t="inlineStr"/>
      <c r="Q36" s="7" t="inlineStr">
        <is>
          <t>on the ring atom two bonds from the reacting carbon, inside the same six-membered ring (meta)</t>
        </is>
      </c>
      <c r="R36" s="7" t="inlineStr">
        <is>
          <t>withdraws by induction but donates by resonance: slows electrophilic substitution yet directs it ortho/para; speeds SNAr a little. At meta mostly the inductive part acts; resonance does not reach this position.</t>
        </is>
      </c>
      <c r="S36" s="7" t="inlineStr">
        <is>
          <t>chloro (σm +0.37): withdrawing by induction, a weak lone-pair donor: deactivates but directs ortho/para</t>
        </is>
      </c>
      <c r="T36" s="7" t="n">
        <v>0.37</v>
      </c>
      <c r="U36" s="10" t="n">
        <v>-0.46</v>
      </c>
      <c r="V36" s="7" t="inlineStr">
        <is>
          <t>o nucleophile -1.11 (n=69; winner had it 19 % vs 37 % at random) · carbonyl addition -0.86 (n=201; winner had it 35 % vs 33 % at random) · deprotection -0.72 (n=81; winner had it 27 % vs 35 % at random) · acyl substitution -0.71 (n=886; winner had it 24 % vs 32 % at random) · arene ch -0.51 (n=1014; winner had it 30 % vs 34 % at random) · redox other -0.09 (n=26; winner had it 46 % vs 36 % at random)</t>
        </is>
      </c>
      <c r="W36" s="7" t="n">
        <v>3670</v>
      </c>
      <c r="X36" s="7" t="n">
        <v>2153</v>
      </c>
      <c r="Y36" s="9" t="n">
        <v>0.3428</v>
      </c>
      <c r="Z36" s="9" t="n">
        <v>0.3934</v>
      </c>
      <c r="AA36" s="7" t="n"/>
      <c r="AB36" s="7" t="n"/>
      <c r="AC36" s="7" t="n"/>
      <c r="AD36" s="7" t="n"/>
      <c r="AE36" s="7" t="inlineStr">
        <is>
          <t>learned from the training patents (tools/int_train.py)</t>
        </is>
      </c>
      <c r="AF36" s="7" t="inlineStr">
        <is>
          <t>Hansch, Leo, Taft, Chem. Rev. 91, 165 (1991); Clayden, Organic Chemistry (aromatic substitution)</t>
        </is>
      </c>
    </row>
    <row r="37">
      <c r="A37" s="7" t="inlineStr">
        <is>
          <t>I036</t>
        </is>
      </c>
      <c r="B37" s="7" t="inlineStr">
        <is>
          <t>ring-para-chloro</t>
        </is>
      </c>
      <c r="C37" s="7" t="inlineStr">
        <is>
          <t>chloro, para to the reacting aromatic carbon</t>
        </is>
      </c>
      <c r="D37" s="7" t="inlineStr">
        <is>
          <t>ring substituent (position)</t>
        </is>
      </c>
      <c r="E37" s="7" t="inlineStr">
        <is>
          <t>electronic</t>
        </is>
      </c>
      <c r="F37" s="7" t="inlineStr">
        <is>
          <t>aromatic C</t>
        </is>
      </c>
      <c r="G37" s="7" t="inlineStr">
        <is>
          <t>[c;$(c1:a:a:c(-[Cl;!900*]):a:a:1),$([c;r5]:[c;r5]:[c;r5]:[c;r5]-[Cl;!900*])]</t>
        </is>
      </c>
      <c r="H37" s="7" t="inlineStr">
        <is>
          <t>[c]-Cl</t>
        </is>
      </c>
      <c r="I37" s="7" t="inlineStr"/>
      <c r="J37" s="7" t="inlineStr"/>
      <c r="K37" s="7" t="inlineStr"/>
      <c r="L37" s="7" t="inlineStr"/>
      <c r="M37" s="7" t="n"/>
      <c r="N37" s="7" t="inlineStr"/>
      <c r="O37" s="7" t="inlineStr">
        <is>
          <t>yes</t>
        </is>
      </c>
      <c r="P37" s="7" t="inlineStr"/>
      <c r="Q37" s="7" t="inlineStr">
        <is>
          <t>on the ring atom opposite the reacting carbon, inside the same six-membered ring (para)</t>
        </is>
      </c>
      <c r="R37" s="7" t="inlineStr">
        <is>
          <t>withdraws by induction but donates by resonance: slows electrophilic substitution yet directs it ortho/para; speeds SNAr a little. At para induction and resonance both act.</t>
        </is>
      </c>
      <c r="S37" s="7" t="inlineStr">
        <is>
          <t>chloro (σp +0.23): withdrawing by induction, a weak lone-pair donor: deactivates but directs ortho/para</t>
        </is>
      </c>
      <c r="T37" s="7" t="n">
        <v>0.23</v>
      </c>
      <c r="U37" s="10" t="n">
        <v>0.17</v>
      </c>
      <c r="V37" s="7" t="inlineStr">
        <is>
          <t>redox other -0.63 (n=33; winner had it 21 % vs 44 % at random) · alkyl substitution +0.54 (n=88; winner had it 43 % vs 37 % at random) · arene ch +0.48 (n=562; winner had it 34 % vs 31 % at random) · aryl halide -0.33 (n=776; winner had it 35 % vs 55 % at random)</t>
        </is>
      </c>
      <c r="W37" s="7" t="n">
        <v>2431</v>
      </c>
      <c r="X37" s="7" t="n">
        <v>1478</v>
      </c>
      <c r="Y37" s="9" t="n">
        <v>0.3447</v>
      </c>
      <c r="Z37" s="9" t="n">
        <v>0.3992</v>
      </c>
      <c r="AA37" s="7" t="n"/>
      <c r="AB37" s="7" t="n"/>
      <c r="AC37" s="7" t="n"/>
      <c r="AD37" s="7" t="n"/>
      <c r="AE37" s="7" t="inlineStr">
        <is>
          <t>learned from the training patents (tools/int_train.py)</t>
        </is>
      </c>
      <c r="AF37" s="7" t="inlineStr">
        <is>
          <t>Hansch, Leo, Taft, Chem. Rev. 91, 165 (1991); Clayden, Organic Chemistry (aromatic substitution)</t>
        </is>
      </c>
    </row>
    <row r="38">
      <c r="A38" s="7" t="inlineStr">
        <is>
          <t>I037</t>
        </is>
      </c>
      <c r="B38" s="7" t="inlineStr">
        <is>
          <t>ring-ortho-bromo</t>
        </is>
      </c>
      <c r="C38" s="7" t="inlineStr">
        <is>
          <t>bromo, ortho to the reacting aromatic carbon</t>
        </is>
      </c>
      <c r="D38" s="7" t="inlineStr">
        <is>
          <t>ring substituent (position)</t>
        </is>
      </c>
      <c r="E38" s="7" t="inlineStr">
        <is>
          <t>electronic</t>
        </is>
      </c>
      <c r="F38" s="7" t="inlineStr">
        <is>
          <t>aromatic C</t>
        </is>
      </c>
      <c r="G38" s="7" t="inlineStr">
        <is>
          <t>[c;$(c:c-[Br;!900*])]</t>
        </is>
      </c>
      <c r="H38" s="7" t="inlineStr">
        <is>
          <t>[c]-Br</t>
        </is>
      </c>
      <c r="I38" s="7" t="inlineStr"/>
      <c r="J38" s="7" t="inlineStr"/>
      <c r="K38" s="7" t="inlineStr"/>
      <c r="L38" s="7" t="inlineStr"/>
      <c r="M38" s="7" t="n"/>
      <c r="N38" s="7" t="inlineStr"/>
      <c r="O38" s="7" t="inlineStr">
        <is>
          <t>yes</t>
        </is>
      </c>
      <c r="P38" s="7" t="inlineStr"/>
      <c r="Q38" s="7" t="inlineStr">
        <is>
          <t>on the ring atom next to the reacting carbon (ortho)</t>
        </is>
      </c>
      <c r="R38" s="7" t="inlineStr">
        <is>
          <t>withdraws by induction but donates by resonance: slows electrophilic substitution yet directs it ortho/para; speeds SNAr a little. At ortho the electronic effect is like para, and the group also crowds the carbon.</t>
        </is>
      </c>
      <c r="S38" s="7" t="inlineStr">
        <is>
          <t>bromo (σp +0.23): withdrawing by induction, a weak lone-pair donor: deactivates but directs ortho/para</t>
        </is>
      </c>
      <c r="T38" s="7" t="n">
        <v>0.23</v>
      </c>
      <c r="U38" s="10" t="n">
        <v>-0.25</v>
      </c>
      <c r="V38" s="7" t="inlineStr">
        <is>
          <t>acyl substitution -0.96 (n=421; winner had it 22 % vs 41 % at random) · aryl halide +0.68 (n=358; winner had it 59 % vs 48 % at random) · arene ch -0.67 (n=493; winner had it 27 % vs 43 % at random) · n nucleophile +0.29 (n=53; winner had it 47 % vs 45 % at random)</t>
        </is>
      </c>
      <c r="W38" s="7" t="n">
        <v>1694</v>
      </c>
      <c r="X38" s="7" t="n">
        <v>1201</v>
      </c>
      <c r="Y38" s="9" t="n">
        <v>0.3241</v>
      </c>
      <c r="Z38" s="9" t="n">
        <v>0.4355</v>
      </c>
      <c r="AA38" s="7" t="n"/>
      <c r="AB38" s="7" t="n"/>
      <c r="AC38" s="7" t="n"/>
      <c r="AD38" s="7" t="n"/>
      <c r="AE38" s="7" t="inlineStr">
        <is>
          <t>learned from the training patents (tools/int_train.py)</t>
        </is>
      </c>
      <c r="AF38" s="7" t="inlineStr">
        <is>
          <t>Hansch, Leo, Taft, Chem. Rev. 91, 165 (1991); Clayden, Organic Chemistry (aromatic substitution)</t>
        </is>
      </c>
    </row>
    <row r="39">
      <c r="A39" s="7" t="inlineStr">
        <is>
          <t>I038</t>
        </is>
      </c>
      <c r="B39" s="7" t="inlineStr">
        <is>
          <t>ring-meta-bromo</t>
        </is>
      </c>
      <c r="C39" s="7" t="inlineStr">
        <is>
          <t>bromo, meta to the reacting aromatic carbon</t>
        </is>
      </c>
      <c r="D39" s="7" t="inlineStr">
        <is>
          <t>ring substituent (position)</t>
        </is>
      </c>
      <c r="E39" s="7" t="inlineStr">
        <is>
          <t>electronic</t>
        </is>
      </c>
      <c r="F39" s="7" t="inlineStr">
        <is>
          <t>aromatic C</t>
        </is>
      </c>
      <c r="G39" s="7" t="inlineStr">
        <is>
          <t>[c;$(c1:a:c(-[Br;!900*]):a:a:a:1),$([c;r5]:[c;r5]:[c;r5]-[Br;!900*])]</t>
        </is>
      </c>
      <c r="H39" s="7" t="inlineStr">
        <is>
          <t>[c]-Br</t>
        </is>
      </c>
      <c r="I39" s="7" t="inlineStr"/>
      <c r="J39" s="7" t="inlineStr"/>
      <c r="K39" s="7" t="inlineStr"/>
      <c r="L39" s="7" t="inlineStr"/>
      <c r="M39" s="7" t="n"/>
      <c r="N39" s="7" t="inlineStr"/>
      <c r="O39" s="7" t="inlineStr">
        <is>
          <t>yes</t>
        </is>
      </c>
      <c r="P39" s="7" t="inlineStr"/>
      <c r="Q39" s="7" t="inlineStr">
        <is>
          <t>on the ring atom two bonds from the reacting carbon, inside the same six-membered ring (meta)</t>
        </is>
      </c>
      <c r="R39" s="7" t="inlineStr">
        <is>
          <t>withdraws by induction but donates by resonance: slows electrophilic substitution yet directs it ortho/para; speeds SNAr a little. At meta mostly the inductive part acts; resonance does not reach this position.</t>
        </is>
      </c>
      <c r="S39" s="7" t="inlineStr">
        <is>
          <t>bromo (σm +0.39): withdrawing by induction, a weak lone-pair donor: deactivates but directs ortho/para</t>
        </is>
      </c>
      <c r="T39" s="7" t="n">
        <v>0.39</v>
      </c>
      <c r="U39" s="10" t="n">
        <v>0.11</v>
      </c>
      <c r="V39" s="7" t="inlineStr">
        <is>
          <t>carbonyl addition +0.65 (n=92; winner had it 39 % vs 39 % at random) · acyl substitution -0.56 (n=375; winner had it 36 % vs 34 % at random) · aryl halide +0.46 (n=212; winner had it 42 % vs 43 % at random) · arene ch -0.44 (n=454; winner had it 43 % vs 37 % at random) · n nucleophile +0.39 (n=58; winner had it 28 % vs 41 % at random) · alkyl substitution +0.37 (n=54; winner had it 44 % vs 39 % at random)</t>
        </is>
      </c>
      <c r="W39" s="7" t="n">
        <v>1382</v>
      </c>
      <c r="X39" s="7" t="n">
        <v>1007</v>
      </c>
      <c r="Y39" s="9" t="n">
        <v>0.4059</v>
      </c>
      <c r="Z39" s="9" t="n">
        <v>0.378</v>
      </c>
      <c r="AA39" s="7" t="n"/>
      <c r="AB39" s="7" t="n"/>
      <c r="AC39" s="7" t="n"/>
      <c r="AD39" s="7" t="n"/>
      <c r="AE39" s="7" t="inlineStr">
        <is>
          <t>learned from the training patents (tools/int_train.py)</t>
        </is>
      </c>
      <c r="AF39" s="7" t="inlineStr">
        <is>
          <t>Hansch, Leo, Taft, Chem. Rev. 91, 165 (1991); Clayden, Organic Chemistry (aromatic substitution)</t>
        </is>
      </c>
    </row>
    <row r="40">
      <c r="A40" s="7" t="inlineStr">
        <is>
          <t>I039</t>
        </is>
      </c>
      <c r="B40" s="7" t="inlineStr">
        <is>
          <t>ring-para-bromo</t>
        </is>
      </c>
      <c r="C40" s="7" t="inlineStr">
        <is>
          <t>bromo, para to the reacting aromatic carbon</t>
        </is>
      </c>
      <c r="D40" s="7" t="inlineStr">
        <is>
          <t>ring substituent (position)</t>
        </is>
      </c>
      <c r="E40" s="7" t="inlineStr">
        <is>
          <t>electronic</t>
        </is>
      </c>
      <c r="F40" s="7" t="inlineStr">
        <is>
          <t>aromatic C</t>
        </is>
      </c>
      <c r="G40" s="7" t="inlineStr">
        <is>
          <t>[c;$(c1:a:a:c(-[Br;!900*]):a:a:1),$([c;r5]:[c;r5]:[c;r5]:[c;r5]-[Br;!900*])]</t>
        </is>
      </c>
      <c r="H40" s="7" t="inlineStr">
        <is>
          <t>[c]-Br</t>
        </is>
      </c>
      <c r="I40" s="7" t="inlineStr"/>
      <c r="J40" s="7" t="inlineStr"/>
      <c r="K40" s="7" t="inlineStr"/>
      <c r="L40" s="7" t="inlineStr"/>
      <c r="M40" s="7" t="n"/>
      <c r="N40" s="7" t="inlineStr"/>
      <c r="O40" s="7" t="inlineStr">
        <is>
          <t>yes</t>
        </is>
      </c>
      <c r="P40" s="7" t="inlineStr"/>
      <c r="Q40" s="7" t="inlineStr">
        <is>
          <t>on the ring atom opposite the reacting carbon, inside the same six-membered ring (para)</t>
        </is>
      </c>
      <c r="R40" s="7" t="inlineStr">
        <is>
          <t>withdraws by induction but donates by resonance: slows electrophilic substitution yet directs it ortho/para; speeds SNAr a little. At para induction and resonance both act.</t>
        </is>
      </c>
      <c r="S40" s="7" t="inlineStr">
        <is>
          <t>bromo (σp +0.23): withdrawing by induction, a weak lone-pair donor: deactivates but directs ortho/para</t>
        </is>
      </c>
      <c r="T40" s="7" t="n">
        <v>0.23</v>
      </c>
      <c r="U40" s="10" t="n">
        <v>0.59</v>
      </c>
      <c r="V40" s="7" t="inlineStr">
        <is>
          <t>n nucleophile +1.12 (n=32; winner had it 66 % vs 41 % at random) · o nucleophile +0.90 (n=31; winner had it 45 % vs 37 % at random) · alkyl substitution +0.84 (n=32; winner had it 53 % vs 40 % at random) · carbonyl addition +0.70 (n=71; winner had it 58 % vs 41 % at random) · arene ch +0.67 (n=192; winner had it 45 % vs 32 % at random) · aryl halide +0.16 (n=283; winner had it 32 % vs 48 % at random)</t>
        </is>
      </c>
      <c r="W40" s="7" t="n">
        <v>933</v>
      </c>
      <c r="X40" s="7" t="n">
        <v>708</v>
      </c>
      <c r="Y40" s="9" t="n">
        <v>0.4523</v>
      </c>
      <c r="Z40" s="9" t="n">
        <v>0.4004</v>
      </c>
      <c r="AA40" s="7" t="n"/>
      <c r="AB40" s="7" t="n"/>
      <c r="AC40" s="7" t="n"/>
      <c r="AD40" s="7" t="n"/>
      <c r="AE40" s="7" t="inlineStr">
        <is>
          <t>learned from the training patents (tools/int_train.py)</t>
        </is>
      </c>
      <c r="AF40" s="7" t="inlineStr">
        <is>
          <t>Hansch, Leo, Taft, Chem. Rev. 91, 165 (1991); Clayden, Organic Chemistry (aromatic substitution)</t>
        </is>
      </c>
    </row>
    <row r="41">
      <c r="A41" s="7" t="inlineStr">
        <is>
          <t>I040</t>
        </is>
      </c>
      <c r="B41" s="7" t="inlineStr">
        <is>
          <t>ring-ortho-iodo</t>
        </is>
      </c>
      <c r="C41" s="7" t="inlineStr">
        <is>
          <t>iodo, ortho to the reacting aromatic carbon</t>
        </is>
      </c>
      <c r="D41" s="7" t="inlineStr">
        <is>
          <t>ring substituent (position)</t>
        </is>
      </c>
      <c r="E41" s="7" t="inlineStr">
        <is>
          <t>electronic</t>
        </is>
      </c>
      <c r="F41" s="7" t="inlineStr">
        <is>
          <t>aromatic C</t>
        </is>
      </c>
      <c r="G41" s="7" t="inlineStr">
        <is>
          <t>[c;$(c:c-[I;!900*])]</t>
        </is>
      </c>
      <c r="H41" s="7" t="inlineStr">
        <is>
          <t>[c]-I</t>
        </is>
      </c>
      <c r="I41" s="7" t="inlineStr"/>
      <c r="J41" s="7" t="inlineStr"/>
      <c r="K41" s="7" t="inlineStr"/>
      <c r="L41" s="7" t="inlineStr"/>
      <c r="M41" s="7" t="n"/>
      <c r="N41" s="7" t="inlineStr"/>
      <c r="O41" s="7" t="inlineStr">
        <is>
          <t>yes</t>
        </is>
      </c>
      <c r="P41" s="7" t="inlineStr"/>
      <c r="Q41" s="7" t="inlineStr">
        <is>
          <t>on the ring atom next to the reacting carbon (ortho)</t>
        </is>
      </c>
      <c r="R41" s="7" t="inlineStr">
        <is>
          <t>withdraws by induction but donates by resonance: slows electrophilic substitution yet directs it ortho/para; speeds SNAr a little. At ortho the electronic effect is like para, and the group also crowds the carbon.</t>
        </is>
      </c>
      <c r="S41" s="7" t="inlineStr">
        <is>
          <t>iodo (σp +0.18): withdrawing by induction, a weak lone-pair donor: deactivates but directs ortho/para</t>
        </is>
      </c>
      <c r="T41" s="7" t="n">
        <v>0.18</v>
      </c>
      <c r="U41" s="10" t="n">
        <v>-0.13</v>
      </c>
      <c r="V41" s="7" t="inlineStr">
        <is>
          <t>acyl substitution -0.54 (n=54; winner had it 24 % vs 39 % at random) · arene ch -0.39 (n=48; winner had it 42 % vs 41 % at random)</t>
        </is>
      </c>
      <c r="W41" s="7" t="n">
        <v>195</v>
      </c>
      <c r="X41" s="7" t="n">
        <v>163</v>
      </c>
      <c r="Y41" s="9" t="n">
        <v>0.3949</v>
      </c>
      <c r="Z41" s="9" t="n">
        <v>0.4274</v>
      </c>
      <c r="AA41" s="7" t="n"/>
      <c r="AB41" s="7" t="n"/>
      <c r="AC41" s="7" t="n"/>
      <c r="AD41" s="7" t="n"/>
      <c r="AE41" s="7" t="inlineStr">
        <is>
          <t>learned from the training patents (tools/int_train.py)</t>
        </is>
      </c>
      <c r="AF41" s="7" t="inlineStr">
        <is>
          <t>Hansch, Leo, Taft, Chem. Rev. 91, 165 (1991); Clayden, Organic Chemistry (aromatic substitution)</t>
        </is>
      </c>
    </row>
    <row r="42">
      <c r="A42" s="7" t="inlineStr">
        <is>
          <t>I041</t>
        </is>
      </c>
      <c r="B42" s="7" t="inlineStr">
        <is>
          <t>ring-meta-iodo</t>
        </is>
      </c>
      <c r="C42" s="7" t="inlineStr">
        <is>
          <t>iodo, meta to the reacting aromatic carbon</t>
        </is>
      </c>
      <c r="D42" s="7" t="inlineStr">
        <is>
          <t>ring substituent (position)</t>
        </is>
      </c>
      <c r="E42" s="7" t="inlineStr">
        <is>
          <t>electronic</t>
        </is>
      </c>
      <c r="F42" s="7" t="inlineStr">
        <is>
          <t>aromatic C</t>
        </is>
      </c>
      <c r="G42" s="7" t="inlineStr">
        <is>
          <t>[c;$(c1:a:c(-[I;!900*]):a:a:a:1),$([c;r5]:[c;r5]:[c;r5]-[I;!900*])]</t>
        </is>
      </c>
      <c r="H42" s="7" t="inlineStr">
        <is>
          <t>[c]-I</t>
        </is>
      </c>
      <c r="I42" s="7" t="inlineStr"/>
      <c r="J42" s="7" t="inlineStr"/>
      <c r="K42" s="7" t="inlineStr"/>
      <c r="L42" s="7" t="inlineStr"/>
      <c r="M42" s="7" t="n"/>
      <c r="N42" s="7" t="inlineStr"/>
      <c r="O42" s="7" t="inlineStr">
        <is>
          <t>yes</t>
        </is>
      </c>
      <c r="P42" s="7" t="inlineStr"/>
      <c r="Q42" s="7" t="inlineStr">
        <is>
          <t>on the ring atom two bonds from the reacting carbon, inside the same six-membered ring (meta)</t>
        </is>
      </c>
      <c r="R42" s="7" t="inlineStr">
        <is>
          <t>withdraws by induction but donates by resonance: slows electrophilic substitution yet directs it ortho/para; speeds SNAr a little. At meta mostly the inductive part acts; resonance does not reach this position.</t>
        </is>
      </c>
      <c r="S42" s="7" t="inlineStr">
        <is>
          <t>iodo (σm +0.35): withdrawing by induction, a weak lone-pair donor: deactivates but directs ortho/para</t>
        </is>
      </c>
      <c r="T42" s="7" t="n">
        <v>0.35</v>
      </c>
      <c r="U42" s="10" t="n">
        <v>-0.18</v>
      </c>
      <c r="V42" s="7" t="inlineStr">
        <is>
          <t>arene ch -1.10 (n=47; winner had it 23 % vs 36 % at random)</t>
        </is>
      </c>
      <c r="W42" s="7" t="n">
        <v>172</v>
      </c>
      <c r="X42" s="7" t="n">
        <v>144</v>
      </c>
      <c r="Y42" s="9" t="n">
        <v>0.3488</v>
      </c>
      <c r="Z42" s="9" t="n">
        <v>0.3847</v>
      </c>
      <c r="AA42" s="7" t="n"/>
      <c r="AB42" s="7" t="n"/>
      <c r="AC42" s="7" t="n"/>
      <c r="AD42" s="7" t="n"/>
      <c r="AE42" s="7" t="inlineStr">
        <is>
          <t>learned from the training patents (tools/int_train.py)</t>
        </is>
      </c>
      <c r="AF42" s="7" t="inlineStr">
        <is>
          <t>Hansch, Leo, Taft, Chem. Rev. 91, 165 (1991); Clayden, Organic Chemistry (aromatic substitution)</t>
        </is>
      </c>
    </row>
    <row r="43">
      <c r="A43" s="7" t="inlineStr">
        <is>
          <t>I042</t>
        </is>
      </c>
      <c r="B43" s="7" t="inlineStr">
        <is>
          <t>ring-para-iodo</t>
        </is>
      </c>
      <c r="C43" s="7" t="inlineStr">
        <is>
          <t>iodo, para to the reacting aromatic carbon</t>
        </is>
      </c>
      <c r="D43" s="7" t="inlineStr">
        <is>
          <t>ring substituent (position)</t>
        </is>
      </c>
      <c r="E43" s="7" t="inlineStr">
        <is>
          <t>electronic</t>
        </is>
      </c>
      <c r="F43" s="7" t="inlineStr">
        <is>
          <t>aromatic C</t>
        </is>
      </c>
      <c r="G43" s="7" t="inlineStr">
        <is>
          <t>[c;$(c1:a:a:c(-[I;!900*]):a:a:1),$([c;r5]:[c;r5]:[c;r5]:[c;r5]-[I;!900*])]</t>
        </is>
      </c>
      <c r="H43" s="7" t="inlineStr">
        <is>
          <t>[c]-I</t>
        </is>
      </c>
      <c r="I43" s="7" t="inlineStr"/>
      <c r="J43" s="7" t="inlineStr"/>
      <c r="K43" s="7" t="inlineStr"/>
      <c r="L43" s="7" t="inlineStr"/>
      <c r="M43" s="7" t="n"/>
      <c r="N43" s="7" t="inlineStr"/>
      <c r="O43" s="7" t="inlineStr">
        <is>
          <t>yes</t>
        </is>
      </c>
      <c r="P43" s="7" t="inlineStr"/>
      <c r="Q43" s="7" t="inlineStr">
        <is>
          <t>on the ring atom opposite the reacting carbon, inside the same six-membered ring (para)</t>
        </is>
      </c>
      <c r="R43" s="7" t="inlineStr">
        <is>
          <t>withdraws by induction but donates by resonance: slows electrophilic substitution yet directs it ortho/para; speeds SNAr a little. At para induction and resonance both act.</t>
        </is>
      </c>
      <c r="S43" s="7" t="inlineStr">
        <is>
          <t>iodo (σp +0.18): withdrawing by induction, a weak lone-pair donor: deactivates but directs ortho/para</t>
        </is>
      </c>
      <c r="T43" s="7" t="n">
        <v>0.18</v>
      </c>
      <c r="U43" s="10" t="n">
        <v>0.47</v>
      </c>
      <c r="V43" s="7" t="inlineStr">
        <is>
          <t>acyl substitution +0.53 (n=29; winner had it 45 % vs 35 % at random) · aryl halide +0.06 (n=45; winner had it 33 % vs 48 % at random)</t>
        </is>
      </c>
      <c r="W43" s="7" t="n">
        <v>118</v>
      </c>
      <c r="X43" s="7" t="n">
        <v>96</v>
      </c>
      <c r="Y43" s="9" t="n">
        <v>0.4407</v>
      </c>
      <c r="Z43" s="9" t="n">
        <v>0.4195</v>
      </c>
      <c r="AA43" s="7" t="n"/>
      <c r="AB43" s="7" t="n"/>
      <c r="AC43" s="7" t="n"/>
      <c r="AD43" s="7" t="n"/>
      <c r="AE43" s="7" t="inlineStr">
        <is>
          <t>learned from the training patents (tools/int_train.py)</t>
        </is>
      </c>
      <c r="AF43" s="7" t="inlineStr">
        <is>
          <t>Hansch, Leo, Taft, Chem. Rev. 91, 165 (1991); Clayden, Organic Chemistry (aromatic substitution)</t>
        </is>
      </c>
    </row>
    <row r="44">
      <c r="A44" s="7" t="inlineStr">
        <is>
          <t>I043</t>
        </is>
      </c>
      <c r="B44" s="7" t="inlineStr">
        <is>
          <t>ring-ortho-sr</t>
        </is>
      </c>
      <c r="C44" s="7" t="inlineStr">
        <is>
          <t>thioether, ortho to the reacting aromatic carbon</t>
        </is>
      </c>
      <c r="D44" s="7" t="inlineStr">
        <is>
          <t>ring substituent (position)</t>
        </is>
      </c>
      <c r="E44" s="7" t="inlineStr">
        <is>
          <t>electronic</t>
        </is>
      </c>
      <c r="F44" s="7" t="inlineStr">
        <is>
          <t>aromatic C</t>
        </is>
      </c>
      <c r="G44" s="7" t="inlineStr">
        <is>
          <t>[c;$(c:c-[SX2;!$(S-C(F)(F)F);!$(S-C#N);!900*][#6])]</t>
        </is>
      </c>
      <c r="H44" s="7" t="inlineStr">
        <is>
          <t>[c]-[SX2;!$(S-C(F)(F)F);!$(S-C#N)][#6]</t>
        </is>
      </c>
      <c r="I44" s="7" t="inlineStr"/>
      <c r="J44" s="7" t="inlineStr"/>
      <c r="K44" s="7" t="inlineStr"/>
      <c r="L44" s="7" t="inlineStr"/>
      <c r="M44" s="7" t="n"/>
      <c r="N44" s="7" t="inlineStr"/>
      <c r="O44" s="7" t="inlineStr">
        <is>
          <t>yes</t>
        </is>
      </c>
      <c r="P44" s="7" t="inlineStr"/>
      <c r="Q44" s="7" t="inlineStr">
        <is>
          <t>on the ring atom next to the reacting carbon (ortho)</t>
        </is>
      </c>
      <c r="R44" s="7" t="inlineStr">
        <is>
          <t>donates electrons: speeds electrophilic substitution at the ring carbon, slows nucleophilic attack (SNAr, oxidative addition). At ortho the electronic effect is like para, and the group also crowds the carbon.</t>
        </is>
      </c>
      <c r="S44" s="7" t="inlineStr">
        <is>
          <t>thioether (σp +0.00): a weak donor by resonance, a weak withdrawer by induction</t>
        </is>
      </c>
      <c r="T44" s="7" t="n">
        <v>0</v>
      </c>
      <c r="U44" s="10" t="n">
        <v>0.16</v>
      </c>
      <c r="V44" s="7" t="inlineStr">
        <is>
          <t>carbonyl addition +1.21 (n=52; winner had it 65 % vs 41 % at random)</t>
        </is>
      </c>
      <c r="W44" s="7" t="n">
        <v>394</v>
      </c>
      <c r="X44" s="7" t="n">
        <v>255</v>
      </c>
      <c r="Y44" s="9" t="n">
        <v>0.3046</v>
      </c>
      <c r="Z44" s="9" t="n">
        <v>0.3554</v>
      </c>
      <c r="AA44" s="7" t="n"/>
      <c r="AB44" s="7" t="n"/>
      <c r="AC44" s="7" t="n"/>
      <c r="AD44" s="7" t="n"/>
      <c r="AE44" s="7" t="inlineStr">
        <is>
          <t>learned from the training patents (tools/int_train.py)</t>
        </is>
      </c>
      <c r="AF44" s="7" t="inlineStr">
        <is>
          <t>Hansch, Leo, Taft, Chem. Rev. 91, 165 (1991); Clayden, Organic Chemistry (aromatic substitution)</t>
        </is>
      </c>
    </row>
    <row r="45">
      <c r="A45" s="7" t="inlineStr">
        <is>
          <t>I044</t>
        </is>
      </c>
      <c r="B45" s="7" t="inlineStr">
        <is>
          <t>ring-meta-sr</t>
        </is>
      </c>
      <c r="C45" s="7" t="inlineStr">
        <is>
          <t>thioether, meta to the reacting aromatic carbon</t>
        </is>
      </c>
      <c r="D45" s="7" t="inlineStr">
        <is>
          <t>ring substituent (position)</t>
        </is>
      </c>
      <c r="E45" s="7" t="inlineStr">
        <is>
          <t>electronic</t>
        </is>
      </c>
      <c r="F45" s="7" t="inlineStr">
        <is>
          <t>aromatic C</t>
        </is>
      </c>
      <c r="G45" s="7" t="inlineStr">
        <is>
          <t>[c;$(c1:a:c(-[SX2;!$(S-C(F)(F)F);!$(S-C#N);!900*][#6]):a:a:a:1),$([c;r5]:[c;r5]:[c;r5]-[SX2;!$(S-C(F)(F)F);!$(S-C#N);!900*][#6])]</t>
        </is>
      </c>
      <c r="H45" s="7" t="inlineStr">
        <is>
          <t>[c]-[SX2;!$(S-C(F)(F)F);!$(S-C#N)][#6]</t>
        </is>
      </c>
      <c r="I45" s="7" t="inlineStr"/>
      <c r="J45" s="7" t="inlineStr"/>
      <c r="K45" s="7" t="inlineStr"/>
      <c r="L45" s="7" t="inlineStr"/>
      <c r="M45" s="7" t="n"/>
      <c r="N45" s="7" t="inlineStr"/>
      <c r="O45" s="7" t="inlineStr">
        <is>
          <t>yes</t>
        </is>
      </c>
      <c r="P45" s="7" t="inlineStr"/>
      <c r="Q45" s="7" t="inlineStr">
        <is>
          <t>on the ring atom two bonds from the reacting carbon, inside the same six-membered ring (meta)</t>
        </is>
      </c>
      <c r="R45" s="7" t="inlineStr">
        <is>
          <t>donates electrons: speeds electrophilic substitution at the ring carbon, slows nucleophilic attack (SNAr, oxidative addition). At meta mostly the inductive part acts; resonance does not reach this position.</t>
        </is>
      </c>
      <c r="S45" s="7" t="inlineStr">
        <is>
          <t>thioether (σm +0.15): a weak donor by resonance, a weak withdrawer by induction</t>
        </is>
      </c>
      <c r="T45" s="7" t="n">
        <v>0.15</v>
      </c>
      <c r="U45" s="10" t="n">
        <v>0.29</v>
      </c>
      <c r="V45" s="7" t="inlineStr">
        <is>
          <t>carbonyl addition +0.92 (n=48; winner had it 65 % vs 41 % at random) · acyl substitution -0.53 (n=147; winner had it 12 % vs 36 % at random) · arene ch -0.24 (n=89; winner had it 25 % vs 38 % at random)</t>
        </is>
      </c>
      <c r="W45" s="7" t="n">
        <v>469</v>
      </c>
      <c r="X45" s="7" t="n">
        <v>295</v>
      </c>
      <c r="Y45" s="9" t="n">
        <v>0.3945</v>
      </c>
      <c r="Z45" s="9" t="n">
        <v>0.3928</v>
      </c>
      <c r="AA45" s="7" t="n"/>
      <c r="AB45" s="7" t="n"/>
      <c r="AC45" s="7" t="n"/>
      <c r="AD45" s="7" t="n"/>
      <c r="AE45" s="7" t="inlineStr">
        <is>
          <t>learned from the training patents (tools/int_train.py)</t>
        </is>
      </c>
      <c r="AF45" s="7" t="inlineStr">
        <is>
          <t>Hansch, Leo, Taft, Chem. Rev. 91, 165 (1991); Clayden, Organic Chemistry (aromatic substitution)</t>
        </is>
      </c>
    </row>
    <row r="46">
      <c r="A46" s="7" t="inlineStr">
        <is>
          <t>I045</t>
        </is>
      </c>
      <c r="B46" s="7" t="inlineStr">
        <is>
          <t>ring-para-sr</t>
        </is>
      </c>
      <c r="C46" s="7" t="inlineStr">
        <is>
          <t>thioether, para to the reacting aromatic carbon</t>
        </is>
      </c>
      <c r="D46" s="7" t="inlineStr">
        <is>
          <t>ring substituent (position)</t>
        </is>
      </c>
      <c r="E46" s="7" t="inlineStr">
        <is>
          <t>electronic</t>
        </is>
      </c>
      <c r="F46" s="7" t="inlineStr">
        <is>
          <t>aromatic C</t>
        </is>
      </c>
      <c r="G46" s="7" t="inlineStr">
        <is>
          <t>[c;$(c1:a:a:c(-[SX2;!$(S-C(F)(F)F);!$(S-C#N);!900*][#6]):a:a:1),$([c;r5]:[c;r5]:[c;r5]:[c;r5]-[SX2;!$(S-C(F)(F)F);!$(S-C#N);!900*][#6])]</t>
        </is>
      </c>
      <c r="H46" s="7" t="inlineStr">
        <is>
          <t>[c]-[SX2;!$(S-C(F)(F)F);!$(S-C#N)][#6]</t>
        </is>
      </c>
      <c r="I46" s="7" t="inlineStr"/>
      <c r="J46" s="7" t="inlineStr"/>
      <c r="K46" s="7" t="inlineStr"/>
      <c r="L46" s="7" t="inlineStr"/>
      <c r="M46" s="7" t="n"/>
      <c r="N46" s="7" t="inlineStr"/>
      <c r="O46" s="7" t="inlineStr">
        <is>
          <t>yes</t>
        </is>
      </c>
      <c r="P46" s="7" t="inlineStr"/>
      <c r="Q46" s="7" t="inlineStr">
        <is>
          <t>on the ring atom opposite the reacting carbon, inside the same six-membered ring (para)</t>
        </is>
      </c>
      <c r="R46" s="7" t="inlineStr">
        <is>
          <t>donates electrons: speeds electrophilic substitution at the ring carbon, slows nucleophilic attack (SNAr, oxidative addition). At para induction and resonance both act.</t>
        </is>
      </c>
      <c r="S46" s="7" t="inlineStr">
        <is>
          <t>thioether (σp +0.00): a weak donor by resonance, a weak withdrawer by induction</t>
        </is>
      </c>
      <c r="T46" s="7" t="n">
        <v>0</v>
      </c>
      <c r="U46" s="10" t="n">
        <v>1.36</v>
      </c>
      <c r="V46" s="7" t="inlineStr">
        <is>
          <t>arene ch +2.06 (n=84; winner had it 68 % vs 31 % at random) · acyl substitution +1.99 (n=121; winner had it 68 % vs 30 % at random) · aryl halide +0.73 (n=60; winner had it 25 % vs 43 % at random)</t>
        </is>
      </c>
      <c r="W46" s="7" t="n">
        <v>359</v>
      </c>
      <c r="X46" s="7" t="n">
        <v>247</v>
      </c>
      <c r="Y46" s="9" t="n">
        <v>0.5571</v>
      </c>
      <c r="Z46" s="9" t="n">
        <v>0.3408</v>
      </c>
      <c r="AA46" s="7" t="n"/>
      <c r="AB46" s="7" t="n"/>
      <c r="AC46" s="7" t="n"/>
      <c r="AD46" s="7" t="n"/>
      <c r="AE46" s="7" t="inlineStr">
        <is>
          <t>learned from the training patents (tools/int_train.py)</t>
        </is>
      </c>
      <c r="AF46" s="7" t="inlineStr">
        <is>
          <t>Hansch, Leo, Taft, Chem. Rev. 91, 165 (1991); Clayden, Organic Chemistry (aromatic substitution)</t>
        </is>
      </c>
    </row>
    <row r="47">
      <c r="A47" s="7" t="inlineStr">
        <is>
          <t>I046</t>
        </is>
      </c>
      <c r="B47" s="7" t="inlineStr">
        <is>
          <t>ring-ortho-nhcor</t>
        </is>
      </c>
      <c r="C47" s="7" t="inlineStr">
        <is>
          <t>acylamino (amide N–H), ortho to the reacting aromatic carbon</t>
        </is>
      </c>
      <c r="D47" s="7" t="inlineStr">
        <is>
          <t>ring substituent (position)</t>
        </is>
      </c>
      <c r="E47" s="7" t="inlineStr">
        <is>
          <t>electronic</t>
        </is>
      </c>
      <c r="F47" s="7" t="inlineStr">
        <is>
          <t>aromatic C</t>
        </is>
      </c>
      <c r="G47" s="7" t="inlineStr">
        <is>
          <t>[c;$(c:c-[NX3;H1;!900*]C(=O))]</t>
        </is>
      </c>
      <c r="H47" s="7" t="inlineStr">
        <is>
          <t>[c]-[NX3;H1]C(=O)</t>
        </is>
      </c>
      <c r="I47" s="7" t="inlineStr"/>
      <c r="J47" s="7" t="inlineStr"/>
      <c r="K47" s="7" t="inlineStr"/>
      <c r="L47" s="7" t="inlineStr"/>
      <c r="M47" s="7" t="n"/>
      <c r="N47" s="7" t="inlineStr"/>
      <c r="O47" s="7" t="inlineStr">
        <is>
          <t>yes</t>
        </is>
      </c>
      <c r="P47" s="7" t="inlineStr"/>
      <c r="Q47" s="7" t="inlineStr">
        <is>
          <t>on the ring atom next to the reacting carbon (ortho)</t>
        </is>
      </c>
      <c r="R47" s="7" t="inlineStr">
        <is>
          <t>donates electrons: speeds electrophilic substitution at the ring carbon, slows nucleophilic attack (SNAr, oxidative addition). At ortho the electronic effect is like para, and the group also crowds the carbon.</t>
        </is>
      </c>
      <c r="S47" s="7" t="inlineStr">
        <is>
          <t>acylamino (amide N–H) (σp +0.00): the N lone pair is shared with the C=O: a moderate donor</t>
        </is>
      </c>
      <c r="T47" s="7" t="n">
        <v>0</v>
      </c>
      <c r="U47" s="10" t="n">
        <v>0.66</v>
      </c>
      <c r="V47" s="7" t="inlineStr">
        <is>
          <t>arene ch +1.43 (n=478; winner had it 54 % vs 39 % at random) · acyl substitution +1.34 (n=366; winner had it 35 % vs 31 % at random) · alkyl substitution +0.83 (n=55; winner had it 44 % vs 35 % at random) · n nucleophile +0.72 (n=38; winner had it 47 % vs 36 % at random) · deprotection +0.70 (n=54; winner had it 43 % vs 36 % at random) · carbonyl addition +0.64 (n=51; winner had it 47 % vs 41 % at random)</t>
        </is>
      </c>
      <c r="W47" s="7" t="n">
        <v>1279</v>
      </c>
      <c r="X47" s="7" t="n">
        <v>824</v>
      </c>
      <c r="Y47" s="9" t="n">
        <v>0.4097</v>
      </c>
      <c r="Z47" s="9" t="n">
        <v>0.3646</v>
      </c>
      <c r="AA47" s="7" t="n"/>
      <c r="AB47" s="7" t="n"/>
      <c r="AC47" s="7" t="n"/>
      <c r="AD47" s="7" t="n"/>
      <c r="AE47" s="7" t="inlineStr">
        <is>
          <t>learned from the training patents (tools/int_train.py)</t>
        </is>
      </c>
      <c r="AF47" s="7" t="inlineStr">
        <is>
          <t>Hansch, Leo, Taft, Chem. Rev. 91, 165 (1991); Clayden, Organic Chemistry (aromatic substitution)</t>
        </is>
      </c>
    </row>
    <row r="48">
      <c r="A48" s="7" t="inlineStr">
        <is>
          <t>I047</t>
        </is>
      </c>
      <c r="B48" s="7" t="inlineStr">
        <is>
          <t>ring-meta-nhcor</t>
        </is>
      </c>
      <c r="C48" s="7" t="inlineStr">
        <is>
          <t>acylamino (amide N–H), meta to the reacting aromatic carbon</t>
        </is>
      </c>
      <c r="D48" s="7" t="inlineStr">
        <is>
          <t>ring substituent (position)</t>
        </is>
      </c>
      <c r="E48" s="7" t="inlineStr">
        <is>
          <t>electronic</t>
        </is>
      </c>
      <c r="F48" s="7" t="inlineStr">
        <is>
          <t>aromatic C</t>
        </is>
      </c>
      <c r="G48" s="7" t="inlineStr">
        <is>
          <t>[c;$(c1:a:c(-[NX3;H1;!900*]C(=O)):a:a:a:1),$([c;r5]:[c;r5]:[c;r5]-[NX3;H1;!900*]C(=O))]</t>
        </is>
      </c>
      <c r="H48" s="7" t="inlineStr">
        <is>
          <t>[c]-[NX3;H1]C(=O)</t>
        </is>
      </c>
      <c r="I48" s="7" t="inlineStr"/>
      <c r="J48" s="7" t="inlineStr"/>
      <c r="K48" s="7" t="inlineStr"/>
      <c r="L48" s="7" t="inlineStr"/>
      <c r="M48" s="7" t="n"/>
      <c r="N48" s="7" t="inlineStr"/>
      <c r="O48" s="7" t="inlineStr">
        <is>
          <t>yes</t>
        </is>
      </c>
      <c r="P48" s="7" t="inlineStr"/>
      <c r="Q48" s="7" t="inlineStr">
        <is>
          <t>on the ring atom two bonds from the reacting carbon, inside the same six-membered ring (meta)</t>
        </is>
      </c>
      <c r="R48" s="7" t="inlineStr">
        <is>
          <t>donates electrons: speeds electrophilic substitution at the ring carbon, slows nucleophilic attack (SNAr, oxidative addition). At meta mostly the inductive part acts; resonance does not reach this position.</t>
        </is>
      </c>
      <c r="S48" s="7" t="inlineStr">
        <is>
          <t>acylamino (amide N–H) (σm +0.21): the N lone pair is shared with the C=O: a moderate donor</t>
        </is>
      </c>
      <c r="T48" s="7" t="n">
        <v>0.21</v>
      </c>
      <c r="U48" s="10" t="n">
        <v>-0.44</v>
      </c>
      <c r="V48" s="7" t="inlineStr">
        <is>
          <t>deprotection -1.40 (n=67; winner had it 12 % vs 31 % at random) · arene ch -0.91 (n=501; winner had it 10 % vs 40 % at random) · carbonyl addition -0.91 (n=53; winner had it 19 % vs 44 % at random) · n nucleophile +0.71 (n=53; winner had it 62 % vs 38 % at random) · aryl halide -0.68 (n=144; winner had it 44 % vs 42 % at random) · other +0.19 (n=33; winner had it 33 % vs 30 % at random)</t>
        </is>
      </c>
      <c r="W48" s="7" t="n">
        <v>1317</v>
      </c>
      <c r="X48" s="7" t="n">
        <v>831</v>
      </c>
      <c r="Y48" s="9" t="n">
        <v>0.1997</v>
      </c>
      <c r="Z48" s="9" t="n">
        <v>0.3812</v>
      </c>
      <c r="AA48" s="7" t="n"/>
      <c r="AB48" s="7" t="n"/>
      <c r="AC48" s="7" t="n"/>
      <c r="AD48" s="7" t="n"/>
      <c r="AE48" s="7" t="inlineStr">
        <is>
          <t>learned from the training patents (tools/int_train.py)</t>
        </is>
      </c>
      <c r="AF48" s="7" t="inlineStr">
        <is>
          <t>Hansch, Leo, Taft, Chem. Rev. 91, 165 (1991); Clayden, Organic Chemistry (aromatic substitution)</t>
        </is>
      </c>
    </row>
    <row r="49">
      <c r="A49" s="7" t="inlineStr">
        <is>
          <t>I048</t>
        </is>
      </c>
      <c r="B49" s="7" t="inlineStr">
        <is>
          <t>ring-para-nhcor</t>
        </is>
      </c>
      <c r="C49" s="7" t="inlineStr">
        <is>
          <t>acylamino (amide N–H), para to the reacting aromatic carbon</t>
        </is>
      </c>
      <c r="D49" s="7" t="inlineStr">
        <is>
          <t>ring substituent (position)</t>
        </is>
      </c>
      <c r="E49" s="7" t="inlineStr">
        <is>
          <t>electronic</t>
        </is>
      </c>
      <c r="F49" s="7" t="inlineStr">
        <is>
          <t>aromatic C</t>
        </is>
      </c>
      <c r="G49" s="7" t="inlineStr">
        <is>
          <t>[c;$(c1:a:a:c(-[NX3;H1;!900*]C(=O)):a:a:1),$([c;r5]:[c;r5]:[c;r5]:[c;r5]-[NX3;H1;!900*]C(=O))]</t>
        </is>
      </c>
      <c r="H49" s="7" t="inlineStr">
        <is>
          <t>[c]-[NX3;H1]C(=O)</t>
        </is>
      </c>
      <c r="I49" s="7" t="inlineStr"/>
      <c r="J49" s="7" t="inlineStr"/>
      <c r="K49" s="7" t="inlineStr"/>
      <c r="L49" s="7" t="inlineStr"/>
      <c r="M49" s="7" t="n"/>
      <c r="N49" s="7" t="inlineStr"/>
      <c r="O49" s="7" t="inlineStr">
        <is>
          <t>yes</t>
        </is>
      </c>
      <c r="P49" s="7" t="inlineStr"/>
      <c r="Q49" s="7" t="inlineStr">
        <is>
          <t>on the ring atom opposite the reacting carbon, inside the same six-membered ring (para)</t>
        </is>
      </c>
      <c r="R49" s="7" t="inlineStr">
        <is>
          <t>donates electrons: speeds electrophilic substitution at the ring carbon, slows nucleophilic attack (SNAr, oxidative addition). At para induction and resonance both act.</t>
        </is>
      </c>
      <c r="S49" s="7" t="inlineStr">
        <is>
          <t>acylamino (amide N–H) (σp +0.00): the N lone pair is shared with the C=O: a moderate donor</t>
        </is>
      </c>
      <c r="T49" s="7" t="n">
        <v>0</v>
      </c>
      <c r="U49" s="10" t="n">
        <v>1.57</v>
      </c>
      <c r="V49" s="7" t="inlineStr">
        <is>
          <t>acyl substitution +2.84 (n=275; winner had it 64 % vs 29 % at random) · arene ch +2.76 (n=268; winner had it 68 % vs 29 % at random) · n nucleophile +2.17 (n=38; winner had it 68 % vs 34 % at random) · alkyl substitution +1.97 (n=40; winner had it 52 % vs 29 % at random) · carbonyl addition +1.59 (n=33; winner had it 45 % vs 39 % at random) · deprotection +1.27 (n=48; winner had it 50 % vs 33 % at random)</t>
        </is>
      </c>
      <c r="W49" s="7" t="n">
        <v>880</v>
      </c>
      <c r="X49" s="7" t="n">
        <v>595</v>
      </c>
      <c r="Y49" s="9" t="n">
        <v>0.5523</v>
      </c>
      <c r="Z49" s="9" t="n">
        <v>0.3258</v>
      </c>
      <c r="AA49" s="7" t="n"/>
      <c r="AB49" s="7" t="n"/>
      <c r="AC49" s="7" t="n"/>
      <c r="AD49" s="7" t="n"/>
      <c r="AE49" s="7" t="inlineStr">
        <is>
          <t>learned from the training patents (tools/int_train.py)</t>
        </is>
      </c>
      <c r="AF49" s="7" t="inlineStr">
        <is>
          <t>Hansch, Leo, Taft, Chem. Rev. 91, 165 (1991); Clayden, Organic Chemistry (aromatic substitution)</t>
        </is>
      </c>
    </row>
    <row r="50">
      <c r="A50" s="7" t="inlineStr">
        <is>
          <t>I049</t>
        </is>
      </c>
      <c r="B50" s="7" t="inlineStr">
        <is>
          <t>ring-ortho-nhso2</t>
        </is>
      </c>
      <c r="C50" s="7" t="inlineStr">
        <is>
          <t>sulfonylamino (N–H sulfonamide), ortho to the reacting aromatic carbon</t>
        </is>
      </c>
      <c r="D50" s="7" t="inlineStr">
        <is>
          <t>ring substituent (position)</t>
        </is>
      </c>
      <c r="E50" s="7" t="inlineStr">
        <is>
          <t>electronic</t>
        </is>
      </c>
      <c r="F50" s="7" t="inlineStr">
        <is>
          <t>aromatic C</t>
        </is>
      </c>
      <c r="G50" s="7" t="inlineStr">
        <is>
          <t>[c;$(c:c-[NX3;H1;!900*][SX4](=O)=O)]</t>
        </is>
      </c>
      <c r="H50" s="7" t="inlineStr">
        <is>
          <t>[c]-[NX3;H1][SX4](=O)=O</t>
        </is>
      </c>
      <c r="I50" s="7" t="inlineStr"/>
      <c r="J50" s="7" t="inlineStr"/>
      <c r="K50" s="7" t="inlineStr"/>
      <c r="L50" s="7" t="inlineStr"/>
      <c r="M50" s="7" t="n"/>
      <c r="N50" s="7" t="inlineStr"/>
      <c r="O50" s="7" t="inlineStr">
        <is>
          <t>yes</t>
        </is>
      </c>
      <c r="P50" s="7" t="inlineStr"/>
      <c r="Q50" s="7" t="inlineStr">
        <is>
          <t>on the ring atom next to the reacting carbon (ortho)</t>
        </is>
      </c>
      <c r="R50" s="7" t="inlineStr">
        <is>
          <t>donates electrons: speeds electrophilic substitution at the ring carbon, slows nucleophilic attack (SNAr, oxidative addition). At ortho the electronic effect is like para, and the group also crowds the carbon.</t>
        </is>
      </c>
      <c r="S50" s="7" t="inlineStr">
        <is>
          <t>sulfonylamino (N–H sulfonamide) (σp +0.03): the N lone pair is shared with the sulfonyl group: about neutral, a weak ortho/para director</t>
        </is>
      </c>
      <c r="T50" s="7" t="n">
        <v>0.03</v>
      </c>
      <c r="U50" s="10" t="n">
        <v>0.1</v>
      </c>
      <c r="V50" s="7" t="inlineStr">
        <is>
          <t>arene ch +0.58 (n=36; winner had it 58 % vs 32 % at random) · acyl substitution -0.17 (n=34; winner had it 26 % vs 29 % at random)</t>
        </is>
      </c>
      <c r="W50" s="7" t="n">
        <v>139</v>
      </c>
      <c r="X50" s="7" t="n">
        <v>74</v>
      </c>
      <c r="Y50" s="9" t="n">
        <v>0.3453</v>
      </c>
      <c r="Z50" s="9" t="n">
        <v>0.3313</v>
      </c>
      <c r="AA50" s="7" t="n"/>
      <c r="AB50" s="7" t="n"/>
      <c r="AC50" s="7" t="n"/>
      <c r="AD50" s="7" t="n"/>
      <c r="AE50" s="7" t="inlineStr">
        <is>
          <t>learned from the training patents (tools/int_train.py)</t>
        </is>
      </c>
      <c r="AF50" s="7" t="inlineStr">
        <is>
          <t>Hansch, Leo, Taft, Chem. Rev. 91, 165 (1991); Clayden, Organic Chemistry (aromatic substitution)</t>
        </is>
      </c>
    </row>
    <row r="51">
      <c r="A51" s="7" t="inlineStr">
        <is>
          <t>I050</t>
        </is>
      </c>
      <c r="B51" s="7" t="inlineStr">
        <is>
          <t>ring-meta-nhso2</t>
        </is>
      </c>
      <c r="C51" s="7" t="inlineStr">
        <is>
          <t>sulfonylamino (N–H sulfonamide), meta to the reacting aromatic carbon</t>
        </is>
      </c>
      <c r="D51" s="7" t="inlineStr">
        <is>
          <t>ring substituent (position)</t>
        </is>
      </c>
      <c r="E51" s="7" t="inlineStr">
        <is>
          <t>electronic</t>
        </is>
      </c>
      <c r="F51" s="7" t="inlineStr">
        <is>
          <t>aromatic C</t>
        </is>
      </c>
      <c r="G51" s="7" t="inlineStr">
        <is>
          <t>[c;$(c1:a:c(-[NX3;H1;!900*][SX4](=O)=O):a:a:a:1),$([c;r5]:[c;r5]:[c;r5]-[NX3;H1;!900*][SX4](=O)=O)]</t>
        </is>
      </c>
      <c r="H51" s="7" t="inlineStr">
        <is>
          <t>[c]-[NX3;H1][SX4](=O)=O</t>
        </is>
      </c>
      <c r="I51" s="7" t="inlineStr"/>
      <c r="J51" s="7" t="inlineStr"/>
      <c r="K51" s="7" t="inlineStr"/>
      <c r="L51" s="7" t="inlineStr"/>
      <c r="M51" s="7" t="n"/>
      <c r="N51" s="7" t="inlineStr"/>
      <c r="O51" s="7" t="inlineStr">
        <is>
          <t>yes</t>
        </is>
      </c>
      <c r="P51" s="7" t="inlineStr"/>
      <c r="Q51" s="7" t="inlineStr">
        <is>
          <t>on the ring atom two bonds from the reacting carbon, inside the same six-membered ring (meta)</t>
        </is>
      </c>
      <c r="R51" s="7" t="inlineStr">
        <is>
          <t>donates electrons: speeds electrophilic substitution at the ring carbon, slows nucleophilic attack (SNAr, oxidative addition). At meta mostly the inductive part acts; resonance does not reach this position.</t>
        </is>
      </c>
      <c r="S51" s="7" t="inlineStr">
        <is>
          <t>sulfonylamino (N–H sulfonamide) (σm +0.20): the N lone pair is shared with the sulfonyl group: about neutral, a weak ortho/para director</t>
        </is>
      </c>
      <c r="T51" s="7" t="n">
        <v>0.2</v>
      </c>
      <c r="U51" s="10" t="n">
        <v>-0.68</v>
      </c>
      <c r="V51" s="7" t="inlineStr">
        <is>
          <t>arene ch -1.69 (n=41; winner had it 15 % vs 33 % at random) · aryl halide -1.40 (n=26; winner had it 38 % vs 44 % at random) · acyl substitution -0.57 (n=31; winner had it 26 % vs 34 % at random)</t>
        </is>
      </c>
      <c r="W51" s="7" t="n">
        <v>132</v>
      </c>
      <c r="X51" s="7" t="n">
        <v>83</v>
      </c>
      <c r="Y51" s="9" t="n">
        <v>0.2803</v>
      </c>
      <c r="Z51" s="9" t="n">
        <v>0.3452</v>
      </c>
      <c r="AA51" s="7" t="n"/>
      <c r="AB51" s="7" t="n"/>
      <c r="AC51" s="7" t="n"/>
      <c r="AD51" s="7" t="n"/>
      <c r="AE51" s="7" t="inlineStr">
        <is>
          <t>learned from the training patents (tools/int_train.py)</t>
        </is>
      </c>
      <c r="AF51" s="7" t="inlineStr">
        <is>
          <t>Hansch, Leo, Taft, Chem. Rev. 91, 165 (1991); Clayden, Organic Chemistry (aromatic substitution)</t>
        </is>
      </c>
    </row>
    <row r="52">
      <c r="A52" s="7" t="inlineStr">
        <is>
          <t>I051</t>
        </is>
      </c>
      <c r="B52" s="7" t="inlineStr">
        <is>
          <t>ring-para-nhso2</t>
        </is>
      </c>
      <c r="C52" s="7" t="inlineStr">
        <is>
          <t>sulfonylamino (N–H sulfonamide), para to the reacting aromatic carbon</t>
        </is>
      </c>
      <c r="D52" s="7" t="inlineStr">
        <is>
          <t>ring substituent (position)</t>
        </is>
      </c>
      <c r="E52" s="7" t="inlineStr">
        <is>
          <t>electronic</t>
        </is>
      </c>
      <c r="F52" s="7" t="inlineStr">
        <is>
          <t>aromatic C</t>
        </is>
      </c>
      <c r="G52" s="7" t="inlineStr">
        <is>
          <t>[c;$(c1:a:a:c(-[NX3;H1;!900*][SX4](=O)=O):a:a:1),$([c;r5]:[c;r5]:[c;r5]:[c;r5]-[NX3;H1;!900*][SX4](=O)=O)]</t>
        </is>
      </c>
      <c r="H52" s="7" t="inlineStr">
        <is>
          <t>[c]-[NX3;H1][SX4](=O)=O</t>
        </is>
      </c>
      <c r="I52" s="7" t="inlineStr"/>
      <c r="J52" s="7" t="inlineStr"/>
      <c r="K52" s="7" t="inlineStr"/>
      <c r="L52" s="7" t="inlineStr"/>
      <c r="M52" s="7" t="n"/>
      <c r="N52" s="7" t="inlineStr"/>
      <c r="O52" s="7" t="inlineStr">
        <is>
          <t>yes</t>
        </is>
      </c>
      <c r="P52" s="7" t="inlineStr"/>
      <c r="Q52" s="7" t="inlineStr">
        <is>
          <t>on the ring atom opposite the reacting carbon, inside the same six-membered ring (para)</t>
        </is>
      </c>
      <c r="R52" s="7" t="inlineStr">
        <is>
          <t>donates electrons: speeds electrophilic substitution at the ring carbon, slows nucleophilic attack (SNAr, oxidative addition). At para induction and resonance both act.</t>
        </is>
      </c>
      <c r="S52" s="7" t="inlineStr">
        <is>
          <t>sulfonylamino (N–H sulfonamide) (σp +0.03): the N lone pair is shared with the sulfonyl group: about neutral, a weak ortho/para director</t>
        </is>
      </c>
      <c r="T52" s="7" t="n">
        <v>0.03</v>
      </c>
      <c r="U52" s="10" t="n">
        <v>0.86</v>
      </c>
      <c r="V52" s="7" t="inlineStr">
        <is>
          <t>aryl halide -0.45 (n=33; winner had it 15 % vs 44 % at random)</t>
        </is>
      </c>
      <c r="W52" s="7" t="n">
        <v>98</v>
      </c>
      <c r="X52" s="7" t="n">
        <v>47</v>
      </c>
      <c r="Y52" s="9" t="n">
        <v>0.4388</v>
      </c>
      <c r="Z52" s="9" t="n">
        <v>0.3097</v>
      </c>
      <c r="AA52" s="7" t="n"/>
      <c r="AB52" s="7" t="n"/>
      <c r="AC52" s="7" t="n"/>
      <c r="AD52" s="7" t="n"/>
      <c r="AE52" s="7" t="inlineStr">
        <is>
          <t>learned from the training patents (tools/int_train.py)</t>
        </is>
      </c>
      <c r="AF52" s="7" t="inlineStr">
        <is>
          <t>Hansch, Leo, Taft, Chem. Rev. 91, 165 (1991); Clayden, Organic Chemistry (aromatic substitution)</t>
        </is>
      </c>
    </row>
    <row r="53">
      <c r="A53" s="7" t="inlineStr">
        <is>
          <t>I052</t>
        </is>
      </c>
      <c r="B53" s="7" t="inlineStr">
        <is>
          <t>ring-ortho-nr2</t>
        </is>
      </c>
      <c r="C53" s="7" t="inlineStr">
        <is>
          <t>dialkylamino, ortho to the reacting aromatic carbon</t>
        </is>
      </c>
      <c r="D53" s="7" t="inlineStr">
        <is>
          <t>ring substituent (position)</t>
        </is>
      </c>
      <c r="E53" s="7" t="inlineStr">
        <is>
          <t>electronic</t>
        </is>
      </c>
      <c r="F53" s="7" t="inlineStr">
        <is>
          <t>aromatic C</t>
        </is>
      </c>
      <c r="G53" s="7" t="inlineStr">
        <is>
          <t>[c;$(c:c-[NX3;H0;+0;!$(N-C=O);!$(N-S=O);!$(N(-c)-c);!900*]([#6])[#6])]</t>
        </is>
      </c>
      <c r="H53" s="7" t="inlineStr">
        <is>
          <t>[c]-[NX3;H0;+0;!$(N-C=O);!$(N-S=O);!$(N(-c)-c)]([#6])[#6]</t>
        </is>
      </c>
      <c r="I53" s="7" t="inlineStr"/>
      <c r="J53" s="7" t="inlineStr"/>
      <c r="K53" s="7" t="inlineStr"/>
      <c r="L53" s="7" t="inlineStr"/>
      <c r="M53" s="7" t="n"/>
      <c r="N53" s="7" t="inlineStr"/>
      <c r="O53" s="7" t="inlineStr">
        <is>
          <t>yes</t>
        </is>
      </c>
      <c r="P53" s="7" t="inlineStr"/>
      <c r="Q53" s="7" t="inlineStr">
        <is>
          <t>on the ring atom next to the reacting carbon (ortho)</t>
        </is>
      </c>
      <c r="R53" s="7" t="inlineStr">
        <is>
          <t>donates electrons: speeds electrophilic substitution at the ring carbon, slows nucleophilic attack (SNAr, oxidative addition). At ortho the electronic effect is like para, and the group also crowds the carbon.</t>
        </is>
      </c>
      <c r="S53" s="7" t="inlineStr">
        <is>
          <t>dialkylamino (σp -0.83): the N lone pair donates strongly into the ring (resonance)</t>
        </is>
      </c>
      <c r="T53" s="7" t="n">
        <v>-0.83</v>
      </c>
      <c r="U53" s="10" t="n">
        <v>0.17</v>
      </c>
      <c r="V53" s="7" t="inlineStr">
        <is>
          <t>acyl substitution +1.68 (n=351; winner had it 36 % vs 33 % at random) · arene ch +0.97 (n=208; winner had it 26 % vs 34 % at random) · alkyl substitution -0.60 (n=30; winner had it 20 % vs 35 % at random) · deprotection +0.47 (n=38; winner had it 32 % vs 33 % at random) · carbonyl addition -0.30 (n=40; winner had it 20 % vs 38 % at random)</t>
        </is>
      </c>
      <c r="W53" s="7" t="n">
        <v>990</v>
      </c>
      <c r="X53" s="7" t="n">
        <v>560</v>
      </c>
      <c r="Y53" s="9" t="n">
        <v>0.3141</v>
      </c>
      <c r="Z53" s="9" t="n">
        <v>0.3612</v>
      </c>
      <c r="AA53" s="7" t="n"/>
      <c r="AB53" s="7" t="n"/>
      <c r="AC53" s="7" t="n"/>
      <c r="AD53" s="7" t="n"/>
      <c r="AE53" s="7" t="inlineStr">
        <is>
          <t>learned from the training patents (tools/int_train.py)</t>
        </is>
      </c>
      <c r="AF53" s="7" t="inlineStr">
        <is>
          <t>Hansch, Leo, Taft, Chem. Rev. 91, 165 (1991); Clayden, Organic Chemistry (aromatic substitution)</t>
        </is>
      </c>
    </row>
    <row r="54">
      <c r="A54" s="7" t="inlineStr">
        <is>
          <t>I053</t>
        </is>
      </c>
      <c r="B54" s="7" t="inlineStr">
        <is>
          <t>ring-meta-nr2</t>
        </is>
      </c>
      <c r="C54" s="7" t="inlineStr">
        <is>
          <t>dialkylamino, meta to the reacting aromatic carbon</t>
        </is>
      </c>
      <c r="D54" s="7" t="inlineStr">
        <is>
          <t>ring substituent (position)</t>
        </is>
      </c>
      <c r="E54" s="7" t="inlineStr">
        <is>
          <t>electronic</t>
        </is>
      </c>
      <c r="F54" s="7" t="inlineStr">
        <is>
          <t>aromatic C</t>
        </is>
      </c>
      <c r="G54" s="7" t="inlineStr">
        <is>
          <t>[c;$(c1:a:c(-[NX3;H0;+0;!$(N-C=O);!$(N-S=O);!$(N(-c)-c);!900*]([#6])[#6]):a:a:a:1),$([c;r5]:[c;r5]:[c;r5]-[NX3;H0;+0;!$(N-C=O);!$(N-S=O);!$(N(-c)-c);!900*]([#6])[#6])]</t>
        </is>
      </c>
      <c r="H54" s="7" t="inlineStr">
        <is>
          <t>[c]-[NX3;H0;+0;!$(N-C=O);!$(N-S=O);!$(N(-c)-c)]([#6])[#6]</t>
        </is>
      </c>
      <c r="I54" s="7" t="inlineStr"/>
      <c r="J54" s="7" t="inlineStr"/>
      <c r="K54" s="7" t="inlineStr"/>
      <c r="L54" s="7" t="inlineStr"/>
      <c r="M54" s="7" t="n"/>
      <c r="N54" s="7" t="inlineStr"/>
      <c r="O54" s="7" t="inlineStr">
        <is>
          <t>yes</t>
        </is>
      </c>
      <c r="P54" s="7" t="inlineStr"/>
      <c r="Q54" s="7" t="inlineStr">
        <is>
          <t>on the ring atom two bonds from the reacting carbon, inside the same six-membered ring (meta)</t>
        </is>
      </c>
      <c r="R54" s="7" t="inlineStr">
        <is>
          <t>donates electrons: speeds electrophilic substitution at the ring carbon, slows nucleophilic attack (SNAr, oxidative addition). At meta mostly the inductive part acts; resonance does not reach this position.</t>
        </is>
      </c>
      <c r="S54" s="7" t="inlineStr">
        <is>
          <t>dialkylamino (σm -0.16): the N lone pair donates strongly into the ring (resonance)</t>
        </is>
      </c>
      <c r="T54" s="7" t="n">
        <v>-0.16</v>
      </c>
      <c r="U54" s="10" t="n">
        <v>0.12</v>
      </c>
      <c r="V54" s="7" t="inlineStr">
        <is>
          <t>aryl halide +0.80 (n=248; winner had it 67 % vs 43 % at random) · acyl substitution -0.79 (n=365; winner had it 8 % vs 33 % at random) · deprotection -0.47 (n=27; winner had it 26 % vs 41 % at random) · alkyl substitution +0.46 (n=27; winner had it 52 % vs 38 % at random) · carbonyl addition -0.31 (n=48; winner had it 23 % vs 34 % at random)</t>
        </is>
      </c>
      <c r="W54" s="7" t="n">
        <v>1034</v>
      </c>
      <c r="X54" s="7" t="n">
        <v>578</v>
      </c>
      <c r="Y54" s="9" t="n">
        <v>0.3027</v>
      </c>
      <c r="Z54" s="9" t="n">
        <v>0.3662</v>
      </c>
      <c r="AA54" s="7" t="n"/>
      <c r="AB54" s="7" t="n"/>
      <c r="AC54" s="7" t="n"/>
      <c r="AD54" s="7" t="n"/>
      <c r="AE54" s="7" t="inlineStr">
        <is>
          <t>learned from the training patents (tools/int_train.py)</t>
        </is>
      </c>
      <c r="AF54" s="7" t="inlineStr">
        <is>
          <t>Hansch, Leo, Taft, Chem. Rev. 91, 165 (1991); Clayden, Organic Chemistry (aromatic substitution)</t>
        </is>
      </c>
    </row>
    <row r="55">
      <c r="A55" s="7" t="inlineStr">
        <is>
          <t>I054</t>
        </is>
      </c>
      <c r="B55" s="7" t="inlineStr">
        <is>
          <t>ring-para-nr2</t>
        </is>
      </c>
      <c r="C55" s="7" t="inlineStr">
        <is>
          <t>dialkylamino, para to the reacting aromatic carbon</t>
        </is>
      </c>
      <c r="D55" s="7" t="inlineStr">
        <is>
          <t>ring substituent (position)</t>
        </is>
      </c>
      <c r="E55" s="7" t="inlineStr">
        <is>
          <t>electronic</t>
        </is>
      </c>
      <c r="F55" s="7" t="inlineStr">
        <is>
          <t>aromatic C</t>
        </is>
      </c>
      <c r="G55" s="7" t="inlineStr">
        <is>
          <t>[c;$(c1:a:a:c(-[NX3;H0;+0;!$(N-C=O);!$(N-S=O);!$(N(-c)-c);!900*]([#6])[#6]):a:a:1),$([c;r5]:[c;r5]:[c;r5]:[c;r5]-[NX3;H0;+0;!$(N-C=O);!$(N-S=O);!$(N(-c)-c);!900*]([#6])[#6])]</t>
        </is>
      </c>
      <c r="H55" s="7" t="inlineStr">
        <is>
          <t>[c]-[NX3;H0;+0;!$(N-C=O);!$(N-S=O);!$(N(-c)-c)]([#6])[#6]</t>
        </is>
      </c>
      <c r="I55" s="7" t="inlineStr"/>
      <c r="J55" s="7" t="inlineStr"/>
      <c r="K55" s="7" t="inlineStr"/>
      <c r="L55" s="7" t="inlineStr"/>
      <c r="M55" s="7" t="n"/>
      <c r="N55" s="7" t="inlineStr"/>
      <c r="O55" s="7" t="inlineStr">
        <is>
          <t>yes</t>
        </is>
      </c>
      <c r="P55" s="7" t="inlineStr"/>
      <c r="Q55" s="7" t="inlineStr">
        <is>
          <t>on the ring atom opposite the reacting carbon, inside the same six-membered ring (para)</t>
        </is>
      </c>
      <c r="R55" s="7" t="inlineStr">
        <is>
          <t>donates electrons: speeds electrophilic substitution at the ring carbon, slows nucleophilic attack (SNAr, oxidative addition). At para induction and resonance both act.</t>
        </is>
      </c>
      <c r="S55" s="7" t="inlineStr">
        <is>
          <t>dialkylamino (σp -0.83): the N lone pair donates strongly into the ring (resonance)</t>
        </is>
      </c>
      <c r="T55" s="7" t="n">
        <v>-0.83</v>
      </c>
      <c r="U55" s="10" t="n">
        <v>2.07</v>
      </c>
      <c r="V55" s="7" t="inlineStr">
        <is>
          <t>acyl substitution +4.25 (n=332; winner had it 88 % vs 31 % at random) · arene ch +3.62 (n=142; winner had it 75 % vs 28 % at random) · carbonyl addition +2.39 (n=62; winner had it 85 % vs 34 % at random) · n nucleophile +2.17 (n=83; winner had it 76 % vs 39 % at random) · deprotection +1.78 (n=27; winner had it 70 % vs 37 % at random) · aryl halide +1.09 (n=97; winner had it 53 % vs 36 % at random)</t>
        </is>
      </c>
      <c r="W55" s="7" t="n">
        <v>790</v>
      </c>
      <c r="X55" s="7" t="n">
        <v>440</v>
      </c>
      <c r="Y55" s="9" t="n">
        <v>0.7759</v>
      </c>
      <c r="Z55" s="9" t="n">
        <v>0.3249</v>
      </c>
      <c r="AA55" s="7" t="n"/>
      <c r="AB55" s="7" t="n"/>
      <c r="AC55" s="7" t="n"/>
      <c r="AD55" s="7" t="n"/>
      <c r="AE55" s="7" t="inlineStr">
        <is>
          <t>learned from the training patents (tools/int_train.py)</t>
        </is>
      </c>
      <c r="AF55" s="7" t="inlineStr">
        <is>
          <t>Hansch, Leo, Taft, Chem. Rev. 91, 165 (1991); Clayden, Organic Chemistry (aromatic substitution)</t>
        </is>
      </c>
    </row>
    <row r="56">
      <c r="A56" s="7" t="inlineStr">
        <is>
          <t>I055</t>
        </is>
      </c>
      <c r="B56" s="7" t="inlineStr">
        <is>
          <t>ring-ortho-nh</t>
        </is>
      </c>
      <c r="C56" s="7" t="inlineStr">
        <is>
          <t>amino (NH2, NHR), ortho to the reacting aromatic carbon</t>
        </is>
      </c>
      <c r="D56" s="7" t="inlineStr">
        <is>
          <t>ring substituent (position)</t>
        </is>
      </c>
      <c r="E56" s="7" t="inlineStr">
        <is>
          <t>electronic</t>
        </is>
      </c>
      <c r="F56" s="7" t="inlineStr">
        <is>
          <t>aromatic C</t>
        </is>
      </c>
      <c r="G56" s="7" t="inlineStr">
        <is>
          <t>[c;$(c:c-[NX3;H2,H1;+0;!$(N-[C,S,P]=[O,S,N]);!$(N-[#7,#8]);!900*])]</t>
        </is>
      </c>
      <c r="H56" s="7" t="inlineStr">
        <is>
          <t>[c]-[NX3;H2,H1;+0;!$(N-[C,S,P]=[O,S,N]);!$(N-[#7,#8])]</t>
        </is>
      </c>
      <c r="I56" s="7" t="inlineStr"/>
      <c r="J56" s="7" t="inlineStr"/>
      <c r="K56" s="7" t="inlineStr"/>
      <c r="L56" s="7" t="inlineStr"/>
      <c r="M56" s="7" t="n"/>
      <c r="N56" s="7" t="inlineStr"/>
      <c r="O56" s="7" t="inlineStr">
        <is>
          <t>yes</t>
        </is>
      </c>
      <c r="P56" s="7" t="inlineStr"/>
      <c r="Q56" s="7" t="inlineStr">
        <is>
          <t>on the ring atom next to the reacting carbon (ortho)</t>
        </is>
      </c>
      <c r="R56" s="7" t="inlineStr">
        <is>
          <t>donates electrons: speeds electrophilic substitution at the ring carbon, slows nucleophilic attack (SNAr, oxidative addition). At ortho the electronic effect is like para, and the group also crowds the carbon.</t>
        </is>
      </c>
      <c r="S56" s="7" t="inlineStr">
        <is>
          <t>amino (NH2, NHR) (σp -0.66): the N lone pair donates strongly into the ring (resonance)</t>
        </is>
      </c>
      <c r="T56" s="7" t="n">
        <v>-0.66</v>
      </c>
      <c r="U56" s="10" t="n">
        <v>0.41</v>
      </c>
      <c r="V56" s="7" t="inlineStr">
        <is>
          <t>arene ch +2.65 (n=763; winner had it 69 % vs 36 % at random) · other +2.00 (n=37; winner had it 73 % vs 28 % at random) · acyl substitution +1.98 (n=868; winner had it 59 % vs 37 % at random) · n nucleophile -0.79 (n=193; winner had it 16 % vs 42 % at random) · aryl halide -0.78 (n=1590; winner had it 16 % vs 47 % at random) · redox other -0.37 (n=41; winner had it 22 % vs 36 % at random)</t>
        </is>
      </c>
      <c r="W56" s="7" t="n">
        <v>3828</v>
      </c>
      <c r="X56" s="7" t="n">
        <v>1806</v>
      </c>
      <c r="Y56" s="9" t="n">
        <v>0.3887</v>
      </c>
      <c r="Z56" s="9" t="n">
        <v>0.4101</v>
      </c>
      <c r="AA56" s="7" t="n"/>
      <c r="AB56" s="7" t="n"/>
      <c r="AC56" s="7" t="n"/>
      <c r="AD56" s="7" t="n"/>
      <c r="AE56" s="7" t="inlineStr">
        <is>
          <t>learned from the training patents (tools/int_train.py)</t>
        </is>
      </c>
      <c r="AF56" s="7" t="inlineStr">
        <is>
          <t>Hansch, Leo, Taft, Chem. Rev. 91, 165 (1991); Clayden, Organic Chemistry (aromatic substitution)</t>
        </is>
      </c>
    </row>
    <row r="57">
      <c r="A57" s="7" t="inlineStr">
        <is>
          <t>I056</t>
        </is>
      </c>
      <c r="B57" s="7" t="inlineStr">
        <is>
          <t>ring-meta-nh</t>
        </is>
      </c>
      <c r="C57" s="7" t="inlineStr">
        <is>
          <t>amino (NH2, NHR), meta to the reacting aromatic carbon</t>
        </is>
      </c>
      <c r="D57" s="7" t="inlineStr">
        <is>
          <t>ring substituent (position)</t>
        </is>
      </c>
      <c r="E57" s="7" t="inlineStr">
        <is>
          <t>electronic</t>
        </is>
      </c>
      <c r="F57" s="7" t="inlineStr">
        <is>
          <t>aromatic C</t>
        </is>
      </c>
      <c r="G57" s="7" t="inlineStr">
        <is>
          <t>[c;$(c1:a:c(-[NX3;H2,H1;+0;!$(N-[C,S,P]=[O,S,N]);!$(N-[#7,#8]);!900*]):a:a:a:1),$([c;r5]:[c;r5]:[c;r5]-[NX3;H2,H1;+0;!$(N-[C,S,P]=[O,S,N]);!$(N-[#7,#8]);!900*])]</t>
        </is>
      </c>
      <c r="H57" s="7" t="inlineStr">
        <is>
          <t>[c]-[NX3;H2,H1;+0;!$(N-[C,S,P]=[O,S,N]);!$(N-[#7,#8])]</t>
        </is>
      </c>
      <c r="I57" s="7" t="inlineStr"/>
      <c r="J57" s="7" t="inlineStr"/>
      <c r="K57" s="7" t="inlineStr"/>
      <c r="L57" s="7" t="inlineStr"/>
      <c r="M57" s="7" t="n"/>
      <c r="N57" s="7" t="inlineStr"/>
      <c r="O57" s="7" t="inlineStr">
        <is>
          <t>yes</t>
        </is>
      </c>
      <c r="P57" s="7" t="inlineStr"/>
      <c r="Q57" s="7" t="inlineStr">
        <is>
          <t>on the ring atom two bonds from the reacting carbon, inside the same six-membered ring (meta)</t>
        </is>
      </c>
      <c r="R57" s="7" t="inlineStr">
        <is>
          <t>donates electrons: speeds electrophilic substitution at the ring carbon, slows nucleophilic attack (SNAr, oxidative addition). At meta mostly the inductive part acts; resonance does not reach this position.</t>
        </is>
      </c>
      <c r="S57" s="7" t="inlineStr">
        <is>
          <t>amino (NH2, NHR) (σm -0.16): the N lone pair donates strongly into the ring (resonance)</t>
        </is>
      </c>
      <c r="T57" s="7" t="n">
        <v>-0.16</v>
      </c>
      <c r="U57" s="10" t="n">
        <v>-1.01</v>
      </c>
      <c r="V57" s="7" t="inlineStr">
        <is>
          <t>acyl substitution -2.64 (n=969; winner had it 3 % vs 40 % at random) · carbonyl addition -1.75 (n=142; winner had it 6 % vs 37 % at random) · deprotection -1.73 (n=84; winner had it 10 % vs 36 % at random) · n nucleophile -1.66 (n=208; winner had it 16 % vs 43 % at random) · alkyl substitution -1.52 (n=112; winner had it 14 % vs 41 % at random) · redox other -1.30 (n=34; winner had it 15 % vs 41 % at random)</t>
        </is>
      </c>
      <c r="W57" s="7" t="n">
        <v>4230</v>
      </c>
      <c r="X57" s="7" t="n">
        <v>1970</v>
      </c>
      <c r="Y57" s="9" t="n">
        <v>0.4059</v>
      </c>
      <c r="Z57" s="9" t="n">
        <v>0.4339</v>
      </c>
      <c r="AA57" s="7" t="n"/>
      <c r="AB57" s="7" t="n"/>
      <c r="AC57" s="7" t="n"/>
      <c r="AD57" s="7" t="n"/>
      <c r="AE57" s="7" t="inlineStr">
        <is>
          <t>learned from the training patents (tools/int_train.py)</t>
        </is>
      </c>
      <c r="AF57" s="7" t="inlineStr">
        <is>
          <t>Hansch, Leo, Taft, Chem. Rev. 91, 165 (1991); Clayden, Organic Chemistry (aromatic substitution)</t>
        </is>
      </c>
    </row>
    <row r="58">
      <c r="A58" s="7" t="inlineStr">
        <is>
          <t>I057</t>
        </is>
      </c>
      <c r="B58" s="7" t="inlineStr">
        <is>
          <t>ring-para-nh</t>
        </is>
      </c>
      <c r="C58" s="7" t="inlineStr">
        <is>
          <t>amino (NH2, NHR), para to the reacting aromatic carbon</t>
        </is>
      </c>
      <c r="D58" s="7" t="inlineStr">
        <is>
          <t>ring substituent (position)</t>
        </is>
      </c>
      <c r="E58" s="7" t="inlineStr">
        <is>
          <t>electronic</t>
        </is>
      </c>
      <c r="F58" s="7" t="inlineStr">
        <is>
          <t>aromatic C</t>
        </is>
      </c>
      <c r="G58" s="7" t="inlineStr">
        <is>
          <t>[c;$(c1:a:a:c(-[NX3;H2,H1;+0;!$(N-[C,S,P]=[O,S,N]);!$(N-[#7,#8]);!900*]):a:a:1),$([c;r5]:[c;r5]:[c;r5]:[c;r5]-[NX3;H2,H1;+0;!$(N-[C,S,P]=[O,S,N]);!$(N-[#7,#8]);!900*])]</t>
        </is>
      </c>
      <c r="H58" s="7" t="inlineStr">
        <is>
          <t>[c]-[NX3;H2,H1;+0;!$(N-[C,S,P]=[O,S,N]);!$(N-[#7,#8])]</t>
        </is>
      </c>
      <c r="I58" s="7" t="inlineStr"/>
      <c r="J58" s="7" t="inlineStr"/>
      <c r="K58" s="7" t="inlineStr"/>
      <c r="L58" s="7" t="inlineStr"/>
      <c r="M58" s="7" t="n"/>
      <c r="N58" s="7" t="inlineStr"/>
      <c r="O58" s="7" t="inlineStr">
        <is>
          <t>yes</t>
        </is>
      </c>
      <c r="P58" s="7" t="inlineStr"/>
      <c r="Q58" s="7" t="inlineStr">
        <is>
          <t>on the ring atom opposite the reacting carbon, inside the same six-membered ring (para)</t>
        </is>
      </c>
      <c r="R58" s="7" t="inlineStr">
        <is>
          <t>donates electrons: speeds electrophilic substitution at the ring carbon, slows nucleophilic attack (SNAr, oxidative addition). At para induction and resonance both act.</t>
        </is>
      </c>
      <c r="S58" s="7" t="inlineStr">
        <is>
          <t>amino (NH2, NHR) (σp -0.66): the N lone pair donates strongly into the ring (resonance)</t>
        </is>
      </c>
      <c r="T58" s="7" t="n">
        <v>-0.66</v>
      </c>
      <c r="U58" s="10" t="n">
        <v>0.99</v>
      </c>
      <c r="V58" s="7" t="inlineStr">
        <is>
          <t>arene ch +3.76 (n=410; winner had it 73 % vs 30 % at random) · acyl substitution +3.68 (n=622; winner had it 77 % vs 32 % at random) · other +1.83 (n=27; winner had it 48 % vs 28 % at random) · aryl halide -1.57 (n=647; winner had it 11 % vs 40 % at random) · redox other +1.14 (n=36; winner had it 64 % vs 35 % at random) · carbonyl addition +0.77 (n=99; winner had it 31 % vs 33 % at random)</t>
        </is>
      </c>
      <c r="W58" s="7" t="n">
        <v>2220</v>
      </c>
      <c r="X58" s="7" t="n">
        <v>1326</v>
      </c>
      <c r="Y58" s="9" t="n">
        <v>0.4671</v>
      </c>
      <c r="Z58" s="9" t="n">
        <v>0.3525</v>
      </c>
      <c r="AA58" s="7" t="n"/>
      <c r="AB58" s="7" t="n"/>
      <c r="AC58" s="7" t="n"/>
      <c r="AD58" s="7" t="n"/>
      <c r="AE58" s="7" t="inlineStr">
        <is>
          <t>learned from the training patents (tools/int_train.py)</t>
        </is>
      </c>
      <c r="AF58" s="7" t="inlineStr">
        <is>
          <t>Hansch, Leo, Taft, Chem. Rev. 91, 165 (1991); Clayden, Organic Chemistry (aromatic substitution)</t>
        </is>
      </c>
    </row>
    <row r="59">
      <c r="A59" s="7" t="inlineStr">
        <is>
          <t>I058</t>
        </is>
      </c>
      <c r="B59" s="7" t="inlineStr">
        <is>
          <t>ring-ortho-oh</t>
        </is>
      </c>
      <c r="C59" s="7" t="inlineStr">
        <is>
          <t>hydroxy, ortho to the reacting aromatic carbon</t>
        </is>
      </c>
      <c r="D59" s="7" t="inlineStr">
        <is>
          <t>ring substituent (position)</t>
        </is>
      </c>
      <c r="E59" s="7" t="inlineStr">
        <is>
          <t>electronic</t>
        </is>
      </c>
      <c r="F59" s="7" t="inlineStr">
        <is>
          <t>aromatic C</t>
        </is>
      </c>
      <c r="G59" s="7" t="inlineStr">
        <is>
          <t>[c;$(c:c-[OX2H1;!900*])]</t>
        </is>
      </c>
      <c r="H59" s="7" t="inlineStr">
        <is>
          <t>[c]-[OX2H1]</t>
        </is>
      </c>
      <c r="I59" s="7" t="inlineStr"/>
      <c r="J59" s="7" t="inlineStr"/>
      <c r="K59" s="7" t="inlineStr"/>
      <c r="L59" s="7" t="inlineStr"/>
      <c r="M59" s="7" t="n"/>
      <c r="N59" s="7" t="inlineStr"/>
      <c r="O59" s="7" t="inlineStr">
        <is>
          <t>yes</t>
        </is>
      </c>
      <c r="P59" s="7" t="inlineStr"/>
      <c r="Q59" s="7" t="inlineStr">
        <is>
          <t>on the ring atom next to the reacting carbon (ortho)</t>
        </is>
      </c>
      <c r="R59" s="7" t="inlineStr">
        <is>
          <t>donates electrons: speeds electrophilic substitution at the ring carbon, slows nucleophilic attack (SNAr, oxidative addition). At ortho the electronic effect is like para, and the group also crowds the carbon.</t>
        </is>
      </c>
      <c r="S59" s="7" t="inlineStr">
        <is>
          <t>hydroxy (σp -0.37): the O lone pair donates into the ring (resonance)</t>
        </is>
      </c>
      <c r="T59" s="7" t="n">
        <v>-0.37</v>
      </c>
      <c r="U59" s="10" t="n">
        <v>1.12</v>
      </c>
      <c r="V59" s="7" t="inlineStr">
        <is>
          <t>arene ch +2.95 (n=1015; winner had it 80 % vs 39 % at random) · other +2.28 (n=79; winner had it 73 % vs 23 % at random) · carbonyl addition +2.04 (n=430; winner had it 80 % vs 42 % at random) · acyl substitution +1.72 (n=905; winner had it 71 % vs 42 % at random) · n nucleophile +1.50 (n=107; winner had it 60 % vs 35 % at random) · redox other +1.09 (n=35; winner had it 60 % vs 37 % at random)</t>
        </is>
      </c>
      <c r="W59" s="7" t="n">
        <v>3499</v>
      </c>
      <c r="X59" s="7" t="n">
        <v>2055</v>
      </c>
      <c r="Y59" s="9" t="n">
        <v>0.6933</v>
      </c>
      <c r="Z59" s="9" t="n">
        <v>0.4034</v>
      </c>
      <c r="AA59" s="7" t="n"/>
      <c r="AB59" s="7" t="n"/>
      <c r="AC59" s="7" t="n"/>
      <c r="AD59" s="7" t="n"/>
      <c r="AE59" s="7" t="inlineStr">
        <is>
          <t>learned from the training patents (tools/int_train.py)</t>
        </is>
      </c>
      <c r="AF59" s="7" t="inlineStr">
        <is>
          <t>Hansch, Leo, Taft, Chem. Rev. 91, 165 (1991); Clayden, Organic Chemistry (aromatic substitution)</t>
        </is>
      </c>
    </row>
    <row r="60">
      <c r="A60" s="7" t="inlineStr">
        <is>
          <t>I059</t>
        </is>
      </c>
      <c r="B60" s="7" t="inlineStr">
        <is>
          <t>ring-meta-oh</t>
        </is>
      </c>
      <c r="C60" s="7" t="inlineStr">
        <is>
          <t>hydroxy, meta to the reacting aromatic carbon</t>
        </is>
      </c>
      <c r="D60" s="7" t="inlineStr">
        <is>
          <t>ring substituent (position)</t>
        </is>
      </c>
      <c r="E60" s="7" t="inlineStr">
        <is>
          <t>electronic</t>
        </is>
      </c>
      <c r="F60" s="7" t="inlineStr">
        <is>
          <t>aromatic C</t>
        </is>
      </c>
      <c r="G60" s="7" t="inlineStr">
        <is>
          <t>[c;$(c1:a:c(-[OX2H1;!900*]):a:a:a:1),$([c;r5]:[c;r5]:[c;r5]-[OX2H1;!900*])]</t>
        </is>
      </c>
      <c r="H60" s="7" t="inlineStr">
        <is>
          <t>[c]-[OX2H1]</t>
        </is>
      </c>
      <c r="I60" s="7" t="inlineStr"/>
      <c r="J60" s="7" t="inlineStr"/>
      <c r="K60" s="7" t="inlineStr"/>
      <c r="L60" s="7" t="inlineStr"/>
      <c r="M60" s="7" t="n"/>
      <c r="N60" s="7" t="inlineStr"/>
      <c r="O60" s="7" t="inlineStr">
        <is>
          <t>yes</t>
        </is>
      </c>
      <c r="P60" s="7" t="inlineStr"/>
      <c r="Q60" s="7" t="inlineStr">
        <is>
          <t>on the ring atom two bonds from the reacting carbon, inside the same six-membered ring (meta)</t>
        </is>
      </c>
      <c r="R60" s="7" t="inlineStr">
        <is>
          <t>donates electrons: speeds electrophilic substitution at the ring carbon, slows nucleophilic attack (SNAr, oxidative addition). At meta mostly the inductive part acts; resonance does not reach this position.</t>
        </is>
      </c>
      <c r="S60" s="7" t="inlineStr">
        <is>
          <t>hydroxy (σm +0.12): the O lone pair donates into the ring (resonance)</t>
        </is>
      </c>
      <c r="T60" s="7" t="n">
        <v>0.12</v>
      </c>
      <c r="U60" s="10" t="n">
        <v>-1.82</v>
      </c>
      <c r="V60" s="7" t="inlineStr">
        <is>
          <t>acyl substitution -2.91 (n=788; winner had it 4 % vs 39 % at random) · alkyl substitution -2.66 (n=153; winner had it 5 % vs 44 % at random) · carbonyl addition -2.50 (n=395; winner had it 3 % vs 38 % at random) · aryl halide -2.45 (n=173; winner had it 12 % vs 42 % at random) · deprotection -2.37 (n=158; winner had it 9 % vs 39 % at random) · o nucleophile -1.70 (n=287; winner had it 9 % vs 42 % at random)</t>
        </is>
      </c>
      <c r="W60" s="7" t="n">
        <v>3281</v>
      </c>
      <c r="X60" s="7" t="n">
        <v>1949</v>
      </c>
      <c r="Y60" s="9" t="n">
        <v>0.0485</v>
      </c>
      <c r="Z60" s="9" t="n">
        <v>0.396</v>
      </c>
      <c r="AA60" s="7" t="n"/>
      <c r="AB60" s="7" t="n"/>
      <c r="AC60" s="7" t="n"/>
      <c r="AD60" s="7" t="n"/>
      <c r="AE60" s="7" t="inlineStr">
        <is>
          <t>learned from the training patents (tools/int_train.py)</t>
        </is>
      </c>
      <c r="AF60" s="7" t="inlineStr">
        <is>
          <t>Hansch, Leo, Taft, Chem. Rev. 91, 165 (1991); Clayden, Organic Chemistry (aromatic substitution)</t>
        </is>
      </c>
    </row>
    <row r="61">
      <c r="A61" s="7" t="inlineStr">
        <is>
          <t>I060</t>
        </is>
      </c>
      <c r="B61" s="7" t="inlineStr">
        <is>
          <t>ring-para-oh</t>
        </is>
      </c>
      <c r="C61" s="7" t="inlineStr">
        <is>
          <t>hydroxy, para to the reacting aromatic carbon</t>
        </is>
      </c>
      <c r="D61" s="7" t="inlineStr">
        <is>
          <t>ring substituent (position)</t>
        </is>
      </c>
      <c r="E61" s="7" t="inlineStr">
        <is>
          <t>electronic</t>
        </is>
      </c>
      <c r="F61" s="7" t="inlineStr">
        <is>
          <t>aromatic C</t>
        </is>
      </c>
      <c r="G61" s="7" t="inlineStr">
        <is>
          <t>[c;$(c1:a:a:c(-[OX2H1;!900*]):a:a:1),$([c;r5]:[c;r5]:[c;r5]:[c;r5]-[OX2H1;!900*])]</t>
        </is>
      </c>
      <c r="H61" s="7" t="inlineStr">
        <is>
          <t>[c]-[OX2H1]</t>
        </is>
      </c>
      <c r="I61" s="7" t="inlineStr"/>
      <c r="J61" s="7" t="inlineStr"/>
      <c r="K61" s="7" t="inlineStr"/>
      <c r="L61" s="7" t="inlineStr"/>
      <c r="M61" s="7" t="n"/>
      <c r="N61" s="7" t="inlineStr"/>
      <c r="O61" s="7" t="inlineStr">
        <is>
          <t>yes</t>
        </is>
      </c>
      <c r="P61" s="7" t="inlineStr"/>
      <c r="Q61" s="7" t="inlineStr">
        <is>
          <t>on the ring atom opposite the reacting carbon, inside the same six-membered ring (para)</t>
        </is>
      </c>
      <c r="R61" s="7" t="inlineStr">
        <is>
          <t>donates electrons: speeds electrophilic substitution at the ring carbon, slows nucleophilic attack (SNAr, oxidative addition). At para induction and resonance both act.</t>
        </is>
      </c>
      <c r="S61" s="7" t="inlineStr">
        <is>
          <t>hydroxy (σp -0.37): the O lone pair donates into the ring (resonance)</t>
        </is>
      </c>
      <c r="T61" s="7" t="n">
        <v>-0.37</v>
      </c>
      <c r="U61" s="10" t="n">
        <v>1.53</v>
      </c>
      <c r="V61" s="7" t="inlineStr">
        <is>
          <t>arene ch +3.30 (n=494; winner had it 61 % vs 31 % at random) · n nucleophile +2.66 (n=85; winner had it 79 % vs 32 % at random) · other +2.48 (n=33; winner had it 52 % vs 22 % at random) · unsaturated +2.11 (n=56; winner had it 79 % vs 41 % at random) · acyl substitution +2.07 (n=594; winner had it 62 % vs 36 % at random) · redox other +1.68 (n=31; winner had it 71 % vs 36 % at random)</t>
        </is>
      </c>
      <c r="W61" s="7" t="n">
        <v>2187</v>
      </c>
      <c r="X61" s="7" t="n">
        <v>1434</v>
      </c>
      <c r="Y61" s="9" t="n">
        <v>0.5263</v>
      </c>
      <c r="Z61" s="9" t="n">
        <v>0.359</v>
      </c>
      <c r="AA61" s="7" t="n"/>
      <c r="AB61" s="7" t="n"/>
      <c r="AC61" s="7" t="n"/>
      <c r="AD61" s="7" t="n"/>
      <c r="AE61" s="7" t="inlineStr">
        <is>
          <t>learned from the training patents (tools/int_train.py)</t>
        </is>
      </c>
      <c r="AF61" s="7" t="inlineStr">
        <is>
          <t>Hansch, Leo, Taft, Chem. Rev. 91, 165 (1991); Clayden, Organic Chemistry (aromatic substitution)</t>
        </is>
      </c>
    </row>
    <row r="62">
      <c r="A62" s="7" t="inlineStr">
        <is>
          <t>I061</t>
        </is>
      </c>
      <c r="B62" s="7" t="inlineStr">
        <is>
          <t>ring-ortho-or</t>
        </is>
      </c>
      <c r="C62" s="7" t="inlineStr">
        <is>
          <t>alkoxy, ortho to the reacting aromatic carbon</t>
        </is>
      </c>
      <c r="D62" s="7" t="inlineStr">
        <is>
          <t>ring substituent (position)</t>
        </is>
      </c>
      <c r="E62" s="7" t="inlineStr">
        <is>
          <t>electronic</t>
        </is>
      </c>
      <c r="F62" s="7" t="inlineStr">
        <is>
          <t>aromatic C</t>
        </is>
      </c>
      <c r="G62" s="7" t="inlineStr">
        <is>
          <t>[c;$(c:c-[OX2;!900*][CX4;!$(C(F)(F)F)])]</t>
        </is>
      </c>
      <c r="H62" s="7" t="inlineStr">
        <is>
          <t>[c]-[OX2][CX4;!$(C(F)(F)F)]</t>
        </is>
      </c>
      <c r="I62" s="7" t="inlineStr"/>
      <c r="J62" s="7" t="inlineStr"/>
      <c r="K62" s="7" t="inlineStr"/>
      <c r="L62" s="7" t="inlineStr"/>
      <c r="M62" s="7" t="n"/>
      <c r="N62" s="7" t="inlineStr"/>
      <c r="O62" s="7" t="inlineStr">
        <is>
          <t>yes</t>
        </is>
      </c>
      <c r="P62" s="7" t="inlineStr"/>
      <c r="Q62" s="7" t="inlineStr">
        <is>
          <t>on the ring atom next to the reacting carbon (ortho)</t>
        </is>
      </c>
      <c r="R62" s="7" t="inlineStr">
        <is>
          <t>donates electrons: speeds electrophilic substitution at the ring carbon, slows nucleophilic attack (SNAr, oxidative addition). At ortho the electronic effect is like para, and the group also crowds the carbon.</t>
        </is>
      </c>
      <c r="S62" s="7" t="inlineStr">
        <is>
          <t>alkoxy (σp -0.27): the O lone pair donates into the ring (resonance)</t>
        </is>
      </c>
      <c r="T62" s="7" t="n">
        <v>-0.27</v>
      </c>
      <c r="U62" s="10" t="n">
        <v>0.04</v>
      </c>
      <c r="V62" s="7" t="inlineStr">
        <is>
          <t>carbonyl addition -1.52 (n=839; winner had it 9 % vs 46 % at random) · other +1.01 (n=147; winner had it 37 % vs 24 % at random) · o nucleophile +0.99 (n=205; winner had it 52 % vs 46 % at random) · acyl substitution +0.70 (n=2002; winner had it 32 % vs 38 % at random) · aryl halide -0.60 (n=898; winner had it 30 % vs 46 % at random) · arene ch +0.59 (n=1695; winner had it 37 % vs 40 % at random)</t>
        </is>
      </c>
      <c r="W62" s="7" t="n">
        <v>7168</v>
      </c>
      <c r="X62" s="7" t="n">
        <v>3841</v>
      </c>
      <c r="Y62" s="9" t="n">
        <v>0.2999</v>
      </c>
      <c r="Z62" s="9" t="n">
        <v>0.415</v>
      </c>
      <c r="AA62" s="7" t="n"/>
      <c r="AB62" s="7" t="n"/>
      <c r="AC62" s="7" t="n"/>
      <c r="AD62" s="7" t="n"/>
      <c r="AE62" s="7" t="inlineStr">
        <is>
          <t>learned from the training patents (tools/int_train.py)</t>
        </is>
      </c>
      <c r="AF62" s="7" t="inlineStr">
        <is>
          <t>Hansch, Leo, Taft, Chem. Rev. 91, 165 (1991); Clayden, Organic Chemistry (aromatic substitution)</t>
        </is>
      </c>
    </row>
    <row r="63">
      <c r="A63" s="7" t="inlineStr">
        <is>
          <t>I062</t>
        </is>
      </c>
      <c r="B63" s="7" t="inlineStr">
        <is>
          <t>ring-meta-or</t>
        </is>
      </c>
      <c r="C63" s="7" t="inlineStr">
        <is>
          <t>alkoxy, meta to the reacting aromatic carbon</t>
        </is>
      </c>
      <c r="D63" s="7" t="inlineStr">
        <is>
          <t>ring substituent (position)</t>
        </is>
      </c>
      <c r="E63" s="7" t="inlineStr">
        <is>
          <t>electronic</t>
        </is>
      </c>
      <c r="F63" s="7" t="inlineStr">
        <is>
          <t>aromatic C</t>
        </is>
      </c>
      <c r="G63" s="7" t="inlineStr">
        <is>
          <t>[c;$(c1:a:c(-[OX2;!900*][CX4;!$(C(F)(F)F)]):a:a:a:1),$([c;r5]:[c;r5]:[c;r5]-[OX2;!900*][CX4;!$(C(F)(F)F)])]</t>
        </is>
      </c>
      <c r="H63" s="7" t="inlineStr">
        <is>
          <t>[c]-[OX2][CX4;!$(C(F)(F)F)]</t>
        </is>
      </c>
      <c r="I63" s="7" t="inlineStr"/>
      <c r="J63" s="7" t="inlineStr"/>
      <c r="K63" s="7" t="inlineStr"/>
      <c r="L63" s="7" t="inlineStr"/>
      <c r="M63" s="7" t="n"/>
      <c r="N63" s="7" t="inlineStr"/>
      <c r="O63" s="7" t="inlineStr">
        <is>
          <t>yes</t>
        </is>
      </c>
      <c r="P63" s="7" t="inlineStr"/>
      <c r="Q63" s="7" t="inlineStr">
        <is>
          <t>on the ring atom two bonds from the reacting carbon, inside the same six-membered ring (meta)</t>
        </is>
      </c>
      <c r="R63" s="7" t="inlineStr">
        <is>
          <t>donates electrons: speeds electrophilic substitution at the ring carbon, slows nucleophilic attack (SNAr, oxidative addition). At meta mostly the inductive part acts; resonance does not reach this position.</t>
        </is>
      </c>
      <c r="S63" s="7" t="inlineStr">
        <is>
          <t>alkoxy (σm +0.12): the O lone pair donates into the ring (resonance)</t>
        </is>
      </c>
      <c r="T63" s="7" t="n">
        <v>0.12</v>
      </c>
      <c r="U63" s="10" t="n">
        <v>-0.42</v>
      </c>
      <c r="V63" s="7" t="inlineStr">
        <is>
          <t>carbonyl addition -1.25 (n=632; winner had it 11 % vs 44 % at random) · aryl halide -0.87 (n=630; winner had it 33 % vs 44 % at random) · acyl substitution -0.83 (n=1612; winner had it 16 % vs 34 % at random) · o nucleophile +0.78 (n=169; winner had it 64 % vs 43 % at random) · alkyl substitution -0.68 (n=370; winner had it 26 % vs 42 % at random) · arene ch -0.68 (n=1541; winner had it 20 % vs 38 % at random)</t>
        </is>
      </c>
      <c r="W63" s="7" t="n">
        <v>5634</v>
      </c>
      <c r="X63" s="7" t="n">
        <v>3154</v>
      </c>
      <c r="Y63" s="9" t="n">
        <v>0.2204</v>
      </c>
      <c r="Z63" s="9" t="n">
        <v>0.3825</v>
      </c>
      <c r="AA63" s="7" t="n"/>
      <c r="AB63" s="7" t="n"/>
      <c r="AC63" s="7" t="n"/>
      <c r="AD63" s="7" t="n"/>
      <c r="AE63" s="7" t="inlineStr">
        <is>
          <t>learned from the training patents (tools/int_train.py)</t>
        </is>
      </c>
      <c r="AF63" s="7" t="inlineStr">
        <is>
          <t>Hansch, Leo, Taft, Chem. Rev. 91, 165 (1991); Clayden, Organic Chemistry (aromatic substitution)</t>
        </is>
      </c>
    </row>
    <row r="64">
      <c r="A64" s="7" t="inlineStr">
        <is>
          <t>I063</t>
        </is>
      </c>
      <c r="B64" s="7" t="inlineStr">
        <is>
          <t>ring-para-or</t>
        </is>
      </c>
      <c r="C64" s="7" t="inlineStr">
        <is>
          <t>alkoxy, para to the reacting aromatic carbon</t>
        </is>
      </c>
      <c r="D64" s="7" t="inlineStr">
        <is>
          <t>ring substituent (position)</t>
        </is>
      </c>
      <c r="E64" s="7" t="inlineStr">
        <is>
          <t>electronic</t>
        </is>
      </c>
      <c r="F64" s="7" t="inlineStr">
        <is>
          <t>aromatic C</t>
        </is>
      </c>
      <c r="G64" s="7" t="inlineStr">
        <is>
          <t>[c;$(c1:a:a:c(-[OX2;!900*][CX4;!$(C(F)(F)F)]):a:a:1),$([c;r5]:[c;r5]:[c;r5]:[c;r5]-[OX2;!900*][CX4;!$(C(F)(F)F)])]</t>
        </is>
      </c>
      <c r="H64" s="7" t="inlineStr">
        <is>
          <t>[c]-[OX2][CX4;!$(C(F)(F)F)]</t>
        </is>
      </c>
      <c r="I64" s="7" t="inlineStr"/>
      <c r="J64" s="7" t="inlineStr"/>
      <c r="K64" s="7" t="inlineStr"/>
      <c r="L64" s="7" t="inlineStr"/>
      <c r="M64" s="7" t="n"/>
      <c r="N64" s="7" t="inlineStr"/>
      <c r="O64" s="7" t="inlineStr">
        <is>
          <t>yes</t>
        </is>
      </c>
      <c r="P64" s="7" t="inlineStr"/>
      <c r="Q64" s="7" t="inlineStr">
        <is>
          <t>on the ring atom opposite the reacting carbon, inside the same six-membered ring (para)</t>
        </is>
      </c>
      <c r="R64" s="7" t="inlineStr">
        <is>
          <t>donates electrons: speeds electrophilic substitution at the ring carbon, slows nucleophilic attack (SNAr, oxidative addition). At para induction and resonance both act.</t>
        </is>
      </c>
      <c r="S64" s="7" t="inlineStr">
        <is>
          <t>alkoxy (σp -0.27): the O lone pair donates into the ring (resonance)</t>
        </is>
      </c>
      <c r="T64" s="7" t="n">
        <v>-0.27</v>
      </c>
      <c r="U64" s="10" t="n">
        <v>1.36</v>
      </c>
      <c r="V64" s="7" t="inlineStr">
        <is>
          <t>arene ch +2.69 (n=1021; winner had it 71 % vs 32 % at random) · acyl substitution +2.64 (n=1344; winner had it 67 % vs 33 % at random) · other +2.27 (n=86; winner had it 58 % vs 22 % at random) · o nucleophile +2.11 (n=205; winner had it 77 % vs 42 % at random) · unsaturated +1.77 (n=42; winner had it 86 % vs 46 % at random) · redox other +1.51 (n=34; winner had it 68 % vs 42 % at random)</t>
        </is>
      </c>
      <c r="W64" s="7" t="n">
        <v>4375</v>
      </c>
      <c r="X64" s="7" t="n">
        <v>2551</v>
      </c>
      <c r="Y64" s="9" t="n">
        <v>0.5822000000000001</v>
      </c>
      <c r="Z64" s="9" t="n">
        <v>0.3654</v>
      </c>
      <c r="AA64" s="7" t="n"/>
      <c r="AB64" s="7" t="n"/>
      <c r="AC64" s="7" t="n"/>
      <c r="AD64" s="7" t="n"/>
      <c r="AE64" s="7" t="inlineStr">
        <is>
          <t>learned from the training patents (tools/int_train.py)</t>
        </is>
      </c>
      <c r="AF64" s="7" t="inlineStr">
        <is>
          <t>Hansch, Leo, Taft, Chem. Rev. 91, 165 (1991); Clayden, Organic Chemistry (aromatic substitution)</t>
        </is>
      </c>
    </row>
    <row r="65">
      <c r="A65" s="7" t="inlineStr">
        <is>
          <t>I064</t>
        </is>
      </c>
      <c r="B65" s="7" t="inlineStr">
        <is>
          <t>ring-ortho-oar</t>
        </is>
      </c>
      <c r="C65" s="7" t="inlineStr">
        <is>
          <t>aryloxy, ortho to the reacting aromatic carbon</t>
        </is>
      </c>
      <c r="D65" s="7" t="inlineStr">
        <is>
          <t>ring substituent (position)</t>
        </is>
      </c>
      <c r="E65" s="7" t="inlineStr">
        <is>
          <t>electronic</t>
        </is>
      </c>
      <c r="F65" s="7" t="inlineStr">
        <is>
          <t>aromatic C</t>
        </is>
      </c>
      <c r="G65" s="7" t="inlineStr">
        <is>
          <t>[c;$(c:c-[OX2;!900*]c)]</t>
        </is>
      </c>
      <c r="H65" s="7" t="inlineStr">
        <is>
          <t>[c]-[OX2]c</t>
        </is>
      </c>
      <c r="I65" s="7" t="inlineStr"/>
      <c r="J65" s="7" t="inlineStr"/>
      <c r="K65" s="7" t="inlineStr"/>
      <c r="L65" s="7" t="inlineStr"/>
      <c r="M65" s="7" t="n"/>
      <c r="N65" s="7" t="inlineStr"/>
      <c r="O65" s="7" t="inlineStr">
        <is>
          <t>yes</t>
        </is>
      </c>
      <c r="P65" s="7" t="inlineStr"/>
      <c r="Q65" s="7" t="inlineStr">
        <is>
          <t>on the ring atom next to the reacting carbon (ortho)</t>
        </is>
      </c>
      <c r="R65" s="7" t="inlineStr">
        <is>
          <t>donates electrons: speeds electrophilic substitution at the ring carbon, slows nucleophilic attack (SNAr, oxidative addition). At ortho the electronic effect is like para, and the group also crowds the carbon.</t>
        </is>
      </c>
      <c r="S65" s="7" t="inlineStr">
        <is>
          <t>aryloxy (σp -0.03): the O lone pair is shared with two rings: a weak donor</t>
        </is>
      </c>
      <c r="T65" s="7" t="n">
        <v>-0.03</v>
      </c>
      <c r="U65" s="10" t="n">
        <v>-0.2</v>
      </c>
      <c r="V65" s="7" t="inlineStr">
        <is>
          <t>arene ch -0.92 (n=95; winner had it 12 % vs 37 % at random) · deprotection -0.92 (n=37; winner had it 11 % vs 36 % at random) · acyl substitution +0.38 (n=159; winner had it 27 % vs 36 % at random)</t>
        </is>
      </c>
      <c r="W65" s="7" t="n">
        <v>530</v>
      </c>
      <c r="X65" s="7" t="n">
        <v>304</v>
      </c>
      <c r="Y65" s="9" t="n">
        <v>0.2358</v>
      </c>
      <c r="Z65" s="9" t="n">
        <v>0.3836</v>
      </c>
      <c r="AA65" s="7" t="n"/>
      <c r="AB65" s="7" t="n"/>
      <c r="AC65" s="7" t="n"/>
      <c r="AD65" s="7" t="n"/>
      <c r="AE65" s="7" t="inlineStr">
        <is>
          <t>learned from the training patents (tools/int_train.py)</t>
        </is>
      </c>
      <c r="AF65" s="7" t="inlineStr">
        <is>
          <t>Hansch, Leo, Taft, Chem. Rev. 91, 165 (1991); Clayden, Organic Chemistry (aromatic substitution)</t>
        </is>
      </c>
    </row>
    <row r="66">
      <c r="A66" s="7" t="inlineStr">
        <is>
          <t>I065</t>
        </is>
      </c>
      <c r="B66" s="7" t="inlineStr">
        <is>
          <t>ring-meta-oar</t>
        </is>
      </c>
      <c r="C66" s="7" t="inlineStr">
        <is>
          <t>aryloxy, meta to the reacting aromatic carbon</t>
        </is>
      </c>
      <c r="D66" s="7" t="inlineStr">
        <is>
          <t>ring substituent (position)</t>
        </is>
      </c>
      <c r="E66" s="7" t="inlineStr">
        <is>
          <t>electronic</t>
        </is>
      </c>
      <c r="F66" s="7" t="inlineStr">
        <is>
          <t>aromatic C</t>
        </is>
      </c>
      <c r="G66" s="7" t="inlineStr">
        <is>
          <t>[c;$(c1:a:c(-[OX2;!900*]c):a:a:a:1),$([c;r5]:[c;r5]:[c;r5]-[OX2;!900*]c)]</t>
        </is>
      </c>
      <c r="H66" s="7" t="inlineStr">
        <is>
          <t>[c]-[OX2]c</t>
        </is>
      </c>
      <c r="I66" s="7" t="inlineStr"/>
      <c r="J66" s="7" t="inlineStr"/>
      <c r="K66" s="7" t="inlineStr"/>
      <c r="L66" s="7" t="inlineStr"/>
      <c r="M66" s="7" t="n"/>
      <c r="N66" s="7" t="inlineStr"/>
      <c r="O66" s="7" t="inlineStr">
        <is>
          <t>yes</t>
        </is>
      </c>
      <c r="P66" s="7" t="inlineStr"/>
      <c r="Q66" s="7" t="inlineStr">
        <is>
          <t>on the ring atom two bonds from the reacting carbon, inside the same six-membered ring (meta)</t>
        </is>
      </c>
      <c r="R66" s="7" t="inlineStr">
        <is>
          <t>donates electrons: speeds electrophilic substitution at the ring carbon, slows nucleophilic attack (SNAr, oxidative addition). At meta mostly the inductive part acts; resonance does not reach this position.</t>
        </is>
      </c>
      <c r="S66" s="7" t="inlineStr">
        <is>
          <t>aryloxy (σm +0.25): the O lone pair is shared with two rings: a weak donor</t>
        </is>
      </c>
      <c r="T66" s="7" t="n">
        <v>0.25</v>
      </c>
      <c r="U66" s="10" t="n">
        <v>0.1</v>
      </c>
      <c r="V66" s="7" t="inlineStr">
        <is>
          <t>deprotection -1.11 (n=31; winner had it 16 % vs 38 % at random) · arene ch -0.20 (n=96; winner had it 44 % vs 44 % at random)</t>
        </is>
      </c>
      <c r="W66" s="7" t="n">
        <v>535</v>
      </c>
      <c r="X66" s="7" t="n">
        <v>294</v>
      </c>
      <c r="Y66" s="9" t="n">
        <v>0.4561</v>
      </c>
      <c r="Z66" s="9" t="n">
        <v>0.4206</v>
      </c>
      <c r="AA66" s="7" t="n"/>
      <c r="AB66" s="7" t="n"/>
      <c r="AC66" s="7" t="n"/>
      <c r="AD66" s="7" t="n"/>
      <c r="AE66" s="7" t="inlineStr">
        <is>
          <t>learned from the training patents (tools/int_train.py)</t>
        </is>
      </c>
      <c r="AF66" s="7" t="inlineStr">
        <is>
          <t>Hansch, Leo, Taft, Chem. Rev. 91, 165 (1991); Clayden, Organic Chemistry (aromatic substitution)</t>
        </is>
      </c>
    </row>
    <row r="67">
      <c r="A67" s="7" t="inlineStr">
        <is>
          <t>I066</t>
        </is>
      </c>
      <c r="B67" s="7" t="inlineStr">
        <is>
          <t>ring-para-oar</t>
        </is>
      </c>
      <c r="C67" s="7" t="inlineStr">
        <is>
          <t>aryloxy, para to the reacting aromatic carbon</t>
        </is>
      </c>
      <c r="D67" s="7" t="inlineStr">
        <is>
          <t>ring substituent (position)</t>
        </is>
      </c>
      <c r="E67" s="7" t="inlineStr">
        <is>
          <t>electronic</t>
        </is>
      </c>
      <c r="F67" s="7" t="inlineStr">
        <is>
          <t>aromatic C</t>
        </is>
      </c>
      <c r="G67" s="7" t="inlineStr">
        <is>
          <t>[c;$(c1:a:a:c(-[OX2;!900*]c):a:a:1),$([c;r5]:[c;r5]:[c;r5]:[c;r5]-[OX2;!900*]c)]</t>
        </is>
      </c>
      <c r="H67" s="7" t="inlineStr">
        <is>
          <t>[c]-[OX2]c</t>
        </is>
      </c>
      <c r="I67" s="7" t="inlineStr"/>
      <c r="J67" s="7" t="inlineStr"/>
      <c r="K67" s="7" t="inlineStr"/>
      <c r="L67" s="7" t="inlineStr"/>
      <c r="M67" s="7" t="n"/>
      <c r="N67" s="7" t="inlineStr"/>
      <c r="O67" s="7" t="inlineStr">
        <is>
          <t>yes</t>
        </is>
      </c>
      <c r="P67" s="7" t="inlineStr"/>
      <c r="Q67" s="7" t="inlineStr">
        <is>
          <t>on the ring atom opposite the reacting carbon, inside the same six-membered ring (para)</t>
        </is>
      </c>
      <c r="R67" s="7" t="inlineStr">
        <is>
          <t>donates electrons: speeds electrophilic substitution at the ring carbon, slows nucleophilic attack (SNAr, oxidative addition). At para induction and resonance both act.</t>
        </is>
      </c>
      <c r="S67" s="7" t="inlineStr">
        <is>
          <t>aryloxy (σp -0.03): the O lone pair is shared with two rings: a weak donor</t>
        </is>
      </c>
      <c r="T67" s="7" t="n">
        <v>-0.03</v>
      </c>
      <c r="U67" s="10" t="n">
        <v>1.3</v>
      </c>
      <c r="V67" s="7" t="inlineStr">
        <is>
          <t>arene ch +1.95 (n=57; winner had it 53 % vs 20 % at random) · other +1.78 (n=42; winner had it 55 % vs 24 % at random) · acyl substitution +1.62 (n=102; winner had it 41 % vs 27 % at random) · o nucleophile +1.20 (n=35; winner had it 46 % vs 32 % at random) · aryl halide +1.03 (n=49; winner had it 45 % vs 39 % at random)</t>
        </is>
      </c>
      <c r="W67" s="7" t="n">
        <v>369</v>
      </c>
      <c r="X67" s="7" t="n">
        <v>238</v>
      </c>
      <c r="Y67" s="9" t="n">
        <v>0.4824</v>
      </c>
      <c r="Z67" s="9" t="n">
        <v>0.3007</v>
      </c>
      <c r="AA67" s="7" t="n"/>
      <c r="AB67" s="7" t="n"/>
      <c r="AC67" s="7" t="n"/>
      <c r="AD67" s="7" t="n"/>
      <c r="AE67" s="7" t="inlineStr">
        <is>
          <t>learned from the training patents (tools/int_train.py)</t>
        </is>
      </c>
      <c r="AF67" s="7" t="inlineStr">
        <is>
          <t>Hansch, Leo, Taft, Chem. Rev. 91, 165 (1991); Clayden, Organic Chemistry (aromatic substitution)</t>
        </is>
      </c>
    </row>
    <row r="68">
      <c r="A68" s="7" t="inlineStr">
        <is>
          <t>I067</t>
        </is>
      </c>
      <c r="B68" s="7" t="inlineStr">
        <is>
          <t>ring-ortho-ocor</t>
        </is>
      </c>
      <c r="C68" s="7" t="inlineStr">
        <is>
          <t>acyloxy, ortho to the reacting aromatic carbon</t>
        </is>
      </c>
      <c r="D68" s="7" t="inlineStr">
        <is>
          <t>ring substituent (position)</t>
        </is>
      </c>
      <c r="E68" s="7" t="inlineStr">
        <is>
          <t>electronic</t>
        </is>
      </c>
      <c r="F68" s="7" t="inlineStr">
        <is>
          <t>aromatic C</t>
        </is>
      </c>
      <c r="G68" s="7" t="inlineStr">
        <is>
          <t>[c;$(c:c-[OX2;!900*]C(=O))]</t>
        </is>
      </c>
      <c r="H68" s="7" t="inlineStr">
        <is>
          <t>[c]-[OX2]C(=O)</t>
        </is>
      </c>
      <c r="I68" s="7" t="inlineStr"/>
      <c r="J68" s="7" t="inlineStr"/>
      <c r="K68" s="7" t="inlineStr"/>
      <c r="L68" s="7" t="inlineStr"/>
      <c r="M68" s="7" t="n"/>
      <c r="N68" s="7" t="inlineStr"/>
      <c r="O68" s="7" t="inlineStr">
        <is>
          <t>yes</t>
        </is>
      </c>
      <c r="P68" s="7" t="inlineStr"/>
      <c r="Q68" s="7" t="inlineStr">
        <is>
          <t>on the ring atom next to the reacting carbon (ortho)</t>
        </is>
      </c>
      <c r="R68" s="7" t="inlineStr">
        <is>
          <t>withdraws by induction (σp &gt; 0: speeds nucleophilic attack a little) yet donates to a cation by resonance (σp⁺ &lt; 0): a moderate activator of electrophilic substitution that directs ortho/para. At ortho the electronic effect is like para, and the group also crowds the carbon.</t>
        </is>
      </c>
      <c r="S68" s="7" t="inlineStr">
        <is>
          <t>acyloxy (σp +0.31): the O lone pair is shared with the C=O: it withdraws by induction (σp is positive) yet donates to a cation by resonance (σp⁺ −0.19)</t>
        </is>
      </c>
      <c r="T68" s="7" t="n">
        <v>0.31</v>
      </c>
      <c r="U68" s="10" t="n">
        <v>-0.09</v>
      </c>
      <c r="V68" s="7" t="inlineStr">
        <is>
          <t>arene ch -1.24 (n=72; winner had it 11 % vs 35 % at random) · acyl substitution -0.80 (n=32; winner had it 22 % vs 40 % at random)</t>
        </is>
      </c>
      <c r="W68" s="7" t="n">
        <v>155</v>
      </c>
      <c r="X68" s="7" t="n">
        <v>131</v>
      </c>
      <c r="Y68" s="9" t="n">
        <v>0.1935</v>
      </c>
      <c r="Z68" s="9" t="n">
        <v>0.3726</v>
      </c>
      <c r="AA68" s="7" t="n"/>
      <c r="AB68" s="7" t="n"/>
      <c r="AC68" s="7" t="n"/>
      <c r="AD68" s="7" t="n"/>
      <c r="AE68" s="7" t="inlineStr">
        <is>
          <t>learned from the training patents (tools/int_train.py)</t>
        </is>
      </c>
      <c r="AF68" s="7" t="inlineStr">
        <is>
          <t>Hansch, Leo, Taft, Chem. Rev. 91, 165 (1991); Clayden, Organic Chemistry (aromatic substitution)</t>
        </is>
      </c>
    </row>
    <row r="69">
      <c r="A69" s="7" t="inlineStr">
        <is>
          <t>I068</t>
        </is>
      </c>
      <c r="B69" s="7" t="inlineStr">
        <is>
          <t>ring-meta-ocor</t>
        </is>
      </c>
      <c r="C69" s="7" t="inlineStr">
        <is>
          <t>acyloxy, meta to the reacting aromatic carbon</t>
        </is>
      </c>
      <c r="D69" s="7" t="inlineStr">
        <is>
          <t>ring substituent (position)</t>
        </is>
      </c>
      <c r="E69" s="7" t="inlineStr">
        <is>
          <t>electronic</t>
        </is>
      </c>
      <c r="F69" s="7" t="inlineStr">
        <is>
          <t>aromatic C</t>
        </is>
      </c>
      <c r="G69" s="7" t="inlineStr">
        <is>
          <t>[c;$(c1:a:c(-[OX2;!900*]C(=O)):a:a:a:1),$([c;r5]:[c;r5]:[c;r5]-[OX2;!900*]C(=O))]</t>
        </is>
      </c>
      <c r="H69" s="7" t="inlineStr">
        <is>
          <t>[c]-[OX2]C(=O)</t>
        </is>
      </c>
      <c r="I69" s="7" t="inlineStr"/>
      <c r="J69" s="7" t="inlineStr"/>
      <c r="K69" s="7" t="inlineStr"/>
      <c r="L69" s="7" t="inlineStr"/>
      <c r="M69" s="7" t="n"/>
      <c r="N69" s="7" t="inlineStr"/>
      <c r="O69" s="7" t="inlineStr">
        <is>
          <t>yes</t>
        </is>
      </c>
      <c r="P69" s="7" t="inlineStr"/>
      <c r="Q69" s="7" t="inlineStr">
        <is>
          <t>on the ring atom two bonds from the reacting carbon, inside the same six-membered ring (meta)</t>
        </is>
      </c>
      <c r="R69" s="7" t="inlineStr">
        <is>
          <t>withdraws by induction (σp &gt; 0: speeds nucleophilic attack a little) yet donates to a cation by resonance (σp⁺ &lt; 0): a moderate activator of electrophilic substitution that directs ortho/para. At meta mostly the inductive part acts; resonance does not reach this position.</t>
        </is>
      </c>
      <c r="S69" s="7" t="inlineStr">
        <is>
          <t>acyloxy (σm +0.39): the O lone pair is shared with the C=O: it withdraws by induction (σp is positive) yet donates to a cation by resonance (σp⁺ −0.19)</t>
        </is>
      </c>
      <c r="T69" s="7" t="n">
        <v>0.39</v>
      </c>
      <c r="U69" s="10" t="n">
        <v>-0.4</v>
      </c>
      <c r="V69" s="7" t="inlineStr">
        <is>
          <t>acyl substitution -0.72 (n=28; winner had it 39 % vs 39 % at random) · arene ch -0.53 (n=73; winner had it 58 % vs 42 % at random)</t>
        </is>
      </c>
      <c r="W69" s="7" t="n">
        <v>143</v>
      </c>
      <c r="X69" s="7" t="n">
        <v>120</v>
      </c>
      <c r="Y69" s="9" t="n">
        <v>0.4685</v>
      </c>
      <c r="Z69" s="9" t="n">
        <v>0.4038</v>
      </c>
      <c r="AA69" s="7" t="n"/>
      <c r="AB69" s="7" t="n"/>
      <c r="AC69" s="7" t="n"/>
      <c r="AD69" s="7" t="n"/>
      <c r="AE69" s="7" t="inlineStr">
        <is>
          <t>learned from the training patents (tools/int_train.py)</t>
        </is>
      </c>
      <c r="AF69" s="7" t="inlineStr">
        <is>
          <t>Hansch, Leo, Taft, Chem. Rev. 91, 165 (1991); Clayden, Organic Chemistry (aromatic substitution)</t>
        </is>
      </c>
    </row>
    <row r="70">
      <c r="A70" s="7" t="inlineStr">
        <is>
          <t>I069</t>
        </is>
      </c>
      <c r="B70" s="7" t="inlineStr">
        <is>
          <t>ring-para-ocor</t>
        </is>
      </c>
      <c r="C70" s="7" t="inlineStr">
        <is>
          <t>acyloxy, para to the reacting aromatic carbon</t>
        </is>
      </c>
      <c r="D70" s="7" t="inlineStr">
        <is>
          <t>ring substituent (position)</t>
        </is>
      </c>
      <c r="E70" s="7" t="inlineStr">
        <is>
          <t>electronic</t>
        </is>
      </c>
      <c r="F70" s="7" t="inlineStr">
        <is>
          <t>aromatic C</t>
        </is>
      </c>
      <c r="G70" s="7" t="inlineStr">
        <is>
          <t>[c;$(c1:a:a:c(-[OX2;!900*]C(=O)):a:a:1),$([c;r5]:[c;r5]:[c;r5]:[c;r5]-[OX2;!900*]C(=O))]</t>
        </is>
      </c>
      <c r="H70" s="7" t="inlineStr">
        <is>
          <t>[c]-[OX2]C(=O)</t>
        </is>
      </c>
      <c r="I70" s="7" t="inlineStr"/>
      <c r="J70" s="7" t="inlineStr"/>
      <c r="K70" s="7" t="inlineStr"/>
      <c r="L70" s="7" t="inlineStr"/>
      <c r="M70" s="7" t="n"/>
      <c r="N70" s="7" t="inlineStr"/>
      <c r="O70" s="7" t="inlineStr">
        <is>
          <t>yes</t>
        </is>
      </c>
      <c r="P70" s="7" t="inlineStr"/>
      <c r="Q70" s="7" t="inlineStr">
        <is>
          <t>on the ring atom opposite the reacting carbon, inside the same six-membered ring (para)</t>
        </is>
      </c>
      <c r="R70" s="7" t="inlineStr">
        <is>
          <t>withdraws by induction (σp &gt; 0: speeds nucleophilic attack a little) yet donates to a cation by resonance (σp⁺ &lt; 0): a moderate activator of electrophilic substitution that directs ortho/para. At para induction and resonance both act.</t>
        </is>
      </c>
      <c r="S70" s="7" t="inlineStr">
        <is>
          <t>acyloxy (σp +0.31): the O lone pair is shared with the C=O: it withdraws by induction (σp is positive) yet donates to a cation by resonance (σp⁺ −0.19)</t>
        </is>
      </c>
      <c r="T70" s="7" t="n">
        <v>0.31</v>
      </c>
      <c r="U70" s="10" t="n">
        <v>0.9399999999999999</v>
      </c>
      <c r="V70" s="7" t="inlineStr">
        <is>
          <t>arene ch +0.23 (n=34; winner had it 35 % vs 29 % at random)</t>
        </is>
      </c>
      <c r="W70" s="7" t="n">
        <v>92</v>
      </c>
      <c r="X70" s="7" t="n">
        <v>74</v>
      </c>
      <c r="Y70" s="9" t="n">
        <v>0.4239</v>
      </c>
      <c r="Z70" s="9" t="n">
        <v>0.3327</v>
      </c>
      <c r="AA70" s="7" t="n"/>
      <c r="AB70" s="7" t="n"/>
      <c r="AC70" s="7" t="n"/>
      <c r="AD70" s="7" t="n"/>
      <c r="AE70" s="7" t="inlineStr">
        <is>
          <t>learned from the training patents (tools/int_train.py)</t>
        </is>
      </c>
      <c r="AF70" s="7" t="inlineStr">
        <is>
          <t>Hansch, Leo, Taft, Chem. Rev. 91, 165 (1991); Clayden, Organic Chemistry (aromatic substitution)</t>
        </is>
      </c>
    </row>
    <row r="71">
      <c r="A71" s="7" t="inlineStr">
        <is>
          <t>I070</t>
        </is>
      </c>
      <c r="B71" s="7" t="inlineStr">
        <is>
          <t>ring-ortho-methyl</t>
        </is>
      </c>
      <c r="C71" s="7" t="inlineStr">
        <is>
          <t>methyl, ortho to the reacting aromatic carbon</t>
        </is>
      </c>
      <c r="D71" s="7" t="inlineStr">
        <is>
          <t>ring substituent (position)</t>
        </is>
      </c>
      <c r="E71" s="7" t="inlineStr">
        <is>
          <t>electronic</t>
        </is>
      </c>
      <c r="F71" s="7" t="inlineStr">
        <is>
          <t>aromatic C</t>
        </is>
      </c>
      <c r="G71" s="7" t="inlineStr">
        <is>
          <t>[c;$(c:c-[CH3;!900*])]</t>
        </is>
      </c>
      <c r="H71" s="7" t="inlineStr">
        <is>
          <t>[c]-[CH3]</t>
        </is>
      </c>
      <c r="I71" s="7" t="inlineStr"/>
      <c r="J71" s="7" t="inlineStr"/>
      <c r="K71" s="7" t="inlineStr"/>
      <c r="L71" s="7" t="inlineStr"/>
      <c r="M71" s="7" t="n"/>
      <c r="N71" s="7" t="inlineStr"/>
      <c r="O71" s="7" t="inlineStr">
        <is>
          <t>yes</t>
        </is>
      </c>
      <c r="P71" s="7" t="inlineStr"/>
      <c r="Q71" s="7" t="inlineStr">
        <is>
          <t>on the ring atom next to the reacting carbon (ortho)</t>
        </is>
      </c>
      <c r="R71" s="7" t="inlineStr">
        <is>
          <t>donates electrons: speeds electrophilic substitution at the ring carbon, slows nucleophilic attack (SNAr, oxidative addition). At ortho the electronic effect is like para, and the group also crowds the carbon.</t>
        </is>
      </c>
      <c r="S71" s="7" t="inlineStr">
        <is>
          <t>methyl (σp -0.17): a weak donor (induction, hyperconjugation)</t>
        </is>
      </c>
      <c r="T71" s="7" t="n">
        <v>-0.17</v>
      </c>
      <c r="U71" s="10" t="n">
        <v>-0.3</v>
      </c>
      <c r="V71" s="7" t="inlineStr">
        <is>
          <t>other -1.30 (n=83; winner had it 11 % vs 31 % at random) · redox other -0.88 (n=38; winner had it 16 % vs 40 % at random) · o nucleophile -0.51 (n=138; winner had it 16 % vs 40 % at random) · acyl substitution +0.12 (n=1091; winner had it 39 % vs 37 % at random) · arene ch +0.06 (n=1125; winner had it 42 % vs 39 % at random) · deprotection +0.00 (n=162; winner had it 43 % vs 45 % at random)</t>
        </is>
      </c>
      <c r="W71" s="7" t="n">
        <v>4280</v>
      </c>
      <c r="X71" s="7" t="n">
        <v>2578</v>
      </c>
      <c r="Y71" s="9" t="n">
        <v>0.4313</v>
      </c>
      <c r="Z71" s="9" t="n">
        <v>0.4048</v>
      </c>
      <c r="AA71" s="7" t="n"/>
      <c r="AB71" s="7" t="n"/>
      <c r="AC71" s="7" t="n"/>
      <c r="AD71" s="7" t="n"/>
      <c r="AE71" s="7" t="inlineStr">
        <is>
          <t>learned from the training patents (tools/int_train.py)</t>
        </is>
      </c>
      <c r="AF71" s="7" t="inlineStr">
        <is>
          <t>Hansch, Leo, Taft, Chem. Rev. 91, 165 (1991); Clayden, Organic Chemistry (aromatic substitution)</t>
        </is>
      </c>
    </row>
    <row r="72">
      <c r="A72" s="7" t="inlineStr">
        <is>
          <t>I071</t>
        </is>
      </c>
      <c r="B72" s="7" t="inlineStr">
        <is>
          <t>ring-meta-methyl</t>
        </is>
      </c>
      <c r="C72" s="7" t="inlineStr">
        <is>
          <t>methyl, meta to the reacting aromatic carbon</t>
        </is>
      </c>
      <c r="D72" s="7" t="inlineStr">
        <is>
          <t>ring substituent (position)</t>
        </is>
      </c>
      <c r="E72" s="7" t="inlineStr">
        <is>
          <t>electronic</t>
        </is>
      </c>
      <c r="F72" s="7" t="inlineStr">
        <is>
          <t>aromatic C</t>
        </is>
      </c>
      <c r="G72" s="7" t="inlineStr">
        <is>
          <t>[c;$(c1:a:c(-[CH3;!900*]):a:a:a:1),$([c;r5]:[c;r5]:[c;r5]-[CH3;!900*])]</t>
        </is>
      </c>
      <c r="H72" s="7" t="inlineStr">
        <is>
          <t>[c]-[CH3]</t>
        </is>
      </c>
      <c r="I72" s="7" t="inlineStr"/>
      <c r="J72" s="7" t="inlineStr"/>
      <c r="K72" s="7" t="inlineStr"/>
      <c r="L72" s="7" t="inlineStr"/>
      <c r="M72" s="7" t="n"/>
      <c r="N72" s="7" t="inlineStr"/>
      <c r="O72" s="7" t="inlineStr">
        <is>
          <t>yes</t>
        </is>
      </c>
      <c r="P72" s="7" t="inlineStr"/>
      <c r="Q72" s="7" t="inlineStr">
        <is>
          <t>on the ring atom two bonds from the reacting carbon, inside the same six-membered ring (meta)</t>
        </is>
      </c>
      <c r="R72" s="7" t="inlineStr">
        <is>
          <t>donates electrons: speeds electrophilic substitution at the ring carbon, slows nucleophilic attack (SNAr, oxidative addition). At meta mostly the inductive part acts; resonance does not reach this position.</t>
        </is>
      </c>
      <c r="S72" s="7" t="inlineStr">
        <is>
          <t>methyl (σm -0.07): a weak donor (induction, hyperconjugation)</t>
        </is>
      </c>
      <c r="T72" s="7" t="n">
        <v>-0.07000000000000001</v>
      </c>
      <c r="U72" s="10" t="n">
        <v>0.04</v>
      </c>
      <c r="V72" s="7" t="inlineStr">
        <is>
          <t>carbonyl addition +0.92 (n=461; winner had it 74 % vs 46 % at random) · other -0.79 (n=74; winner had it 18 % vs 33 % at random) · o nucleophile +0.77 (n=128; winner had it 66 % vs 41 % at random) · n nucleophile -0.64 (n=120; winner had it 28 % vs 38 % at random) · arene ch -0.43 (n=978; winner had it 36 % vs 38 % at random) · unsaturated +0.42 (n=46; winner had it 65 % vs 41 % at random)</t>
        </is>
      </c>
      <c r="W72" s="7" t="n">
        <v>3394</v>
      </c>
      <c r="X72" s="7" t="n">
        <v>2109</v>
      </c>
      <c r="Y72" s="9" t="n">
        <v>0.4614</v>
      </c>
      <c r="Z72" s="9" t="n">
        <v>0.3989</v>
      </c>
      <c r="AA72" s="7" t="n"/>
      <c r="AB72" s="7" t="n"/>
      <c r="AC72" s="7" t="n"/>
      <c r="AD72" s="7" t="n"/>
      <c r="AE72" s="7" t="inlineStr">
        <is>
          <t>learned from the training patents (tools/int_train.py)</t>
        </is>
      </c>
      <c r="AF72" s="7" t="inlineStr">
        <is>
          <t>Hansch, Leo, Taft, Chem. Rev. 91, 165 (1991); Clayden, Organic Chemistry (aromatic substitution)</t>
        </is>
      </c>
    </row>
    <row r="73">
      <c r="A73" s="7" t="inlineStr">
        <is>
          <t>I072</t>
        </is>
      </c>
      <c r="B73" s="7" t="inlineStr">
        <is>
          <t>ring-para-methyl</t>
        </is>
      </c>
      <c r="C73" s="7" t="inlineStr">
        <is>
          <t>methyl, para to the reacting aromatic carbon</t>
        </is>
      </c>
      <c r="D73" s="7" t="inlineStr">
        <is>
          <t>ring substituent (position)</t>
        </is>
      </c>
      <c r="E73" s="7" t="inlineStr">
        <is>
          <t>electronic</t>
        </is>
      </c>
      <c r="F73" s="7" t="inlineStr">
        <is>
          <t>aromatic C</t>
        </is>
      </c>
      <c r="G73" s="7" t="inlineStr">
        <is>
          <t>[c;$(c1:a:a:c(-[CH3;!900*]):a:a:1),$([c;r5]:[c;r5]:[c;r5]:[c;r5]-[CH3;!900*])]</t>
        </is>
      </c>
      <c r="H73" s="7" t="inlineStr">
        <is>
          <t>[c]-[CH3]</t>
        </is>
      </c>
      <c r="I73" s="7" t="inlineStr"/>
      <c r="J73" s="7" t="inlineStr"/>
      <c r="K73" s="7" t="inlineStr"/>
      <c r="L73" s="7" t="inlineStr"/>
      <c r="M73" s="7" t="n"/>
      <c r="N73" s="7" t="inlineStr"/>
      <c r="O73" s="7" t="inlineStr">
        <is>
          <t>yes</t>
        </is>
      </c>
      <c r="P73" s="7" t="inlineStr"/>
      <c r="Q73" s="7" t="inlineStr">
        <is>
          <t>on the ring atom opposite the reacting carbon, inside the same six-membered ring (para)</t>
        </is>
      </c>
      <c r="R73" s="7" t="inlineStr">
        <is>
          <t>donates electrons: speeds electrophilic substitution at the ring carbon, slows nucleophilic attack (SNAr, oxidative addition). At para induction and resonance both act.</t>
        </is>
      </c>
      <c r="S73" s="7" t="inlineStr">
        <is>
          <t>methyl (σp -0.17): a weak donor (induction, hyperconjugation)</t>
        </is>
      </c>
      <c r="T73" s="7" t="n">
        <v>-0.17</v>
      </c>
      <c r="U73" s="10" t="n">
        <v>0.57</v>
      </c>
      <c r="V73" s="7" t="inlineStr">
        <is>
          <t>carbonyl addition +1.34 (n=356; winner had it 77 % vs 45 % at random) · acyl substitution +1.23 (n=663; winner had it 48 % vs 33 % at random) · alkyl substitution +0.93 (n=140; winner had it 58 % vs 38 % at random) · unsaturated +0.90 (n=38; winner had it 39 % vs 40 % at random) · o nucleophile +0.82 (n=85; winner had it 42 % vs 36 % at random) · redox other +0.63 (n=33; winner had it 45 % vs 40 % at random)</t>
        </is>
      </c>
      <c r="W73" s="7" t="n">
        <v>2469</v>
      </c>
      <c r="X73" s="7" t="n">
        <v>1576</v>
      </c>
      <c r="Y73" s="9" t="n">
        <v>0.4779</v>
      </c>
      <c r="Z73" s="9" t="n">
        <v>0.3774</v>
      </c>
      <c r="AA73" s="7" t="n"/>
      <c r="AB73" s="7" t="n"/>
      <c r="AC73" s="7" t="n"/>
      <c r="AD73" s="7" t="n"/>
      <c r="AE73" s="7" t="inlineStr">
        <is>
          <t>learned from the training patents (tools/int_train.py)</t>
        </is>
      </c>
      <c r="AF73" s="7" t="inlineStr">
        <is>
          <t>Hansch, Leo, Taft, Chem. Rev. 91, 165 (1991); Clayden, Organic Chemistry (aromatic substitution)</t>
        </is>
      </c>
    </row>
    <row r="74">
      <c r="A74" s="7" t="inlineStr">
        <is>
          <t>I073</t>
        </is>
      </c>
      <c r="B74" s="7" t="inlineStr">
        <is>
          <t>ring-ortho-alkyl</t>
        </is>
      </c>
      <c r="C74" s="7" t="inlineStr">
        <is>
          <t>alkyl (not methyl), ortho to the reacting aromatic carbon</t>
        </is>
      </c>
      <c r="D74" s="7" t="inlineStr">
        <is>
          <t>ring substituent (position)</t>
        </is>
      </c>
      <c r="E74" s="7" t="inlineStr">
        <is>
          <t>electronic</t>
        </is>
      </c>
      <c r="F74" s="7" t="inlineStr">
        <is>
          <t>aromatic C</t>
        </is>
      </c>
      <c r="G74" s="7" t="inlineStr">
        <is>
          <t>[c;$(c:c-[CX4;!H3;!$(C-[F,Cl,Br,I,$(C#N)]);!900*])]</t>
        </is>
      </c>
      <c r="H74" s="7" t="inlineStr">
        <is>
          <t>[c]-[CX4;!H3;!$(C-[F,Cl,Br,I,$(C#N)])]</t>
        </is>
      </c>
      <c r="I74" s="7" t="inlineStr"/>
      <c r="J74" s="7" t="inlineStr"/>
      <c r="K74" s="7" t="inlineStr"/>
      <c r="L74" s="7" t="inlineStr"/>
      <c r="M74" s="7" t="n"/>
      <c r="N74" s="7" t="inlineStr"/>
      <c r="O74" s="7" t="inlineStr">
        <is>
          <t>yes</t>
        </is>
      </c>
      <c r="P74" s="7" t="inlineStr"/>
      <c r="Q74" s="7" t="inlineStr">
        <is>
          <t>on the ring atom next to the reacting carbon (ortho)</t>
        </is>
      </c>
      <c r="R74" s="7" t="inlineStr">
        <is>
          <t>donates electrons: speeds electrophilic substitution at the ring carbon, slows nucleophilic attack (SNAr, oxidative addition). At ortho the electronic effect is like para, and the group also crowds the carbon.</t>
        </is>
      </c>
      <c r="S74" s="7" t="inlineStr">
        <is>
          <t>alkyl (not methyl) (σp -0.15): a weak donor (induction, hyperconjugation); bulkier than methyl</t>
        </is>
      </c>
      <c r="T74" s="7" t="n">
        <v>-0.15</v>
      </c>
      <c r="U74" s="10" t="n">
        <v>-0.16</v>
      </c>
      <c r="V74" s="7" t="inlineStr">
        <is>
          <t>arene ch -0.65 (n=2344; winner had it 17 % vs 37 % at random) · o nucleophile -0.55 (n=191; winner had it 21 % vs 43 % at random) · acyl substitution -0.49 (n=2772; winner had it 19 % vs 35 % at random) · deprotection +0.26 (n=495; winner had it 37 % vs 39 % at random) · unsaturated +0.25 (n=102; winner had it 39 % vs 40 % at random) · alkyl substitution +0.11 (n=460; winner had it 31 % vs 38 % at random)</t>
        </is>
      </c>
      <c r="W74" s="7" t="n">
        <v>8795</v>
      </c>
      <c r="X74" s="7" t="n">
        <v>4582</v>
      </c>
      <c r="Y74" s="9" t="n">
        <v>0.2418</v>
      </c>
      <c r="Z74" s="9" t="n">
        <v>0.3797</v>
      </c>
      <c r="AA74" s="7" t="n"/>
      <c r="AB74" s="7" t="n"/>
      <c r="AC74" s="7" t="n"/>
      <c r="AD74" s="7" t="n"/>
      <c r="AE74" s="7" t="inlineStr">
        <is>
          <t>learned from the training patents (tools/int_train.py)</t>
        </is>
      </c>
      <c r="AF74" s="7" t="inlineStr">
        <is>
          <t>Hansch, Leo, Taft, Chem. Rev. 91, 165 (1991); Clayden, Organic Chemistry (aromatic substitution)</t>
        </is>
      </c>
    </row>
    <row r="75">
      <c r="A75" s="7" t="inlineStr">
        <is>
          <t>I074</t>
        </is>
      </c>
      <c r="B75" s="7" t="inlineStr">
        <is>
          <t>ring-meta-alkyl</t>
        </is>
      </c>
      <c r="C75" s="7" t="inlineStr">
        <is>
          <t>alkyl (not methyl), meta to the reacting aromatic carbon</t>
        </is>
      </c>
      <c r="D75" s="7" t="inlineStr">
        <is>
          <t>ring substituent (position)</t>
        </is>
      </c>
      <c r="E75" s="7" t="inlineStr">
        <is>
          <t>electronic</t>
        </is>
      </c>
      <c r="F75" s="7" t="inlineStr">
        <is>
          <t>aromatic C</t>
        </is>
      </c>
      <c r="G75" s="7" t="inlineStr">
        <is>
          <t>[c;$(c1:a:c(-[CX4;!H3;!$(C-[F,Cl,Br,I,$(C#N)]);!900*]):a:a:a:1),$([c;r5]:[c;r5]:[c;r5]-[CX4;!H3;!$(C-[F,Cl,Br,I,$(C#N)]);!900*])]</t>
        </is>
      </c>
      <c r="H75" s="7" t="inlineStr">
        <is>
          <t>[c]-[CX4;!H3;!$(C-[F,Cl,Br,I,$(C#N)])]</t>
        </is>
      </c>
      <c r="I75" s="7" t="inlineStr"/>
      <c r="J75" s="7" t="inlineStr"/>
      <c r="K75" s="7" t="inlineStr"/>
      <c r="L75" s="7" t="inlineStr"/>
      <c r="M75" s="7" t="n"/>
      <c r="N75" s="7" t="inlineStr"/>
      <c r="O75" s="7" t="inlineStr">
        <is>
          <t>yes</t>
        </is>
      </c>
      <c r="P75" s="7" t="inlineStr"/>
      <c r="Q75" s="7" t="inlineStr">
        <is>
          <t>on the ring atom two bonds from the reacting carbon, inside the same six-membered ring (meta)</t>
        </is>
      </c>
      <c r="R75" s="7" t="inlineStr">
        <is>
          <t>donates electrons: speeds electrophilic substitution at the ring carbon, slows nucleophilic attack (SNAr, oxidative addition). At meta mostly the inductive part acts; resonance does not reach this position.</t>
        </is>
      </c>
      <c r="S75" s="7" t="inlineStr">
        <is>
          <t>alkyl (not methyl) (σm -0.07): a weak donor (induction, hyperconjugation); bulkier than methyl</t>
        </is>
      </c>
      <c r="T75" s="7" t="n">
        <v>-0.07000000000000001</v>
      </c>
      <c r="U75" s="10" t="n">
        <v>0.21</v>
      </c>
      <c r="V75" s="7" t="inlineStr">
        <is>
          <t>carbonyl addition +0.92 (n=568; winner had it 65 % vs 41 % at random) · alkyl substitution +0.68 (n=344; winner had it 48 % vs 37 % at random) · o nucleophile -0.42 (n=198; winner had it 39 % vs 42 % at random) · aryl halide -0.09 (n=862; winner had it 41 % vs 41 % at random) · arene ch -0.09 (n=2129; winner had it 47 % vs 38 % at random)</t>
        </is>
      </c>
      <c r="W75" s="7" t="n">
        <v>7419</v>
      </c>
      <c r="X75" s="7" t="n">
        <v>3966</v>
      </c>
      <c r="Y75" s="9" t="n">
        <v>0.4534</v>
      </c>
      <c r="Z75" s="9" t="n">
        <v>0.3742</v>
      </c>
      <c r="AA75" s="7" t="n"/>
      <c r="AB75" s="7" t="n"/>
      <c r="AC75" s="7" t="n"/>
      <c r="AD75" s="7" t="n"/>
      <c r="AE75" s="7" t="inlineStr">
        <is>
          <t>learned from the training patents (tools/int_train.py)</t>
        </is>
      </c>
      <c r="AF75" s="7" t="inlineStr">
        <is>
          <t>Hansch, Leo, Taft, Chem. Rev. 91, 165 (1991); Clayden, Organic Chemistry (aromatic substitution)</t>
        </is>
      </c>
    </row>
    <row r="76">
      <c r="A76" s="7" t="inlineStr">
        <is>
          <t>I075</t>
        </is>
      </c>
      <c r="B76" s="7" t="inlineStr">
        <is>
          <t>ring-para-alkyl</t>
        </is>
      </c>
      <c r="C76" s="7" t="inlineStr">
        <is>
          <t>alkyl (not methyl), para to the reacting aromatic carbon</t>
        </is>
      </c>
      <c r="D76" s="7" t="inlineStr">
        <is>
          <t>ring substituent (position)</t>
        </is>
      </c>
      <c r="E76" s="7" t="inlineStr">
        <is>
          <t>electronic</t>
        </is>
      </c>
      <c r="F76" s="7" t="inlineStr">
        <is>
          <t>aromatic C</t>
        </is>
      </c>
      <c r="G76" s="7" t="inlineStr">
        <is>
          <t>[c;$(c1:a:a:c(-[CX4;!H3;!$(C-[F,Cl,Br,I,$(C#N)]);!900*]):a:a:1),$([c;r5]:[c;r5]:[c;r5]:[c;r5]-[CX4;!H3;!$(C-[F,Cl,Br,I,$(C#N)]);!900*])]</t>
        </is>
      </c>
      <c r="H76" s="7" t="inlineStr">
        <is>
          <t>[c]-[CX4;!H3;!$(C-[F,Cl,Br,I,$(C#N)])]</t>
        </is>
      </c>
      <c r="I76" s="7" t="inlineStr"/>
      <c r="J76" s="7" t="inlineStr"/>
      <c r="K76" s="7" t="inlineStr"/>
      <c r="L76" s="7" t="inlineStr"/>
      <c r="M76" s="7" t="n"/>
      <c r="N76" s="7" t="inlineStr"/>
      <c r="O76" s="7" t="inlineStr">
        <is>
          <t>yes</t>
        </is>
      </c>
      <c r="P76" s="7" t="inlineStr"/>
      <c r="Q76" s="7" t="inlineStr">
        <is>
          <t>on the ring atom opposite the reacting carbon, inside the same six-membered ring (para)</t>
        </is>
      </c>
      <c r="R76" s="7" t="inlineStr">
        <is>
          <t>donates electrons: speeds electrophilic substitution at the ring carbon, slows nucleophilic attack (SNAr, oxidative addition). At para induction and resonance both act.</t>
        </is>
      </c>
      <c r="S76" s="7" t="inlineStr">
        <is>
          <t>alkyl (not methyl) (σp -0.15): a weak donor (induction, hyperconjugation); bulkier than methyl</t>
        </is>
      </c>
      <c r="T76" s="7" t="n">
        <v>-0.15</v>
      </c>
      <c r="U76" s="10" t="n">
        <v>0.46</v>
      </c>
      <c r="V76" s="7" t="inlineStr">
        <is>
          <t>alkyl substitution +1.24 (n=373; winner had it 59 % vs 36 % at random) · n nucleophile +0.82 (n=141; winner had it 48 % vs 38 % at random) · other +0.69 (n=192; winner had it 29 % vs 26 % at random) · acyl substitution +0.68 (n=1928; winner had it 39 % vs 31 % at random) · arene ch +0.67 (n=1690; winner had it 40 % vs 31 % at random) · deprotection +0.53 (n=370; winner had it 44 % vs 37 % at random)</t>
        </is>
      </c>
      <c r="W76" s="7" t="n">
        <v>6573</v>
      </c>
      <c r="X76" s="7" t="n">
        <v>3591</v>
      </c>
      <c r="Y76" s="9" t="n">
        <v>0.4085</v>
      </c>
      <c r="Z76" s="9" t="n">
        <v>0.3443</v>
      </c>
      <c r="AA76" s="7" t="n"/>
      <c r="AB76" s="7" t="n"/>
      <c r="AC76" s="7" t="n"/>
      <c r="AD76" s="7" t="n"/>
      <c r="AE76" s="7" t="inlineStr">
        <is>
          <t>learned from the training patents (tools/int_train.py)</t>
        </is>
      </c>
      <c r="AF76" s="7" t="inlineStr">
        <is>
          <t>Hansch, Leo, Taft, Chem. Rev. 91, 165 (1991); Clayden, Organic Chemistry (aromatic substitution)</t>
        </is>
      </c>
    </row>
    <row r="77">
      <c r="A77" s="7" t="inlineStr">
        <is>
          <t>I076</t>
        </is>
      </c>
      <c r="B77" s="7" t="inlineStr">
        <is>
          <t>ring-ortho-aryl</t>
        </is>
      </c>
      <c r="C77" s="7" t="inlineStr">
        <is>
          <t>aryl, ortho to the reacting aromatic carbon</t>
        </is>
      </c>
      <c r="D77" s="7" t="inlineStr">
        <is>
          <t>ring substituent (position)</t>
        </is>
      </c>
      <c r="E77" s="7" t="inlineStr">
        <is>
          <t>electronic</t>
        </is>
      </c>
      <c r="F77" s="7" t="inlineStr">
        <is>
          <t>aromatic C</t>
        </is>
      </c>
      <c r="G77" s="7" t="inlineStr">
        <is>
          <t>[c;$(c:c-[c;!900*])]</t>
        </is>
      </c>
      <c r="H77" s="7" t="inlineStr">
        <is>
          <t>[c]-c</t>
        </is>
      </c>
      <c r="I77" s="7" t="inlineStr"/>
      <c r="J77" s="7" t="inlineStr"/>
      <c r="K77" s="7" t="inlineStr"/>
      <c r="L77" s="7" t="inlineStr"/>
      <c r="M77" s="7" t="n"/>
      <c r="N77" s="7" t="inlineStr"/>
      <c r="O77" s="7" t="inlineStr">
        <is>
          <t>yes</t>
        </is>
      </c>
      <c r="P77" s="7" t="inlineStr"/>
      <c r="Q77" s="7" t="inlineStr">
        <is>
          <t>on the ring atom next to the reacting carbon (ortho)</t>
        </is>
      </c>
      <c r="R77" s="7" t="inlineStr">
        <is>
          <t>donates electrons: speeds electrophilic substitution at the ring carbon, slows nucleophilic attack (SNAr, oxidative addition). At ortho the electronic effect is like para, and the group also crowds the carbon. A ring at ortho also twists out of the plane; with three or more ortho groups the biaryl axis is locked (atropisomers).</t>
        </is>
      </c>
      <c r="S77" s="7" t="inlineStr">
        <is>
          <t>aryl (σp -0.01): a second ring: a weak donor by resonance</t>
        </is>
      </c>
      <c r="T77" s="7" t="n">
        <v>-0.01</v>
      </c>
      <c r="U77" s="10" t="n">
        <v>-0.58</v>
      </c>
      <c r="V77" s="7" t="inlineStr">
        <is>
          <t>arene ch -1.39 (n=800; winner had it 18 % vs 36 % at random) · n nucleophile -1.19 (n=174; winner had it 15 % vs 38 % at random) · unsaturated -0.88 (n=45; winner had it 13 % vs 36 % at random) · carbonyl addition -0.80 (n=387; winner had it 42 % vs 44 % at random) · other -0.80 (n=218; winner had it 15 % vs 32 % at random) · acyl substitution -0.57 (n=1423; winner had it 24 % vs 37 % at random)</t>
        </is>
      </c>
      <c r="W77" s="7" t="n">
        <v>4766</v>
      </c>
      <c r="X77" s="7" t="n">
        <v>2141</v>
      </c>
      <c r="Y77" s="9" t="n">
        <v>0.2677</v>
      </c>
      <c r="Z77" s="9" t="n">
        <v>0.3915</v>
      </c>
      <c r="AA77" s="7" t="n"/>
      <c r="AB77" s="7" t="n"/>
      <c r="AC77" s="7" t="n"/>
      <c r="AD77" s="7" t="n"/>
      <c r="AE77" s="7" t="inlineStr">
        <is>
          <t>learned from the training patents (tools/int_train.py)</t>
        </is>
      </c>
      <c r="AF77" s="7" t="inlineStr">
        <is>
          <t>Hansch, Leo, Taft, Chem. Rev. 91, 165 (1991); Clayden, Organic Chemistry (aromatic substitution)</t>
        </is>
      </c>
    </row>
    <row r="78">
      <c r="A78" s="7" t="inlineStr">
        <is>
          <t>I077</t>
        </is>
      </c>
      <c r="B78" s="7" t="inlineStr">
        <is>
          <t>ring-meta-aryl</t>
        </is>
      </c>
      <c r="C78" s="7" t="inlineStr">
        <is>
          <t>aryl, meta to the reacting aromatic carbon</t>
        </is>
      </c>
      <c r="D78" s="7" t="inlineStr">
        <is>
          <t>ring substituent (position)</t>
        </is>
      </c>
      <c r="E78" s="7" t="inlineStr">
        <is>
          <t>electronic</t>
        </is>
      </c>
      <c r="F78" s="7" t="inlineStr">
        <is>
          <t>aromatic C</t>
        </is>
      </c>
      <c r="G78" s="7" t="inlineStr">
        <is>
          <t>[c;$(c1:a:c(-[c;!900*]):a:a:a:1),$([c;r5]:[c;r5]:[c;r5]-[c;!900*])]</t>
        </is>
      </c>
      <c r="H78" s="7" t="inlineStr">
        <is>
          <t>[c]-c</t>
        </is>
      </c>
      <c r="I78" s="7" t="inlineStr"/>
      <c r="J78" s="7" t="inlineStr"/>
      <c r="K78" s="7" t="inlineStr"/>
      <c r="L78" s="7" t="inlineStr"/>
      <c r="M78" s="7" t="n"/>
      <c r="N78" s="7" t="inlineStr"/>
      <c r="O78" s="7" t="inlineStr">
        <is>
          <t>yes</t>
        </is>
      </c>
      <c r="P78" s="7" t="inlineStr"/>
      <c r="Q78" s="7" t="inlineStr">
        <is>
          <t>on the ring atom two bonds from the reacting carbon, inside the same six-membered ring (meta)</t>
        </is>
      </c>
      <c r="R78" s="7" t="inlineStr">
        <is>
          <t>donates electrons: speeds electrophilic substitution at the ring carbon, slows nucleophilic attack (SNAr, oxidative addition). At meta mostly the inductive part acts; resonance does not reach this position.</t>
        </is>
      </c>
      <c r="S78" s="7" t="inlineStr">
        <is>
          <t>aryl (σm +0.06): a second ring: a weak donor by resonance</t>
        </is>
      </c>
      <c r="T78" s="7" t="n">
        <v>0.06</v>
      </c>
      <c r="U78" s="10" t="n">
        <v>0.2</v>
      </c>
      <c r="V78" s="7" t="inlineStr">
        <is>
          <t>unsaturated +1.55 (n=75; winner had it 91 % vs 46 % at random) · carbonyl addition +0.96 (n=319; winner had it 50 % vs 41 % at random) · aryl halide +0.71 (n=1050; winner had it 68 % vs 43 % at random) · redox other +0.57 (n=25; winner had it 32 % vs 35 % at random) · deprotection -0.54 (n=138; winner had it 31 % vs 39 % at random) · arene ch -0.46 (n=779; winner had it 37 % vs 36 % at random)</t>
        </is>
      </c>
      <c r="W78" s="7" t="n">
        <v>4414</v>
      </c>
      <c r="X78" s="7" t="n">
        <v>2036</v>
      </c>
      <c r="Y78" s="9" t="n">
        <v>0.408</v>
      </c>
      <c r="Z78" s="9" t="n">
        <v>0.3689</v>
      </c>
      <c r="AA78" s="7" t="n"/>
      <c r="AB78" s="7" t="n"/>
      <c r="AC78" s="7" t="n"/>
      <c r="AD78" s="7" t="n"/>
      <c r="AE78" s="7" t="inlineStr">
        <is>
          <t>learned from the training patents (tools/int_train.py)</t>
        </is>
      </c>
      <c r="AF78" s="7" t="inlineStr">
        <is>
          <t>Hansch, Leo, Taft, Chem. Rev. 91, 165 (1991); Clayden, Organic Chemistry (aromatic substitution)</t>
        </is>
      </c>
    </row>
    <row r="79">
      <c r="A79" s="7" t="inlineStr">
        <is>
          <t>I078</t>
        </is>
      </c>
      <c r="B79" s="7" t="inlineStr">
        <is>
          <t>ring-para-aryl</t>
        </is>
      </c>
      <c r="C79" s="7" t="inlineStr">
        <is>
          <t>aryl, para to the reacting aromatic carbon</t>
        </is>
      </c>
      <c r="D79" s="7" t="inlineStr">
        <is>
          <t>ring substituent (position)</t>
        </is>
      </c>
      <c r="E79" s="7" t="inlineStr">
        <is>
          <t>electronic</t>
        </is>
      </c>
      <c r="F79" s="7" t="inlineStr">
        <is>
          <t>aromatic C</t>
        </is>
      </c>
      <c r="G79" s="7" t="inlineStr">
        <is>
          <t>[c;$(c1:a:a:c(-[c;!900*]):a:a:1),$([c;r5]:[c;r5]:[c;r5]:[c;r5]-[c;!900*])]</t>
        </is>
      </c>
      <c r="H79" s="7" t="inlineStr">
        <is>
          <t>[c]-c</t>
        </is>
      </c>
      <c r="I79" s="7" t="inlineStr"/>
      <c r="J79" s="7" t="inlineStr"/>
      <c r="K79" s="7" t="inlineStr"/>
      <c r="L79" s="7" t="inlineStr"/>
      <c r="M79" s="7" t="n"/>
      <c r="N79" s="7" t="inlineStr"/>
      <c r="O79" s="7" t="inlineStr">
        <is>
          <t>yes</t>
        </is>
      </c>
      <c r="P79" s="7" t="inlineStr"/>
      <c r="Q79" s="7" t="inlineStr">
        <is>
          <t>on the ring atom opposite the reacting carbon, inside the same six-membered ring (para)</t>
        </is>
      </c>
      <c r="R79" s="7" t="inlineStr">
        <is>
          <t>donates electrons: speeds electrophilic substitution at the ring carbon, slows nucleophilic attack (SNAr, oxidative addition). At para induction and resonance both act.</t>
        </is>
      </c>
      <c r="S79" s="7" t="inlineStr">
        <is>
          <t>aryl (σp -0.01): a second ring: a weak donor by resonance</t>
        </is>
      </c>
      <c r="T79" s="7" t="n">
        <v>-0.01</v>
      </c>
      <c r="U79" s="10" t="n">
        <v>0.7</v>
      </c>
      <c r="V79" s="7" t="inlineStr">
        <is>
          <t>redox other +1.33 (n=34; winner had it 68 % vs 38 % at random) · deprotection +1.31 (n=131; winner had it 64 % vs 37 % at random) · other +1.30 (n=190; winner had it 51 % vs 25 % at random) · acyl substitution +1.06 (n=1002; winner had it 45 % vs 24 % at random) · carbonyl addition +1.02 (n=241; winner had it 52 % vs 35 % at random) · n nucleophile +0.97 (n=126; winner had it 52 % vs 34 % at random)</t>
        </is>
      </c>
      <c r="W79" s="7" t="n">
        <v>3499</v>
      </c>
      <c r="X79" s="7" t="n">
        <v>1721</v>
      </c>
      <c r="Y79" s="9" t="n">
        <v>0.433</v>
      </c>
      <c r="Z79" s="9" t="n">
        <v>0.314</v>
      </c>
      <c r="AA79" s="7" t="n"/>
      <c r="AB79" s="7" t="n"/>
      <c r="AC79" s="7" t="n"/>
      <c r="AD79" s="7" t="n"/>
      <c r="AE79" s="7" t="inlineStr">
        <is>
          <t>learned from the training patents (tools/int_train.py)</t>
        </is>
      </c>
      <c r="AF79" s="7" t="inlineStr">
        <is>
          <t>Hansch, Leo, Taft, Chem. Rev. 91, 165 (1991); Clayden, Organic Chemistry (aromatic substitution)</t>
        </is>
      </c>
    </row>
    <row r="80">
      <c r="A80" s="7" t="inlineStr">
        <is>
          <t>I079</t>
        </is>
      </c>
      <c r="B80" s="7" t="inlineStr">
        <is>
          <t>ring-ortho-vinyl</t>
        </is>
      </c>
      <c r="C80" s="7" t="inlineStr">
        <is>
          <t>vinyl, ortho to the reacting aromatic carbon</t>
        </is>
      </c>
      <c r="D80" s="7" t="inlineStr">
        <is>
          <t>ring substituent (position)</t>
        </is>
      </c>
      <c r="E80" s="7" t="inlineStr">
        <is>
          <t>electronic</t>
        </is>
      </c>
      <c r="F80" s="7" t="inlineStr">
        <is>
          <t>aromatic C</t>
        </is>
      </c>
      <c r="G80" s="7" t="inlineStr">
        <is>
          <t>[c;$(c:c-[CX3;!900*]=[CX3])]</t>
        </is>
      </c>
      <c r="H80" s="7" t="inlineStr">
        <is>
          <t>[c]-[CX3]=[CX3]</t>
        </is>
      </c>
      <c r="I80" s="7" t="inlineStr"/>
      <c r="J80" s="7" t="inlineStr"/>
      <c r="K80" s="7" t="inlineStr"/>
      <c r="L80" s="7" t="inlineStr"/>
      <c r="M80" s="7" t="n"/>
      <c r="N80" s="7" t="inlineStr"/>
      <c r="O80" s="7" t="inlineStr">
        <is>
          <t>yes</t>
        </is>
      </c>
      <c r="P80" s="7" t="inlineStr"/>
      <c r="Q80" s="7" t="inlineStr">
        <is>
          <t>on the ring atom next to the reacting carbon (ortho)</t>
        </is>
      </c>
      <c r="R80" s="7" t="inlineStr">
        <is>
          <t>donates electrons: speeds electrophilic substitution at the ring carbon, slows nucleophilic attack (SNAr, oxidative addition). At ortho the electronic effect is like para, and the group also crowds the carbon.</t>
        </is>
      </c>
      <c r="S80" s="7" t="inlineStr">
        <is>
          <t>vinyl (σp -0.04): conjugated C=C: a weak donor</t>
        </is>
      </c>
      <c r="T80" s="7" t="n">
        <v>-0.04</v>
      </c>
      <c r="U80" s="10" t="n">
        <v>-0.65</v>
      </c>
      <c r="V80" s="7" t="inlineStr">
        <is>
          <t>carbonyl addition -1.41 (n=50; winner had it 10 % vs 29 % at random) · deprotection -0.80 (n=31; winner had it 26 % vs 40 % at random) · alkyl substitution -0.67 (n=26; winner had it 19 % vs 35 % at random) · aryl halide +0.20 (n=63; winner had it 37 % vs 36 % at random) · acyl substitution -0.04 (n=103; winner had it 20 % vs 35 % at random) · arene ch +0.02 (n=64; winner had it 27 % vs 33 % at random)</t>
        </is>
      </c>
      <c r="W80" s="7" t="n">
        <v>392</v>
      </c>
      <c r="X80" s="7" t="n">
        <v>245</v>
      </c>
      <c r="Y80" s="9" t="n">
        <v>0.2117</v>
      </c>
      <c r="Z80" s="9" t="n">
        <v>0.3416</v>
      </c>
      <c r="AA80" s="7" t="n"/>
      <c r="AB80" s="7" t="n"/>
      <c r="AC80" s="7" t="n"/>
      <c r="AD80" s="7" t="n"/>
      <c r="AE80" s="7" t="inlineStr">
        <is>
          <t>learned from the training patents (tools/int_train.py)</t>
        </is>
      </c>
      <c r="AF80" s="7" t="inlineStr">
        <is>
          <t>Hansch, Leo, Taft, Chem. Rev. 91, 165 (1991); Clayden, Organic Chemistry (aromatic substitution)</t>
        </is>
      </c>
    </row>
    <row r="81">
      <c r="A81" s="7" t="inlineStr">
        <is>
          <t>I080</t>
        </is>
      </c>
      <c r="B81" s="7" t="inlineStr">
        <is>
          <t>ring-meta-vinyl</t>
        </is>
      </c>
      <c r="C81" s="7" t="inlineStr">
        <is>
          <t>vinyl, meta to the reacting aromatic carbon</t>
        </is>
      </c>
      <c r="D81" s="7" t="inlineStr">
        <is>
          <t>ring substituent (position)</t>
        </is>
      </c>
      <c r="E81" s="7" t="inlineStr">
        <is>
          <t>electronic</t>
        </is>
      </c>
      <c r="F81" s="7" t="inlineStr">
        <is>
          <t>aromatic C</t>
        </is>
      </c>
      <c r="G81" s="7" t="inlineStr">
        <is>
          <t>[c;$(c1:a:c(-[CX3;!900*]=[CX3]):a:a:a:1),$([c;r5]:[c;r5]:[c;r5]-[CX3;!900*]=[CX3])]</t>
        </is>
      </c>
      <c r="H81" s="7" t="inlineStr">
        <is>
          <t>[c]-[CX3]=[CX3]</t>
        </is>
      </c>
      <c r="I81" s="7" t="inlineStr"/>
      <c r="J81" s="7" t="inlineStr"/>
      <c r="K81" s="7" t="inlineStr"/>
      <c r="L81" s="7" t="inlineStr"/>
      <c r="M81" s="7" t="n"/>
      <c r="N81" s="7" t="inlineStr"/>
      <c r="O81" s="7" t="inlineStr">
        <is>
          <t>yes</t>
        </is>
      </c>
      <c r="P81" s="7" t="inlineStr"/>
      <c r="Q81" s="7" t="inlineStr">
        <is>
          <t>on the ring atom two bonds from the reacting carbon, inside the same six-membered ring (meta)</t>
        </is>
      </c>
      <c r="R81" s="7" t="inlineStr">
        <is>
          <t>donates electrons: speeds electrophilic substitution at the ring carbon, slows nucleophilic attack (SNAr, oxidative addition). At meta mostly the inductive part acts; resonance does not reach this position.</t>
        </is>
      </c>
      <c r="S81" s="7" t="inlineStr">
        <is>
          <t>vinyl (σm +0.06): conjugated C=C: a weak donor</t>
        </is>
      </c>
      <c r="T81" s="7" t="n">
        <v>0.06</v>
      </c>
      <c r="U81" s="10" t="n">
        <v>-0.1</v>
      </c>
      <c r="V81" s="7" t="inlineStr">
        <is>
          <t>acyl substitution -0.56 (n=90; winner had it 31 % vs 36 % at random) · carbonyl addition +0.52 (n=33; winner had it 36 % vs 36 % at random)</t>
        </is>
      </c>
      <c r="W81" s="7" t="n">
        <v>336</v>
      </c>
      <c r="X81" s="7" t="n">
        <v>210</v>
      </c>
      <c r="Y81" s="9" t="n">
        <v>0.3304</v>
      </c>
      <c r="Z81" s="9" t="n">
        <v>0.3649</v>
      </c>
      <c r="AA81" s="7" t="n"/>
      <c r="AB81" s="7" t="n"/>
      <c r="AC81" s="7" t="n"/>
      <c r="AD81" s="7" t="n"/>
      <c r="AE81" s="7" t="inlineStr">
        <is>
          <t>learned from the training patents (tools/int_train.py)</t>
        </is>
      </c>
      <c r="AF81" s="7" t="inlineStr">
        <is>
          <t>Hansch, Leo, Taft, Chem. Rev. 91, 165 (1991); Clayden, Organic Chemistry (aromatic substitution)</t>
        </is>
      </c>
    </row>
    <row r="82">
      <c r="A82" s="7" t="inlineStr">
        <is>
          <t>I081</t>
        </is>
      </c>
      <c r="B82" s="7" t="inlineStr">
        <is>
          <t>ring-para-vinyl</t>
        </is>
      </c>
      <c r="C82" s="7" t="inlineStr">
        <is>
          <t>vinyl, para to the reacting aromatic carbon</t>
        </is>
      </c>
      <c r="D82" s="7" t="inlineStr">
        <is>
          <t>ring substituent (position)</t>
        </is>
      </c>
      <c r="E82" s="7" t="inlineStr">
        <is>
          <t>electronic</t>
        </is>
      </c>
      <c r="F82" s="7" t="inlineStr">
        <is>
          <t>aromatic C</t>
        </is>
      </c>
      <c r="G82" s="7" t="inlineStr">
        <is>
          <t>[c;$(c1:a:a:c(-[CX3;!900*]=[CX3]):a:a:1),$([c;r5]:[c;r5]:[c;r5]:[c;r5]-[CX3;!900*]=[CX3])]</t>
        </is>
      </c>
      <c r="H82" s="7" t="inlineStr">
        <is>
          <t>[c]-[CX3]=[CX3]</t>
        </is>
      </c>
      <c r="I82" s="7" t="inlineStr"/>
      <c r="J82" s="7" t="inlineStr"/>
      <c r="K82" s="7" t="inlineStr"/>
      <c r="L82" s="7" t="inlineStr"/>
      <c r="M82" s="7" t="n"/>
      <c r="N82" s="7" t="inlineStr"/>
      <c r="O82" s="7" t="inlineStr">
        <is>
          <t>yes</t>
        </is>
      </c>
      <c r="P82" s="7" t="inlineStr"/>
      <c r="Q82" s="7" t="inlineStr">
        <is>
          <t>on the ring atom opposite the reacting carbon, inside the same six-membered ring (para)</t>
        </is>
      </c>
      <c r="R82" s="7" t="inlineStr">
        <is>
          <t>donates electrons: speeds electrophilic substitution at the ring carbon, slows nucleophilic attack (SNAr, oxidative addition). At para induction and resonance both act.</t>
        </is>
      </c>
      <c r="S82" s="7" t="inlineStr">
        <is>
          <t>vinyl (σp -0.04): conjugated C=C: a weak donor</t>
        </is>
      </c>
      <c r="T82" s="7" t="n">
        <v>-0.04</v>
      </c>
      <c r="U82" s="10" t="n">
        <v>0.36</v>
      </c>
      <c r="V82" s="7" t="inlineStr">
        <is>
          <t>acyl substitution +0.91 (n=74; winner had it 46 % vs 30 % at random) · carbonyl addition +0.64 (n=30; winner had it 37 % vs 31 % at random) · arene ch +0.55 (n=38; winner had it 34 % vs 27 % at random) · deprotection +0.01 (n=25; winner had it 44 % vs 41 % at random)</t>
        </is>
      </c>
      <c r="W82" s="7" t="n">
        <v>312</v>
      </c>
      <c r="X82" s="7" t="n">
        <v>203</v>
      </c>
      <c r="Y82" s="9" t="n">
        <v>0.4038</v>
      </c>
      <c r="Z82" s="9" t="n">
        <v>0.3422</v>
      </c>
      <c r="AA82" s="7" t="n"/>
      <c r="AB82" s="7" t="n"/>
      <c r="AC82" s="7" t="n"/>
      <c r="AD82" s="7" t="n"/>
      <c r="AE82" s="7" t="inlineStr">
        <is>
          <t>learned from the training patents (tools/int_train.py)</t>
        </is>
      </c>
      <c r="AF82" s="7" t="inlineStr">
        <is>
          <t>Hansch, Leo, Taft, Chem. Rev. 91, 165 (1991); Clayden, Organic Chemistry (aromatic substitution)</t>
        </is>
      </c>
    </row>
    <row r="83">
      <c r="A83" s="7" t="inlineStr">
        <is>
          <t>I082</t>
        </is>
      </c>
      <c r="B83" s="7" t="inlineStr">
        <is>
          <t>ring-ortho-ethynyl</t>
        </is>
      </c>
      <c r="C83" s="7" t="inlineStr">
        <is>
          <t>ethynyl, ortho to the reacting aromatic carbon</t>
        </is>
      </c>
      <c r="D83" s="7" t="inlineStr">
        <is>
          <t>ring substituent (position)</t>
        </is>
      </c>
      <c r="E83" s="7" t="inlineStr">
        <is>
          <t>electronic</t>
        </is>
      </c>
      <c r="F83" s="7" t="inlineStr">
        <is>
          <t>aromatic C</t>
        </is>
      </c>
      <c r="G83" s="7" t="inlineStr">
        <is>
          <t>[c;$(c:c-[C;!900*]#C)]</t>
        </is>
      </c>
      <c r="H83" s="7" t="inlineStr">
        <is>
          <t>[c]-C#C</t>
        </is>
      </c>
      <c r="I83" s="7" t="inlineStr"/>
      <c r="J83" s="7" t="inlineStr"/>
      <c r="K83" s="7" t="inlineStr"/>
      <c r="L83" s="7" t="inlineStr"/>
      <c r="M83" s="7" t="n"/>
      <c r="N83" s="7" t="inlineStr"/>
      <c r="O83" s="7" t="inlineStr">
        <is>
          <t>yes</t>
        </is>
      </c>
      <c r="P83" s="7" t="inlineStr"/>
      <c r="Q83" s="7" t="inlineStr">
        <is>
          <t>on the ring atom next to the reacting carbon (ortho)</t>
        </is>
      </c>
      <c r="R83" s="7" t="inlineStr">
        <is>
          <t>withdraws electrons: speeds nucleophilic attack at the ring carbon (SNAr, oxidative addition, metalation next to it), slows electrophilic substitution. At ortho the electronic effect is like para, and the group also crowds the carbon.</t>
        </is>
      </c>
      <c r="S83" s="7" t="inlineStr">
        <is>
          <t>ethynyl (σp +0.23): an sp carbon: weakly electron-withdrawing</t>
        </is>
      </c>
      <c r="T83" s="7" t="n">
        <v>0.23</v>
      </c>
      <c r="U83" s="10" t="n">
        <v>0.15</v>
      </c>
      <c r="V83" s="7" t="inlineStr">
        <is>
          <t>aryl halide +1.00 (n=36; winner had it 47 % vs 36 % at random)</t>
        </is>
      </c>
      <c r="W83" s="7" t="n">
        <v>72</v>
      </c>
      <c r="X83" s="7" t="n">
        <v>51</v>
      </c>
      <c r="Y83" s="9" t="n">
        <v>0.4028</v>
      </c>
      <c r="Z83" s="9" t="n">
        <v>0.338</v>
      </c>
      <c r="AA83" s="7" t="n"/>
      <c r="AB83" s="7" t="n"/>
      <c r="AC83" s="7" t="n"/>
      <c r="AD83" s="7" t="n"/>
      <c r="AE83" s="7" t="inlineStr">
        <is>
          <t>learned from the training patents (tools/int_train.py)</t>
        </is>
      </c>
      <c r="AF83" s="7" t="inlineStr">
        <is>
          <t>Hansch, Leo, Taft, Chem. Rev. 91, 165 (1991); Clayden, Organic Chemistry (aromatic substitution)</t>
        </is>
      </c>
    </row>
    <row r="84">
      <c r="A84" s="7" t="inlineStr">
        <is>
          <t>I083</t>
        </is>
      </c>
      <c r="B84" s="7" t="inlineStr">
        <is>
          <t>ring-meta-ethynyl</t>
        </is>
      </c>
      <c r="C84" s="7" t="inlineStr">
        <is>
          <t>ethynyl, meta to the reacting aromatic carbon</t>
        </is>
      </c>
      <c r="D84" s="7" t="inlineStr">
        <is>
          <t>ring substituent (position)</t>
        </is>
      </c>
      <c r="E84" s="7" t="inlineStr">
        <is>
          <t>electronic</t>
        </is>
      </c>
      <c r="F84" s="7" t="inlineStr">
        <is>
          <t>aromatic C</t>
        </is>
      </c>
      <c r="G84" s="7" t="inlineStr">
        <is>
          <t>[c;$(c1:a:c(-[C;!900*]#C):a:a:a:1),$([c;r5]:[c;r5]:[c;r5]-[C;!900*]#C)]</t>
        </is>
      </c>
      <c r="H84" s="7" t="inlineStr">
        <is>
          <t>[c]-C#C</t>
        </is>
      </c>
      <c r="I84" s="7" t="inlineStr"/>
      <c r="J84" s="7" t="inlineStr"/>
      <c r="K84" s="7" t="inlineStr"/>
      <c r="L84" s="7" t="inlineStr"/>
      <c r="M84" s="7" t="n"/>
      <c r="N84" s="7" t="inlineStr"/>
      <c r="O84" s="7" t="inlineStr">
        <is>
          <t>yes</t>
        </is>
      </c>
      <c r="P84" s="7" t="inlineStr"/>
      <c r="Q84" s="7" t="inlineStr">
        <is>
          <t>on the ring atom two bonds from the reacting carbon, inside the same six-membered ring (meta)</t>
        </is>
      </c>
      <c r="R84" s="7" t="inlineStr">
        <is>
          <t>withdraws electrons: speeds nucleophilic attack at the ring carbon (SNAr, oxidative addition, metalation next to it), slows electrophilic substitution. At meta mostly the inductive part acts; resonance does not reach this position.</t>
        </is>
      </c>
      <c r="S84" s="7" t="inlineStr">
        <is>
          <t>ethynyl (σm +0.21): an sp carbon: weakly electron-withdrawing</t>
        </is>
      </c>
      <c r="T84" s="7" t="n">
        <v>0.21</v>
      </c>
      <c r="U84" s="10" t="n">
        <v>0.82</v>
      </c>
      <c r="V84" s="7" t="inlineStr">
        <is>
          <t>aryl halide +1.42 (n=33; winner had it 52 % vs 35 % at random)</t>
        </is>
      </c>
      <c r="W84" s="7" t="n">
        <v>72</v>
      </c>
      <c r="X84" s="7" t="n">
        <v>50</v>
      </c>
      <c r="Y84" s="9" t="n">
        <v>0.3889</v>
      </c>
      <c r="Z84" s="9" t="n">
        <v>0.3064</v>
      </c>
      <c r="AA84" s="7" t="n"/>
      <c r="AB84" s="7" t="n"/>
      <c r="AC84" s="7" t="n"/>
      <c r="AD84" s="7" t="n"/>
      <c r="AE84" s="7" t="inlineStr">
        <is>
          <t>learned from the training patents (tools/int_train.py)</t>
        </is>
      </c>
      <c r="AF84" s="7" t="inlineStr">
        <is>
          <t>Hansch, Leo, Taft, Chem. Rev. 91, 165 (1991); Clayden, Organic Chemistry (aromatic substitution)</t>
        </is>
      </c>
    </row>
    <row r="85">
      <c r="A85" s="7" t="inlineStr">
        <is>
          <t>I084</t>
        </is>
      </c>
      <c r="B85" s="7" t="inlineStr">
        <is>
          <t>ring-para-ethynyl</t>
        </is>
      </c>
      <c r="C85" s="7" t="inlineStr">
        <is>
          <t>ethynyl, para to the reacting aromatic carbon</t>
        </is>
      </c>
      <c r="D85" s="7" t="inlineStr">
        <is>
          <t>ring substituent (position)</t>
        </is>
      </c>
      <c r="E85" s="7" t="inlineStr">
        <is>
          <t>electronic</t>
        </is>
      </c>
      <c r="F85" s="7" t="inlineStr">
        <is>
          <t>aromatic C</t>
        </is>
      </c>
      <c r="G85" s="7" t="inlineStr">
        <is>
          <t>[c;$(c1:a:a:c(-[C;!900*]#C):a:a:1),$([c;r5]:[c;r5]:[c;r5]:[c;r5]-[C;!900*]#C)]</t>
        </is>
      </c>
      <c r="H85" s="7" t="inlineStr">
        <is>
          <t>[c]-C#C</t>
        </is>
      </c>
      <c r="I85" s="7" t="inlineStr"/>
      <c r="J85" s="7" t="inlineStr"/>
      <c r="K85" s="7" t="inlineStr"/>
      <c r="L85" s="7" t="inlineStr"/>
      <c r="M85" s="7" t="n"/>
      <c r="N85" s="7" t="inlineStr"/>
      <c r="O85" s="7" t="inlineStr">
        <is>
          <t>yes</t>
        </is>
      </c>
      <c r="P85" s="7" t="inlineStr"/>
      <c r="Q85" s="7" t="inlineStr">
        <is>
          <t>on the ring atom opposite the reacting carbon, inside the same six-membered ring (para)</t>
        </is>
      </c>
      <c r="R85" s="7" t="inlineStr">
        <is>
          <t>withdraws electrons: speeds nucleophilic attack at the ring carbon (SNAr, oxidative addition, metalation next to it), slows electrophilic substitution. At para induction and resonance both act.</t>
        </is>
      </c>
      <c r="S85" s="7" t="inlineStr">
        <is>
          <t>ethynyl (σp +0.23): an sp carbon: weakly electron-withdrawing</t>
        </is>
      </c>
      <c r="T85" s="7" t="n">
        <v>0.23</v>
      </c>
      <c r="U85" s="10" t="n">
        <v>0.07000000000000001</v>
      </c>
      <c r="V85" s="7" t="inlineStr"/>
      <c r="W85" s="7" t="n">
        <v>75</v>
      </c>
      <c r="X85" s="7" t="n">
        <v>43</v>
      </c>
      <c r="Y85" s="9" t="n">
        <v>0.3067</v>
      </c>
      <c r="Z85" s="9" t="n">
        <v>0.3299</v>
      </c>
      <c r="AA85" s="7" t="n"/>
      <c r="AB85" s="7" t="n"/>
      <c r="AC85" s="7" t="n"/>
      <c r="AD85" s="7" t="n"/>
      <c r="AE85" s="7" t="inlineStr">
        <is>
          <t>learned from the training patents (tools/int_train.py)</t>
        </is>
      </c>
      <c r="AF85" s="7" t="inlineStr">
        <is>
          <t>Hansch, Leo, Taft, Chem. Rev. 91, 165 (1991); Clayden, Organic Chemistry (aromatic substitution)</t>
        </is>
      </c>
    </row>
    <row r="86">
      <c r="A86" s="7" t="inlineStr">
        <is>
          <t>I085</t>
        </is>
      </c>
      <c r="B86" s="7" t="inlineStr">
        <is>
          <t>ring-ortho-silyl</t>
        </is>
      </c>
      <c r="C86" s="7" t="inlineStr">
        <is>
          <t>silyl, ortho to the reacting aromatic carbon</t>
        </is>
      </c>
      <c r="D86" s="7" t="inlineStr">
        <is>
          <t>ring substituent (position)</t>
        </is>
      </c>
      <c r="E86" s="7" t="inlineStr">
        <is>
          <t>electronic</t>
        </is>
      </c>
      <c r="F86" s="7" t="inlineStr">
        <is>
          <t>aromatic C</t>
        </is>
      </c>
      <c r="G86" s="7" t="inlineStr">
        <is>
          <t>[c;$(c:c-[SiX4;!900*])]</t>
        </is>
      </c>
      <c r="H86" s="7" t="inlineStr">
        <is>
          <t>[c]-[SiX4]</t>
        </is>
      </c>
      <c r="I86" s="7" t="inlineStr"/>
      <c r="J86" s="7" t="inlineStr"/>
      <c r="K86" s="7" t="inlineStr"/>
      <c r="L86" s="7" t="inlineStr"/>
      <c r="M86" s="7" t="n"/>
      <c r="N86" s="7" t="inlineStr"/>
      <c r="O86" s="7" t="inlineStr">
        <is>
          <t>yes</t>
        </is>
      </c>
      <c r="P86" s="7" t="inlineStr"/>
      <c r="Q86" s="7" t="inlineStr">
        <is>
          <t>on the ring atom next to the reacting carbon (ortho)</t>
        </is>
      </c>
      <c r="R86" s="7" t="inlineStr">
        <is>
          <t>donates electrons: speeds electrophilic substitution at the ring carbon, slows nucleophilic attack (SNAr, oxidative addition). At ortho the electronic effect is like para, and the group also crowds the carbon.</t>
        </is>
      </c>
      <c r="S86" s="7" t="inlineStr">
        <is>
          <t>silyl (σp -0.07): a weak donor (σ-donation, β-effect)</t>
        </is>
      </c>
      <c r="T86" s="7" t="n">
        <v>-0.07000000000000001</v>
      </c>
      <c r="U86" s="10" t="n">
        <v>-1.05</v>
      </c>
      <c r="V86" s="7" t="inlineStr">
        <is>
          <t>acyl substitution -1.24 (n=63; winner had it 2 % vs 24 % at random)</t>
        </is>
      </c>
      <c r="W86" s="7" t="n">
        <v>129</v>
      </c>
      <c r="X86" s="7" t="n">
        <v>52</v>
      </c>
      <c r="Y86" s="9" t="n">
        <v>0.031</v>
      </c>
      <c r="Z86" s="9" t="n">
        <v>0.2664</v>
      </c>
      <c r="AA86" s="7" t="n"/>
      <c r="AB86" s="7" t="n"/>
      <c r="AC86" s="7" t="n"/>
      <c r="AD86" s="7" t="n"/>
      <c r="AE86" s="7" t="inlineStr">
        <is>
          <t>learned from the training patents (tools/int_train.py)</t>
        </is>
      </c>
      <c r="AF86" s="7" t="inlineStr">
        <is>
          <t>Hansch, Leo, Taft, Chem. Rev. 91, 165 (1991); Clayden, Organic Chemistry (aromatic substitution)</t>
        </is>
      </c>
    </row>
    <row r="87">
      <c r="A87" s="7" t="inlineStr">
        <is>
          <t>I086</t>
        </is>
      </c>
      <c r="B87" s="7" t="inlineStr">
        <is>
          <t>ring-meta-silyl</t>
        </is>
      </c>
      <c r="C87" s="7" t="inlineStr">
        <is>
          <t>silyl, meta to the reacting aromatic carbon</t>
        </is>
      </c>
      <c r="D87" s="7" t="inlineStr">
        <is>
          <t>ring substituent (position)</t>
        </is>
      </c>
      <c r="E87" s="7" t="inlineStr">
        <is>
          <t>electronic</t>
        </is>
      </c>
      <c r="F87" s="7" t="inlineStr">
        <is>
          <t>aromatic C</t>
        </is>
      </c>
      <c r="G87" s="7" t="inlineStr">
        <is>
          <t>[c;$(c1:a:c(-[SiX4;!900*]):a:a:a:1),$([c;r5]:[c;r5]:[c;r5]-[SiX4;!900*])]</t>
        </is>
      </c>
      <c r="H87" s="7" t="inlineStr">
        <is>
          <t>[c]-[SiX4]</t>
        </is>
      </c>
      <c r="I87" s="7" t="inlineStr"/>
      <c r="J87" s="7" t="inlineStr"/>
      <c r="K87" s="7" t="inlineStr"/>
      <c r="L87" s="7" t="inlineStr"/>
      <c r="M87" s="7" t="n"/>
      <c r="N87" s="7" t="inlineStr"/>
      <c r="O87" s="7" t="inlineStr">
        <is>
          <t>yes</t>
        </is>
      </c>
      <c r="P87" s="7" t="inlineStr"/>
      <c r="Q87" s="7" t="inlineStr">
        <is>
          <t>on the ring atom two bonds from the reacting carbon, inside the same six-membered ring (meta)</t>
        </is>
      </c>
      <c r="R87" s="7" t="inlineStr">
        <is>
          <t>donates electrons: speeds electrophilic substitution at the ring carbon, slows nucleophilic attack (SNAr, oxidative addition). At meta mostly the inductive part acts; resonance does not reach this position.</t>
        </is>
      </c>
      <c r="S87" s="7" t="inlineStr">
        <is>
          <t>silyl (σm -0.04): a weak donor (σ-donation, β-effect)</t>
        </is>
      </c>
      <c r="T87" s="7" t="n">
        <v>-0.04</v>
      </c>
      <c r="U87" s="10" t="n">
        <v>-0.28</v>
      </c>
      <c r="V87" s="7" t="inlineStr">
        <is>
          <t>carbonyl addition -0.03 (n=28; winner had it 11 % vs 25 % at random)</t>
        </is>
      </c>
      <c r="W87" s="7" t="n">
        <v>131</v>
      </c>
      <c r="X87" s="7" t="n">
        <v>50</v>
      </c>
      <c r="Y87" s="9" t="n">
        <v>0.1603</v>
      </c>
      <c r="Z87" s="9" t="n">
        <v>0.2878</v>
      </c>
      <c r="AA87" s="7" t="n"/>
      <c r="AB87" s="7" t="n"/>
      <c r="AC87" s="7" t="n"/>
      <c r="AD87" s="7" t="n"/>
      <c r="AE87" s="7" t="inlineStr">
        <is>
          <t>learned from the training patents (tools/int_train.py)</t>
        </is>
      </c>
      <c r="AF87" s="7" t="inlineStr">
        <is>
          <t>Hansch, Leo, Taft, Chem. Rev. 91, 165 (1991); Clayden, Organic Chemistry (aromatic substitution)</t>
        </is>
      </c>
    </row>
    <row r="88">
      <c r="A88" s="7" t="inlineStr">
        <is>
          <t>I087</t>
        </is>
      </c>
      <c r="B88" s="7" t="inlineStr">
        <is>
          <t>ring-para-silyl</t>
        </is>
      </c>
      <c r="C88" s="7" t="inlineStr">
        <is>
          <t>silyl, para to the reacting aromatic carbon</t>
        </is>
      </c>
      <c r="D88" s="7" t="inlineStr">
        <is>
          <t>ring substituent (position)</t>
        </is>
      </c>
      <c r="E88" s="7" t="inlineStr">
        <is>
          <t>electronic</t>
        </is>
      </c>
      <c r="F88" s="7" t="inlineStr">
        <is>
          <t>aromatic C</t>
        </is>
      </c>
      <c r="G88" s="7" t="inlineStr">
        <is>
          <t>[c;$(c1:a:a:c(-[SiX4;!900*]):a:a:1),$([c;r5]:[c;r5]:[c;r5]:[c;r5]-[SiX4;!900*])]</t>
        </is>
      </c>
      <c r="H88" s="7" t="inlineStr">
        <is>
          <t>[c]-[SiX4]</t>
        </is>
      </c>
      <c r="I88" s="7" t="inlineStr"/>
      <c r="J88" s="7" t="inlineStr"/>
      <c r="K88" s="7" t="inlineStr"/>
      <c r="L88" s="7" t="inlineStr"/>
      <c r="M88" s="7" t="n"/>
      <c r="N88" s="7" t="inlineStr"/>
      <c r="O88" s="7" t="inlineStr">
        <is>
          <t>yes</t>
        </is>
      </c>
      <c r="P88" s="7" t="inlineStr"/>
      <c r="Q88" s="7" t="inlineStr">
        <is>
          <t>on the ring atom opposite the reacting carbon, inside the same six-membered ring (para)</t>
        </is>
      </c>
      <c r="R88" s="7" t="inlineStr">
        <is>
          <t>donates electrons: speeds electrophilic substitution at the ring carbon, slows nucleophilic attack (SNAr, oxidative addition). At para induction and resonance both act.</t>
        </is>
      </c>
      <c r="S88" s="7" t="inlineStr">
        <is>
          <t>silyl (σp -0.07): a weak donor (σ-donation, β-effect)</t>
        </is>
      </c>
      <c r="T88" s="7" t="n">
        <v>-0.07000000000000001</v>
      </c>
      <c r="U88" s="10" t="n">
        <v>0.58</v>
      </c>
      <c r="V88" s="7" t="inlineStr">
        <is>
          <t>aryl halide +2.02 (n=51; winner had it 88 % vs 46 % at random) · acyl substitution +0.13 (n=57; winner had it 4 % vs 21 % at random) · carbonyl addition +0.09 (n=25; winner had it 0 % vs 22 % at random)</t>
        </is>
      </c>
      <c r="W88" s="7" t="n">
        <v>161</v>
      </c>
      <c r="X88" s="7" t="n">
        <v>65</v>
      </c>
      <c r="Y88" s="9" t="n">
        <v>0.3789</v>
      </c>
      <c r="Z88" s="9" t="n">
        <v>0.32</v>
      </c>
      <c r="AA88" s="7" t="n"/>
      <c r="AB88" s="7" t="n"/>
      <c r="AC88" s="7" t="n"/>
      <c r="AD88" s="7" t="n"/>
      <c r="AE88" s="7" t="inlineStr">
        <is>
          <t>learned from the training patents (tools/int_train.py)</t>
        </is>
      </c>
      <c r="AF88" s="7" t="inlineStr">
        <is>
          <t>Hansch, Leo, Taft, Chem. Rev. 91, 165 (1991); Clayden, Organic Chemistry (aromatic substitution)</t>
        </is>
      </c>
    </row>
    <row r="89">
      <c r="A89" s="7" t="inlineStr">
        <is>
          <t>I088</t>
        </is>
      </c>
      <c r="B89" s="7" t="inlineStr">
        <is>
          <t>ring-ortho-nr3plus</t>
        </is>
      </c>
      <c r="C89" s="7" t="inlineStr">
        <is>
          <t>ammonium, ortho to the reacting aromatic carbon</t>
        </is>
      </c>
      <c r="D89" s="7" t="inlineStr">
        <is>
          <t>ring substituent (position)</t>
        </is>
      </c>
      <c r="E89" s="7" t="inlineStr">
        <is>
          <t>electronic</t>
        </is>
      </c>
      <c r="F89" s="7" t="inlineStr">
        <is>
          <t>aromatic C</t>
        </is>
      </c>
      <c r="G89" s="7" t="inlineStr">
        <is>
          <t>[c;$(c:c-[NX4+;!900*])]</t>
        </is>
      </c>
      <c r="H89" s="7" t="inlineStr">
        <is>
          <t>[c]-[NX4+]</t>
        </is>
      </c>
      <c r="I89" s="7" t="inlineStr"/>
      <c r="J89" s="7" t="inlineStr"/>
      <c r="K89" s="7" t="inlineStr"/>
      <c r="L89" s="7" t="inlineStr"/>
      <c r="M89" s="7" t="n"/>
      <c r="N89" s="7" t="inlineStr"/>
      <c r="O89" s="7" t="inlineStr">
        <is>
          <t>yes</t>
        </is>
      </c>
      <c r="P89" s="7" t="inlineStr"/>
      <c r="Q89" s="7" t="inlineStr">
        <is>
          <t>on the ring atom next to the reacting carbon (ortho)</t>
        </is>
      </c>
      <c r="R89" s="7" t="inlineStr">
        <is>
          <t>withdraws electrons: speeds nucleophilic attack at the ring carbon (SNAr, oxidative addition, metalation next to it), slows electrophilic substitution. At ortho the electronic effect is like para, and the group also crowds the carbon.</t>
        </is>
      </c>
      <c r="S89" s="7" t="inlineStr">
        <is>
          <t>ammonium (σp +0.82): a positive charge next to the ring withdraws strongly</t>
        </is>
      </c>
      <c r="T89" s="7" t="n">
        <v>0.82</v>
      </c>
      <c r="U89" s="10" t="n">
        <v>-0.05</v>
      </c>
      <c r="V89" s="7" t="inlineStr"/>
      <c r="W89" s="7" t="n">
        <v>1</v>
      </c>
      <c r="X89" s="7" t="n">
        <v>1</v>
      </c>
      <c r="Y89" s="9" t="n">
        <v>0</v>
      </c>
      <c r="Z89" s="9" t="n">
        <v>0.2857</v>
      </c>
      <c r="AA89" s="7" t="n"/>
      <c r="AB89" s="7" t="n"/>
      <c r="AC89" s="7" t="n"/>
      <c r="AD89" s="7" t="n"/>
      <c r="AE89" s="7" t="inlineStr">
        <is>
          <t>too few contests in the recorded reactions to learn a weight (the weight is shrunk to about zero): the textbook effect is advisory</t>
        </is>
      </c>
      <c r="AF89" s="7" t="inlineStr">
        <is>
          <t>Hansch, Leo, Taft, Chem. Rev. 91, 165 (1991); Clayden, Organic Chemistry (aromatic substitution)</t>
        </is>
      </c>
    </row>
    <row r="90">
      <c r="A90" s="7" t="inlineStr">
        <is>
          <t>I089</t>
        </is>
      </c>
      <c r="B90" s="7" t="inlineStr">
        <is>
          <t>ring-meta-nr3plus</t>
        </is>
      </c>
      <c r="C90" s="7" t="inlineStr">
        <is>
          <t>ammonium, meta to the reacting aromatic carbon</t>
        </is>
      </c>
      <c r="D90" s="7" t="inlineStr">
        <is>
          <t>ring substituent (position)</t>
        </is>
      </c>
      <c r="E90" s="7" t="inlineStr">
        <is>
          <t>electronic</t>
        </is>
      </c>
      <c r="F90" s="7" t="inlineStr">
        <is>
          <t>aromatic C</t>
        </is>
      </c>
      <c r="G90" s="7" t="inlineStr">
        <is>
          <t>[c;$(c1:a:c(-[NX4+;!900*]):a:a:a:1),$([c;r5]:[c;r5]:[c;r5]-[NX4+;!900*])]</t>
        </is>
      </c>
      <c r="H90" s="7" t="inlineStr">
        <is>
          <t>[c]-[NX4+]</t>
        </is>
      </c>
      <c r="I90" s="7" t="inlineStr"/>
      <c r="J90" s="7" t="inlineStr"/>
      <c r="K90" s="7" t="inlineStr"/>
      <c r="L90" s="7" t="inlineStr"/>
      <c r="M90" s="7" t="n"/>
      <c r="N90" s="7" t="inlineStr"/>
      <c r="O90" s="7" t="inlineStr">
        <is>
          <t>yes</t>
        </is>
      </c>
      <c r="P90" s="7" t="inlineStr"/>
      <c r="Q90" s="7" t="inlineStr">
        <is>
          <t>on the ring atom two bonds from the reacting carbon, inside the same six-membered ring (meta)</t>
        </is>
      </c>
      <c r="R90" s="7" t="inlineStr">
        <is>
          <t>withdraws electrons: speeds nucleophilic attack at the ring carbon (SNAr, oxidative addition, metalation next to it), slows electrophilic substitution. At meta mostly the inductive part acts; resonance does not reach this position.</t>
        </is>
      </c>
      <c r="S90" s="7" t="inlineStr">
        <is>
          <t>ammonium (σm +0.88): a positive charge next to the ring withdraws strongly</t>
        </is>
      </c>
      <c r="T90" s="7" t="n">
        <v>0.88</v>
      </c>
      <c r="U90" s="10" t="n">
        <v>-0.3</v>
      </c>
      <c r="V90" s="7" t="inlineStr"/>
      <c r="W90" s="7" t="n">
        <v>1</v>
      </c>
      <c r="X90" s="7" t="n">
        <v>1</v>
      </c>
      <c r="Y90" s="9" t="n">
        <v>0</v>
      </c>
      <c r="Z90" s="9" t="n">
        <v>0.5714</v>
      </c>
      <c r="AA90" s="7" t="n"/>
      <c r="AB90" s="7" t="n"/>
      <c r="AC90" s="7" t="n"/>
      <c r="AD90" s="7" t="n"/>
      <c r="AE90" s="7" t="inlineStr">
        <is>
          <t>too few contests in the recorded reactions to learn a weight (the weight is shrunk to about zero): the textbook effect is advisory</t>
        </is>
      </c>
      <c r="AF90" s="7" t="inlineStr">
        <is>
          <t>Hansch, Leo, Taft, Chem. Rev. 91, 165 (1991); Clayden, Organic Chemistry (aromatic substitution)</t>
        </is>
      </c>
    </row>
    <row r="91">
      <c r="A91" s="7" t="inlineStr">
        <is>
          <t>I090</t>
        </is>
      </c>
      <c r="B91" s="7" t="inlineStr">
        <is>
          <t>ring-para-nr3plus</t>
        </is>
      </c>
      <c r="C91" s="7" t="inlineStr">
        <is>
          <t>ammonium, para to the reacting aromatic carbon</t>
        </is>
      </c>
      <c r="D91" s="7" t="inlineStr">
        <is>
          <t>ring substituent (position)</t>
        </is>
      </c>
      <c r="E91" s="7" t="inlineStr">
        <is>
          <t>electronic</t>
        </is>
      </c>
      <c r="F91" s="7" t="inlineStr">
        <is>
          <t>aromatic C</t>
        </is>
      </c>
      <c r="G91" s="7" t="inlineStr">
        <is>
          <t>[c;$(c1:a:a:c(-[NX4+;!900*]):a:a:1),$([c;r5]:[c;r5]:[c;r5]:[c;r5]-[NX4+;!900*])]</t>
        </is>
      </c>
      <c r="H91" s="7" t="inlineStr">
        <is>
          <t>[c]-[NX4+]</t>
        </is>
      </c>
      <c r="I91" s="7" t="inlineStr"/>
      <c r="J91" s="7" t="inlineStr"/>
      <c r="K91" s="7" t="inlineStr"/>
      <c r="L91" s="7" t="inlineStr"/>
      <c r="M91" s="7" t="n"/>
      <c r="N91" s="7" t="inlineStr"/>
      <c r="O91" s="7" t="inlineStr">
        <is>
          <t>yes</t>
        </is>
      </c>
      <c r="P91" s="7" t="inlineStr"/>
      <c r="Q91" s="7" t="inlineStr">
        <is>
          <t>on the ring atom opposite the reacting carbon, inside the same six-membered ring (para)</t>
        </is>
      </c>
      <c r="R91" s="7" t="inlineStr">
        <is>
          <t>withdraws electrons: speeds nucleophilic attack at the ring carbon (SNAr, oxidative addition, metalation next to it), slows electrophilic substitution. At para induction and resonance both act.</t>
        </is>
      </c>
      <c r="S91" s="7" t="inlineStr">
        <is>
          <t>ammonium (σp +0.82): a positive charge next to the ring withdraws strongly</t>
        </is>
      </c>
      <c r="T91" s="7" t="n">
        <v>0.82</v>
      </c>
      <c r="U91" s="10" t="n">
        <v>0.37</v>
      </c>
      <c r="V91" s="7" t="inlineStr"/>
      <c r="W91" s="7" t="n">
        <v>1</v>
      </c>
      <c r="X91" s="7" t="n">
        <v>1</v>
      </c>
      <c r="Y91" s="9" t="n">
        <v>1</v>
      </c>
      <c r="Z91" s="9" t="n">
        <v>0.1429</v>
      </c>
      <c r="AA91" s="7" t="n"/>
      <c r="AB91" s="7" t="n"/>
      <c r="AC91" s="7" t="n"/>
      <c r="AD91" s="7" t="n"/>
      <c r="AE91" s="7" t="inlineStr">
        <is>
          <t>too few contests in the recorded reactions to learn a weight (the weight is shrunk to about zero): the textbook effect is advisory</t>
        </is>
      </c>
      <c r="AF91" s="7" t="inlineStr">
        <is>
          <t>Hansch, Leo, Taft, Chem. Rev. 91, 165 (1991); Clayden, Organic Chemistry (aromatic substitution)</t>
        </is>
      </c>
    </row>
    <row r="92">
      <c r="A92" s="7" t="inlineStr">
        <is>
          <t>I091</t>
        </is>
      </c>
      <c r="B92" s="7" t="inlineStr">
        <is>
          <t>ring-ortho-ominus</t>
        </is>
      </c>
      <c r="C92" s="7" t="inlineStr">
        <is>
          <t>phenoxide (O⁻), ortho to the reacting aromatic carbon</t>
        </is>
      </c>
      <c r="D92" s="7" t="inlineStr">
        <is>
          <t>ring substituent (position)</t>
        </is>
      </c>
      <c r="E92" s="7" t="inlineStr">
        <is>
          <t>electronic</t>
        </is>
      </c>
      <c r="F92" s="7" t="inlineStr">
        <is>
          <t>aromatic C</t>
        </is>
      </c>
      <c r="G92" s="7" t="inlineStr">
        <is>
          <t>[c;$(c:c-[OX1-;!900*])]</t>
        </is>
      </c>
      <c r="H92" s="7" t="inlineStr">
        <is>
          <t>[c]-[OX1-]</t>
        </is>
      </c>
      <c r="I92" s="7" t="inlineStr"/>
      <c r="J92" s="7" t="inlineStr"/>
      <c r="K92" s="7" t="inlineStr"/>
      <c r="L92" s="7" t="inlineStr"/>
      <c r="M92" s="7" t="n"/>
      <c r="N92" s="7" t="inlineStr"/>
      <c r="O92" s="7" t="inlineStr">
        <is>
          <t>yes</t>
        </is>
      </c>
      <c r="P92" s="7" t="inlineStr"/>
      <c r="Q92" s="7" t="inlineStr">
        <is>
          <t>on the ring atom next to the reacting carbon (ortho)</t>
        </is>
      </c>
      <c r="R92" s="7" t="inlineStr">
        <is>
          <t>donates electrons: speeds electrophilic substitution at the ring carbon, slows nucleophilic attack (SNAr, oxidative addition). At ortho the electronic effect is like para, and the group also crowds the carbon.</t>
        </is>
      </c>
      <c r="S92" s="7" t="inlineStr">
        <is>
          <t>phenoxide (O⁻) (σp -0.81): an anionic O donates more strongly than OH</t>
        </is>
      </c>
      <c r="T92" s="7" t="n">
        <v>-0.8100000000000001</v>
      </c>
      <c r="U92" s="10" t="n">
        <v>-0.29</v>
      </c>
      <c r="V92" s="7" t="inlineStr"/>
      <c r="W92" s="7" t="n">
        <v>7</v>
      </c>
      <c r="X92" s="7" t="n">
        <v>7</v>
      </c>
      <c r="Y92" s="9" t="n">
        <v>0</v>
      </c>
      <c r="Z92" s="9" t="n">
        <v>0.3333</v>
      </c>
      <c r="AA92" s="7" t="n"/>
      <c r="AB92" s="7" t="n"/>
      <c r="AC92" s="7" t="n"/>
      <c r="AD92" s="7" t="n"/>
      <c r="AE92" s="7" t="inlineStr">
        <is>
          <t>too few contests in the recorded reactions to learn a weight (the weight is shrunk to about zero): the textbook effect is advisory</t>
        </is>
      </c>
      <c r="AF92" s="7" t="inlineStr">
        <is>
          <t>Hansch, Leo, Taft, Chem. Rev. 91, 165 (1991); Clayden, Organic Chemistry (aromatic substitution)</t>
        </is>
      </c>
    </row>
    <row r="93">
      <c r="A93" s="7" t="inlineStr">
        <is>
          <t>I092</t>
        </is>
      </c>
      <c r="B93" s="7" t="inlineStr">
        <is>
          <t>ring-meta-ominus</t>
        </is>
      </c>
      <c r="C93" s="7" t="inlineStr">
        <is>
          <t>phenoxide (O⁻), meta to the reacting aromatic carbon</t>
        </is>
      </c>
      <c r="D93" s="7" t="inlineStr">
        <is>
          <t>ring substituent (position)</t>
        </is>
      </c>
      <c r="E93" s="7" t="inlineStr">
        <is>
          <t>electronic</t>
        </is>
      </c>
      <c r="F93" s="7" t="inlineStr">
        <is>
          <t>aromatic C</t>
        </is>
      </c>
      <c r="G93" s="7" t="inlineStr">
        <is>
          <t>[c;$(c1:a:c(-[OX1-;!900*]):a:a:a:1),$([c;r5]:[c;r5]:[c;r5]-[OX1-;!900*])]</t>
        </is>
      </c>
      <c r="H93" s="7" t="inlineStr">
        <is>
          <t>[c]-[OX1-]</t>
        </is>
      </c>
      <c r="I93" s="7" t="inlineStr"/>
      <c r="J93" s="7" t="inlineStr"/>
      <c r="K93" s="7" t="inlineStr"/>
      <c r="L93" s="7" t="inlineStr"/>
      <c r="M93" s="7" t="n"/>
      <c r="N93" s="7" t="inlineStr"/>
      <c r="O93" s="7" t="inlineStr">
        <is>
          <t>yes</t>
        </is>
      </c>
      <c r="P93" s="7" t="inlineStr"/>
      <c r="Q93" s="7" t="inlineStr">
        <is>
          <t>on the ring atom two bonds from the reacting carbon, inside the same six-membered ring (meta)</t>
        </is>
      </c>
      <c r="R93" s="7" t="inlineStr">
        <is>
          <t>donates electrons: speeds electrophilic substitution at the ring carbon, slows nucleophilic attack (SNAr, oxidative addition). At meta mostly the inductive part acts; resonance does not reach this position.</t>
        </is>
      </c>
      <c r="S93" s="7" t="inlineStr">
        <is>
          <t>phenoxide (O⁻) (σm -0.47): an anionic O donates more strongly than OH</t>
        </is>
      </c>
      <c r="T93" s="7" t="n">
        <v>-0.47</v>
      </c>
      <c r="U93" s="10" t="n">
        <v>-0.25</v>
      </c>
      <c r="V93" s="7" t="inlineStr"/>
      <c r="W93" s="7" t="n">
        <v>6</v>
      </c>
      <c r="X93" s="7" t="n">
        <v>6</v>
      </c>
      <c r="Y93" s="9" t="n">
        <v>0</v>
      </c>
      <c r="Z93" s="9" t="n">
        <v>0.3056</v>
      </c>
      <c r="AA93" s="7" t="n"/>
      <c r="AB93" s="7" t="n"/>
      <c r="AC93" s="7" t="n"/>
      <c r="AD93" s="7" t="n"/>
      <c r="AE93" s="7" t="inlineStr">
        <is>
          <t>too few contests in the recorded reactions to learn a weight (the weight is shrunk to about zero): the textbook effect is advisory</t>
        </is>
      </c>
      <c r="AF93" s="7" t="inlineStr">
        <is>
          <t>Hansch, Leo, Taft, Chem. Rev. 91, 165 (1991); Clayden, Organic Chemistry (aromatic substitution)</t>
        </is>
      </c>
    </row>
    <row r="94">
      <c r="A94" s="7" t="inlineStr">
        <is>
          <t>I093</t>
        </is>
      </c>
      <c r="B94" s="7" t="inlineStr">
        <is>
          <t>ring-para-ominus</t>
        </is>
      </c>
      <c r="C94" s="7" t="inlineStr">
        <is>
          <t>phenoxide (O⁻), para to the reacting aromatic carbon</t>
        </is>
      </c>
      <c r="D94" s="7" t="inlineStr">
        <is>
          <t>ring substituent (position)</t>
        </is>
      </c>
      <c r="E94" s="7" t="inlineStr">
        <is>
          <t>electronic</t>
        </is>
      </c>
      <c r="F94" s="7" t="inlineStr">
        <is>
          <t>aromatic C</t>
        </is>
      </c>
      <c r="G94" s="7" t="inlineStr">
        <is>
          <t>[c;$(c1:a:a:c(-[OX1-;!900*]):a:a:1),$([c;r5]:[c;r5]:[c;r5]:[c;r5]-[OX1-;!900*])]</t>
        </is>
      </c>
      <c r="H94" s="7" t="inlineStr">
        <is>
          <t>[c]-[OX1-]</t>
        </is>
      </c>
      <c r="I94" s="7" t="inlineStr"/>
      <c r="J94" s="7" t="inlineStr"/>
      <c r="K94" s="7" t="inlineStr"/>
      <c r="L94" s="7" t="inlineStr"/>
      <c r="M94" s="7" t="n"/>
      <c r="N94" s="7" t="inlineStr"/>
      <c r="O94" s="7" t="inlineStr">
        <is>
          <t>yes</t>
        </is>
      </c>
      <c r="P94" s="7" t="inlineStr"/>
      <c r="Q94" s="7" t="inlineStr">
        <is>
          <t>on the ring atom opposite the reacting carbon, inside the same six-membered ring (para)</t>
        </is>
      </c>
      <c r="R94" s="7" t="inlineStr">
        <is>
          <t>donates electrons: speeds electrophilic substitution at the ring carbon, slows nucleophilic attack (SNAr, oxidative addition). At para induction and resonance both act.</t>
        </is>
      </c>
      <c r="S94" s="7" t="inlineStr">
        <is>
          <t>phenoxide (O⁻) (σp -0.81): an anionic O donates more strongly than OH</t>
        </is>
      </c>
      <c r="T94" s="7" t="n">
        <v>-0.8100000000000001</v>
      </c>
      <c r="U94" s="10" t="n">
        <v>-0.36</v>
      </c>
      <c r="V94" s="7" t="inlineStr"/>
      <c r="W94" s="7" t="n">
        <v>6</v>
      </c>
      <c r="X94" s="7" t="n">
        <v>6</v>
      </c>
      <c r="Y94" s="9" t="n">
        <v>0</v>
      </c>
      <c r="Z94" s="9" t="n">
        <v>0.3333</v>
      </c>
      <c r="AA94" s="7" t="n"/>
      <c r="AB94" s="7" t="n"/>
      <c r="AC94" s="7" t="n"/>
      <c r="AD94" s="7" t="n"/>
      <c r="AE94" s="7" t="inlineStr">
        <is>
          <t>too few contests in the recorded reactions to learn a weight (the weight is shrunk to about zero): the textbook effect is advisory</t>
        </is>
      </c>
      <c r="AF94" s="7" t="inlineStr">
        <is>
          <t>Hansch, Leo, Taft, Chem. Rev. 91, 165 (1991); Clayden, Organic Chemistry (aromatic substitution)</t>
        </is>
      </c>
    </row>
    <row r="95">
      <c r="A95" s="7" t="inlineStr">
        <is>
          <t>I094</t>
        </is>
      </c>
      <c r="B95" s="7" t="inlineStr">
        <is>
          <t>ring-ortho-co2minus</t>
        </is>
      </c>
      <c r="C95" s="7" t="inlineStr">
        <is>
          <t>carboxylate, ortho to the reacting aromatic carbon</t>
        </is>
      </c>
      <c r="D95" s="7" t="inlineStr">
        <is>
          <t>ring substituent (position)</t>
        </is>
      </c>
      <c r="E95" s="7" t="inlineStr">
        <is>
          <t>electronic</t>
        </is>
      </c>
      <c r="F95" s="7" t="inlineStr">
        <is>
          <t>aromatic C</t>
        </is>
      </c>
      <c r="G95" s="7" t="inlineStr">
        <is>
          <t>[c;$(c:c-[CX3;!900*](=O)[OX1-])]</t>
        </is>
      </c>
      <c r="H95" s="7" t="inlineStr">
        <is>
          <t>[c]-[CX3](=O)[OX1-]</t>
        </is>
      </c>
      <c r="I95" s="7" t="inlineStr"/>
      <c r="J95" s="7" t="inlineStr"/>
      <c r="K95" s="7" t="inlineStr"/>
      <c r="L95" s="7" t="inlineStr"/>
      <c r="M95" s="7" t="n"/>
      <c r="N95" s="7" t="inlineStr"/>
      <c r="O95" s="7" t="inlineStr">
        <is>
          <t>yes</t>
        </is>
      </c>
      <c r="P95" s="7" t="inlineStr"/>
      <c r="Q95" s="7" t="inlineStr">
        <is>
          <t>on the ring atom next to the reacting carbon (ortho)</t>
        </is>
      </c>
      <c r="R95" s="7" t="inlineStr">
        <is>
          <t>has almost no net electronic effect on the ring carbon (σ close to 0); a carboxylate is a weak meta director in electrophilic substitution. At ortho the electronic effect is like para, and the group also crowds the carbon.</t>
        </is>
      </c>
      <c r="S95" s="7" t="inlineStr">
        <is>
          <t>carboxylate (σp +0.00): an anionic carboxylate: neutral to weakly donating</t>
        </is>
      </c>
      <c r="T95" s="7" t="n">
        <v>0</v>
      </c>
      <c r="U95" s="10" t="n">
        <v>-0.1</v>
      </c>
      <c r="V95" s="7" t="inlineStr"/>
      <c r="W95" s="7" t="n">
        <v>1</v>
      </c>
      <c r="X95" s="7" t="n">
        <v>1</v>
      </c>
      <c r="Y95" s="9" t="n">
        <v>0</v>
      </c>
      <c r="Z95" s="9" t="n">
        <v>0.3333</v>
      </c>
      <c r="AA95" s="7" t="n"/>
      <c r="AB95" s="7" t="n"/>
      <c r="AC95" s="7" t="n"/>
      <c r="AD95" s="7" t="n"/>
      <c r="AE95" s="7" t="inlineStr">
        <is>
          <t>too few contests in the recorded reactions to learn a weight (the weight is shrunk to about zero): the textbook effect is advisory</t>
        </is>
      </c>
      <c r="AF95" s="7" t="inlineStr">
        <is>
          <t>Hansch, Leo, Taft, Chem. Rev. 91, 165 (1991); Clayden, Organic Chemistry (aromatic substitution)</t>
        </is>
      </c>
    </row>
    <row r="96">
      <c r="A96" s="7" t="inlineStr">
        <is>
          <t>I095</t>
        </is>
      </c>
      <c r="B96" s="7" t="inlineStr">
        <is>
          <t>ring-meta-co2minus</t>
        </is>
      </c>
      <c r="C96" s="7" t="inlineStr">
        <is>
          <t>carboxylate, meta to the reacting aromatic carbon</t>
        </is>
      </c>
      <c r="D96" s="7" t="inlineStr">
        <is>
          <t>ring substituent (position)</t>
        </is>
      </c>
      <c r="E96" s="7" t="inlineStr">
        <is>
          <t>electronic</t>
        </is>
      </c>
      <c r="F96" s="7" t="inlineStr">
        <is>
          <t>aromatic C</t>
        </is>
      </c>
      <c r="G96" s="7" t="inlineStr">
        <is>
          <t>[c;$(c1:a:c(-[CX3;!900*](=O)[OX1-]):a:a:a:1),$([c;r5]:[c;r5]:[c;r5]-[CX3;!900*](=O)[OX1-])]</t>
        </is>
      </c>
      <c r="H96" s="7" t="inlineStr">
        <is>
          <t>[c]-[CX3](=O)[OX1-]</t>
        </is>
      </c>
      <c r="I96" s="7" t="inlineStr"/>
      <c r="J96" s="7" t="inlineStr"/>
      <c r="K96" s="7" t="inlineStr"/>
      <c r="L96" s="7" t="inlineStr"/>
      <c r="M96" s="7" t="n"/>
      <c r="N96" s="7" t="inlineStr"/>
      <c r="O96" s="7" t="inlineStr">
        <is>
          <t>yes</t>
        </is>
      </c>
      <c r="P96" s="7" t="inlineStr"/>
      <c r="Q96" s="7" t="inlineStr">
        <is>
          <t>on the ring atom two bonds from the reacting carbon, inside the same six-membered ring (meta)</t>
        </is>
      </c>
      <c r="R96" s="7" t="inlineStr">
        <is>
          <t>has almost no net electronic effect on the ring carbon (σ close to 0); a carboxylate is a weak meta director in electrophilic substitution. At meta mostly the inductive part acts; resonance does not reach this position.</t>
        </is>
      </c>
      <c r="S96" s="7" t="inlineStr">
        <is>
          <t>carboxylate (σm -0.10): an anionic carboxylate: neutral to weakly donating</t>
        </is>
      </c>
      <c r="T96" s="7" t="n">
        <v>-0.1</v>
      </c>
      <c r="U96" s="10" t="n">
        <v>-0.08</v>
      </c>
      <c r="V96" s="7" t="inlineStr"/>
      <c r="W96" s="7" t="n">
        <v>1</v>
      </c>
      <c r="X96" s="7" t="n">
        <v>1</v>
      </c>
      <c r="Y96" s="9" t="n">
        <v>0</v>
      </c>
      <c r="Z96" s="9" t="n">
        <v>0.3333</v>
      </c>
      <c r="AA96" s="7" t="n"/>
      <c r="AB96" s="7" t="n"/>
      <c r="AC96" s="7" t="n"/>
      <c r="AD96" s="7" t="n"/>
      <c r="AE96" s="7" t="inlineStr">
        <is>
          <t>too few contests in the recorded reactions to learn a weight (the weight is shrunk to about zero): the textbook effect is advisory</t>
        </is>
      </c>
      <c r="AF96" s="7" t="inlineStr">
        <is>
          <t>Hansch, Leo, Taft, Chem. Rev. 91, 165 (1991); Clayden, Organic Chemistry (aromatic substitution)</t>
        </is>
      </c>
    </row>
    <row r="97">
      <c r="A97" s="7" t="inlineStr">
        <is>
          <t>I096</t>
        </is>
      </c>
      <c r="B97" s="7" t="inlineStr">
        <is>
          <t>ring-para-co2minus</t>
        </is>
      </c>
      <c r="C97" s="7" t="inlineStr">
        <is>
          <t>carboxylate, para to the reacting aromatic carbon</t>
        </is>
      </c>
      <c r="D97" s="7" t="inlineStr">
        <is>
          <t>ring substituent (position)</t>
        </is>
      </c>
      <c r="E97" s="7" t="inlineStr">
        <is>
          <t>electronic</t>
        </is>
      </c>
      <c r="F97" s="7" t="inlineStr">
        <is>
          <t>aromatic C</t>
        </is>
      </c>
      <c r="G97" s="7" t="inlineStr">
        <is>
          <t>[c;$(c1:a:a:c(-[CX3;!900*](=O)[OX1-]):a:a:1),$([c;r5]:[c;r5]:[c;r5]:[c;r5]-[CX3;!900*](=O)[OX1-])]</t>
        </is>
      </c>
      <c r="H97" s="7" t="inlineStr">
        <is>
          <t>[c]-[CX3](=O)[OX1-]</t>
        </is>
      </c>
      <c r="I97" s="7" t="inlineStr"/>
      <c r="J97" s="7" t="inlineStr"/>
      <c r="K97" s="7" t="inlineStr"/>
      <c r="L97" s="7" t="inlineStr"/>
      <c r="M97" s="7" t="n"/>
      <c r="N97" s="7" t="inlineStr"/>
      <c r="O97" s="7" t="inlineStr">
        <is>
          <t>yes</t>
        </is>
      </c>
      <c r="P97" s="7" t="inlineStr"/>
      <c r="Q97" s="7" t="inlineStr">
        <is>
          <t>on the ring atom opposite the reacting carbon, inside the same six-membered ring (para)</t>
        </is>
      </c>
      <c r="R97" s="7" t="inlineStr">
        <is>
          <t>has almost no net electronic effect on the ring carbon (σ close to 0); a carboxylate is a weak meta director in electrophilic substitution. At para induction and resonance both act.</t>
        </is>
      </c>
      <c r="S97" s="7" t="inlineStr">
        <is>
          <t>carboxylate (σp +0.00): an anionic carboxylate: neutral to weakly donating</t>
        </is>
      </c>
      <c r="T97" s="7" t="n">
        <v>0</v>
      </c>
      <c r="U97" s="10" t="n">
        <v>0.05</v>
      </c>
      <c r="V97" s="7" t="inlineStr"/>
      <c r="W97" s="7" t="n">
        <v>2</v>
      </c>
      <c r="X97" s="7" t="n">
        <v>2</v>
      </c>
      <c r="Y97" s="9" t="n">
        <v>0.5</v>
      </c>
      <c r="Z97" s="9" t="n">
        <v>0.4167</v>
      </c>
      <c r="AA97" s="7" t="n"/>
      <c r="AB97" s="7" t="n"/>
      <c r="AC97" s="7" t="n"/>
      <c r="AD97" s="7" t="n"/>
      <c r="AE97" s="7" t="inlineStr">
        <is>
          <t>too few contests in the recorded reactions to learn a weight (the weight is shrunk to about zero): the textbook effect is advisory</t>
        </is>
      </c>
      <c r="AF97" s="7" t="inlineStr">
        <is>
          <t>Hansch, Leo, Taft, Chem. Rev. 91, 165 (1991); Clayden, Organic Chemistry (aromatic substitution)</t>
        </is>
      </c>
    </row>
    <row r="98">
      <c r="A98" s="7" t="inlineStr">
        <is>
          <t>I097</t>
        </is>
      </c>
      <c r="B98" s="7" t="inlineStr">
        <is>
          <t>ring-alpha-N</t>
        </is>
      </c>
      <c r="C98" s="7" t="inlineStr">
        <is>
          <t>reacting carbon next to a pyridine-type ring nitrogen (α)</t>
        </is>
      </c>
      <c r="D98" s="7" t="inlineStr">
        <is>
          <t>ring type</t>
        </is>
      </c>
      <c r="E98" s="7" t="inlineStr">
        <is>
          <t>electronic</t>
        </is>
      </c>
      <c r="F98" s="7" t="inlineStr">
        <is>
          <t>aromatic C</t>
        </is>
      </c>
      <c r="G98" s="7" t="inlineStr">
        <is>
          <t>[c;$(c:[nX2])]</t>
        </is>
      </c>
      <c r="H98" s="7" t="inlineStr"/>
      <c r="I98" s="7" t="inlineStr"/>
      <c r="J98" s="7" t="inlineStr"/>
      <c r="K98" s="7" t="inlineStr"/>
      <c r="L98" s="7" t="inlineStr"/>
      <c r="M98" s="7" t="n"/>
      <c r="N98" s="7" t="inlineStr"/>
      <c r="O98" s="7" t="inlineStr">
        <is>
          <t>yes</t>
        </is>
      </c>
      <c r="P98" s="7" t="inlineStr"/>
      <c r="Q98" s="7" t="inlineStr">
        <is>
          <t>the reacting carbon is bonded to a pyridine-type ring N (2-position of pyridine, C2 of azoles)</t>
        </is>
      </c>
      <c r="R98" s="7" t="inlineStr">
        <is>
          <t>electron-poor carbon: nucleophiles add here (SNAr, Chichibabin, Minisci) and the C–X bond is activated for oxidative addition</t>
        </is>
      </c>
      <c r="S98" s="7" t="inlineStr">
        <is>
          <t>the ring N pulls electron density from the neighbouring carbon and takes the negative charge of the intermediate</t>
        </is>
      </c>
      <c r="T98" s="7" t="n"/>
      <c r="U98" s="10" t="n">
        <v>1.09</v>
      </c>
      <c r="V98" s="7" t="inlineStr">
        <is>
          <t>aryl halide +2.99 (n=6462; winner had it 90 % vs 48 % at random) · carbonyl addition +1.62 (n=586; winner had it 59 % vs 40 % at random) · redox other +1.42 (n=43; winner had it 63 % vs 39 % at random) · alkyl substitution +1.35 (n=367; winner had it 56 % vs 38 % at random) · n nucleophile +1.14 (n=371; winner had it 65 % vs 41 % at random) · deprotection +0.99 (n=213; winner had it 44 % vs 34 % at random)</t>
        </is>
      </c>
      <c r="W98" s="7" t="n">
        <v>12312</v>
      </c>
      <c r="X98" s="7" t="n">
        <v>4586</v>
      </c>
      <c r="Y98" s="9" t="n">
        <v>0.6753</v>
      </c>
      <c r="Z98" s="9" t="n">
        <v>0.4162</v>
      </c>
      <c r="AA98" s="7" t="n"/>
      <c r="AB98" s="7" t="n"/>
      <c r="AC98" s="7" t="n"/>
      <c r="AD98" s="7" t="n"/>
      <c r="AE98" s="7" t="inlineStr">
        <is>
          <t>learned from the training patents (tools/int_train.py)</t>
        </is>
      </c>
      <c r="AF98" s="7" t="inlineStr">
        <is>
          <t>Joule &amp; Mills, Heterocyclic Chemistry</t>
        </is>
      </c>
    </row>
    <row r="99">
      <c r="A99" s="7" t="inlineStr">
        <is>
          <t>I098</t>
        </is>
      </c>
      <c r="B99" s="7" t="inlineStr">
        <is>
          <t>ring-beta-N</t>
        </is>
      </c>
      <c r="C99" s="7" t="inlineStr">
        <is>
          <t>reacting carbon one atom from a pyridine-type ring nitrogen (β)</t>
        </is>
      </c>
      <c r="D99" s="7" t="inlineStr">
        <is>
          <t>ring type</t>
        </is>
      </c>
      <c r="E99" s="7" t="inlineStr">
        <is>
          <t>electronic</t>
        </is>
      </c>
      <c r="F99" s="7" t="inlineStr">
        <is>
          <t>aromatic C</t>
        </is>
      </c>
      <c r="G99" s="7" t="inlineStr">
        <is>
          <t>[c;$(c1:c:[nX2]:a:a:a:1),$([c;r5]:[c;r5]:[nX2;r5])]</t>
        </is>
      </c>
      <c r="H99" s="7" t="inlineStr"/>
      <c r="I99" s="7" t="inlineStr"/>
      <c r="J99" s="7" t="inlineStr"/>
      <c r="K99" s="7" t="inlineStr"/>
      <c r="L99" s="7" t="inlineStr"/>
      <c r="M99" s="7" t="n"/>
      <c r="N99" s="7" t="inlineStr"/>
      <c r="O99" s="7" t="inlineStr">
        <is>
          <t>yes</t>
        </is>
      </c>
      <c r="P99" s="7" t="inlineStr"/>
      <c r="Q99" s="7" t="inlineStr">
        <is>
          <t>the reacting carbon is two bonds from a pyridine-type ring N, in the same ring (3-position of pyridine)</t>
        </is>
      </c>
      <c r="R99" s="7" t="inlineStr">
        <is>
          <t>the least electron-poor position of an azine: electrophilic substitution goes here (when it goes at all)</t>
        </is>
      </c>
      <c r="S99" s="7" t="inlineStr">
        <is>
          <t>no resonance structure puts the charge on N, so the β position behaves like a deactivated benzene carbon</t>
        </is>
      </c>
      <c r="T99" s="7" t="n"/>
      <c r="U99" s="10" t="n">
        <v>0.15</v>
      </c>
      <c r="V99" s="7" t="inlineStr">
        <is>
          <t>acyl substitution +0.66 (n=1805; winner had it 61 % vs 33 % at random) · carbonyl addition +0.52 (n=467; winner had it 42 % vs 34 % at random) · arene ch +0.48 (n=1593; winner had it 56 % vs 32 % at random) · n nucleophile -0.17 (n=284; winner had it 26 % vs 35 % at random)</t>
        </is>
      </c>
      <c r="W99" s="7" t="n">
        <v>8846</v>
      </c>
      <c r="X99" s="7" t="n">
        <v>3689</v>
      </c>
      <c r="Y99" s="9" t="n">
        <v>0.3616</v>
      </c>
      <c r="Z99" s="9" t="n">
        <v>0.3875</v>
      </c>
      <c r="AA99" s="7" t="n"/>
      <c r="AB99" s="7" t="n"/>
      <c r="AC99" s="7" t="n"/>
      <c r="AD99" s="7" t="n"/>
      <c r="AE99" s="7" t="inlineStr">
        <is>
          <t>learned from the training patents (tools/int_train.py)</t>
        </is>
      </c>
      <c r="AF99" s="7" t="inlineStr">
        <is>
          <t>Joule &amp; Mills, Heterocyclic Chemistry</t>
        </is>
      </c>
    </row>
    <row r="100">
      <c r="A100" s="7" t="inlineStr">
        <is>
          <t>I099</t>
        </is>
      </c>
      <c r="B100" s="7" t="inlineStr">
        <is>
          <t>ring-gamma-N</t>
        </is>
      </c>
      <c r="C100" s="7" t="inlineStr">
        <is>
          <t>reacting carbon opposite a pyridine-type ring nitrogen (γ)</t>
        </is>
      </c>
      <c r="D100" s="7" t="inlineStr">
        <is>
          <t>ring type</t>
        </is>
      </c>
      <c r="E100" s="7" t="inlineStr">
        <is>
          <t>electronic</t>
        </is>
      </c>
      <c r="F100" s="7" t="inlineStr">
        <is>
          <t>aromatic C</t>
        </is>
      </c>
      <c r="G100" s="7" t="inlineStr">
        <is>
          <t>[c;$(c1:a:a:[nX2]:a:a:1)]</t>
        </is>
      </c>
      <c r="H100" s="7" t="inlineStr"/>
      <c r="I100" s="7" t="inlineStr"/>
      <c r="J100" s="7" t="inlineStr"/>
      <c r="K100" s="7" t="inlineStr"/>
      <c r="L100" s="7" t="inlineStr"/>
      <c r="M100" s="7" t="n"/>
      <c r="N100" s="7" t="inlineStr"/>
      <c r="O100" s="7" t="inlineStr">
        <is>
          <t>yes</t>
        </is>
      </c>
      <c r="P100" s="7" t="inlineStr"/>
      <c r="Q100" s="7" t="inlineStr">
        <is>
          <t>the reacting carbon is para to a pyridine-type ring N in the same six-membered ring (4-position of pyridine)</t>
        </is>
      </c>
      <c r="R100" s="7" t="inlineStr">
        <is>
          <t>electron-poor carbon: nucleophiles add here (SNAr, Minisci) and oxidative addition is easy</t>
        </is>
      </c>
      <c r="S100" s="7" t="inlineStr">
        <is>
          <t>the ring N takes the negative charge of the intermediate by resonance</t>
        </is>
      </c>
      <c r="T100" s="7" t="n"/>
      <c r="U100" s="10" t="n">
        <v>-0.9399999999999999</v>
      </c>
      <c r="V100" s="7" t="inlineStr">
        <is>
          <t>acyl substitution -2.33 (n=965; winner had it 1 % vs 26 % at random) · carbonyl addition -2.08 (n=242; winner had it 3 % vs 32 % at random) · arene ch -1.89 (n=863; winner had it 2 % vs 27 % at random) · alkyl substitution -1.60 (n=113; winner had it 4 % vs 32 % at random) · other -1.17 (n=39; winner had it 10 % vs 23 % at random) · aryl halide +1.07 (n=3600; winner had it 71 % vs 46 % at random)</t>
        </is>
      </c>
      <c r="W100" s="7" t="n">
        <v>6330</v>
      </c>
      <c r="X100" s="7" t="n">
        <v>2772</v>
      </c>
      <c r="Y100" s="9" t="n">
        <v>0.4335</v>
      </c>
      <c r="Z100" s="9" t="n">
        <v>0.3883</v>
      </c>
      <c r="AA100" s="7" t="n"/>
      <c r="AB100" s="7" t="n"/>
      <c r="AC100" s="7" t="n"/>
      <c r="AD100" s="7" t="n"/>
      <c r="AE100" s="7" t="inlineStr">
        <is>
          <t>learned from the training patents (tools/int_train.py)</t>
        </is>
      </c>
      <c r="AF100" s="7" t="inlineStr">
        <is>
          <t>Joule &amp; Mills, Heterocyclic Chemistry</t>
        </is>
      </c>
    </row>
    <row r="101">
      <c r="A101" s="7" t="inlineStr">
        <is>
          <t>I100</t>
        </is>
      </c>
      <c r="B101" s="7" t="inlineStr">
        <is>
          <t>ring-between-2N</t>
        </is>
      </c>
      <c r="C101" s="7" t="inlineStr">
        <is>
          <t>reacting carbon between two ring nitrogens</t>
        </is>
      </c>
      <c r="D101" s="7" t="inlineStr">
        <is>
          <t>ring type</t>
        </is>
      </c>
      <c r="E101" s="7" t="inlineStr">
        <is>
          <t>electronic</t>
        </is>
      </c>
      <c r="F101" s="7" t="inlineStr">
        <is>
          <t>aromatic C</t>
        </is>
      </c>
      <c r="G101" s="7" t="inlineStr">
        <is>
          <t>[c;$(c(:n):n)]</t>
        </is>
      </c>
      <c r="H101" s="7" t="inlineStr"/>
      <c r="I101" s="7" t="inlineStr"/>
      <c r="J101" s="7" t="inlineStr"/>
      <c r="K101" s="7" t="inlineStr"/>
      <c r="L101" s="7" t="inlineStr"/>
      <c r="M101" s="7" t="n"/>
      <c r="N101" s="7" t="inlineStr"/>
      <c r="O101" s="7" t="inlineStr">
        <is>
          <t>yes</t>
        </is>
      </c>
      <c r="P101" s="7" t="inlineStr"/>
      <c r="Q101" s="7" t="inlineStr">
        <is>
          <t>C2 of pyrimidine, imidazole, triazole: a ring N on each side</t>
        </is>
      </c>
      <c r="R101" s="7" t="inlineStr">
        <is>
          <t>the most electron-poor carbon of an azole (C2 of imidazole, thiazole, triazole): its C–H is the acidic one and lithiates or couples first; in pyrimidines, quinazolines and purines SNAr and oxidative addition go to C4 / C6 before C2 (2,4-dichloropyrimidine reacts first at C4)</t>
        </is>
      </c>
      <c r="S101" s="7" t="inlineStr">
        <is>
          <t>two ring N atoms withdraw electrons and stabilise the anion</t>
        </is>
      </c>
      <c r="T101" s="7" t="n"/>
      <c r="U101" s="10" t="n">
        <v>-0.11</v>
      </c>
      <c r="V101" s="7" t="inlineStr">
        <is>
          <t>alkyl substitution +1.39 (n=114; winner had it 88 % vs 32 % at random) · deprotection -0.84 (n=62; winner had it 37 % vs 38 % at random) · arene ch -0.77 (n=358; winner had it 46 % vs 26 % at random) · aryl halide -0.75 (n=4326; winner had it 49 % vs 47 % at random) · other -0.65 (n=25; winner had it 16 % vs 35 % at random) · n nucleophile +0.27 (n=112; winner had it 63 % vs 39 % at random)</t>
        </is>
      </c>
      <c r="W101" s="7" t="n">
        <v>5734</v>
      </c>
      <c r="X101" s="7" t="n">
        <v>1887</v>
      </c>
      <c r="Y101" s="9" t="n">
        <v>0.5194</v>
      </c>
      <c r="Z101" s="9" t="n">
        <v>0.4309</v>
      </c>
      <c r="AA101" s="7" t="n"/>
      <c r="AB101" s="7" t="n"/>
      <c r="AC101" s="7" t="n"/>
      <c r="AD101" s="7" t="n"/>
      <c r="AE101" s="7" t="inlineStr">
        <is>
          <t>learned from the training patents (tools/int_train.py)</t>
        </is>
      </c>
      <c r="AF101" s="7" t="inlineStr">
        <is>
          <t>Joule &amp; Mills, Heterocyclic Chemistry</t>
        </is>
      </c>
    </row>
    <row r="102">
      <c r="A102" s="7" t="inlineStr">
        <is>
          <t>I101</t>
        </is>
      </c>
      <c r="B102" s="7" t="inlineStr">
        <is>
          <t>ring-alpha-azinium</t>
        </is>
      </c>
      <c r="C102" s="7" t="inlineStr">
        <is>
          <t>reacting carbon next to a ring N⁺ (pyridinium, N-oxide)</t>
        </is>
      </c>
      <c r="D102" s="7" t="inlineStr">
        <is>
          <t>ring type</t>
        </is>
      </c>
      <c r="E102" s="7" t="inlineStr">
        <is>
          <t>electronic</t>
        </is>
      </c>
      <c r="F102" s="7" t="inlineStr">
        <is>
          <t>aromatic C</t>
        </is>
      </c>
      <c r="G102" s="7" t="inlineStr">
        <is>
          <t>[c;$(c:[n+])]</t>
        </is>
      </c>
      <c r="H102" s="7" t="inlineStr"/>
      <c r="I102" s="7" t="inlineStr"/>
      <c r="J102" s="7" t="inlineStr"/>
      <c r="K102" s="7" t="inlineStr"/>
      <c r="L102" s="7" t="inlineStr"/>
      <c r="M102" s="7" t="n"/>
      <c r="N102" s="7" t="inlineStr"/>
      <c r="O102" s="7" t="inlineStr">
        <is>
          <t>yes</t>
        </is>
      </c>
      <c r="P102" s="7" t="inlineStr"/>
      <c r="Q102" s="7" t="inlineStr">
        <is>
          <t>the reacting carbon is bonded to a positively charged ring N (C2 of an N-oxide or N-alkylpyridinium)</t>
        </is>
      </c>
      <c r="R102" s="7" t="inlineStr">
        <is>
          <t>very electron-poor: nucleophiles add here (POCl3 / Ac2O chlorination and acyloxylation of N-oxides, Minisci, Reissert), metalation and Pd C–H activation are directed here</t>
        </is>
      </c>
      <c r="S102" s="7" t="inlineStr">
        <is>
          <t>the positive charge withdraws strongly and takes the incoming nucleophile</t>
        </is>
      </c>
      <c r="T102" s="7" t="n"/>
      <c r="U102" s="10" t="n">
        <v>0.17</v>
      </c>
      <c r="V102" s="7" t="inlineStr"/>
      <c r="W102" s="7" t="n">
        <v>35</v>
      </c>
      <c r="X102" s="7" t="n">
        <v>23</v>
      </c>
      <c r="Y102" s="9" t="n">
        <v>0.5429</v>
      </c>
      <c r="Z102" s="9" t="n">
        <v>0.4235</v>
      </c>
      <c r="AA102" s="7" t="n"/>
      <c r="AB102" s="7" t="n"/>
      <c r="AC102" s="7" t="n"/>
      <c r="AD102" s="7" t="n"/>
      <c r="AE102" s="7" t="inlineStr">
        <is>
          <t>learned from the training patents (tools/int_train.py)</t>
        </is>
      </c>
      <c r="AF102" s="7" t="inlineStr">
        <is>
          <t>Joule &amp; Mills, Heterocyclic Chemistry</t>
        </is>
      </c>
    </row>
    <row r="103">
      <c r="A103" s="7" t="inlineStr">
        <is>
          <t>I102</t>
        </is>
      </c>
      <c r="B103" s="7" t="inlineStr">
        <is>
          <t>ring-gamma-azinium</t>
        </is>
      </c>
      <c r="C103" s="7" t="inlineStr">
        <is>
          <t>reacting carbon opposite a ring N⁺ (γ of pyridinium, N-oxide)</t>
        </is>
      </c>
      <c r="D103" s="7" t="inlineStr">
        <is>
          <t>ring type</t>
        </is>
      </c>
      <c r="E103" s="7" t="inlineStr">
        <is>
          <t>electronic</t>
        </is>
      </c>
      <c r="F103" s="7" t="inlineStr">
        <is>
          <t>aromatic C</t>
        </is>
      </c>
      <c r="G103" s="7" t="inlineStr">
        <is>
          <t>[c;$(c1:a:a:[n+]:a:a:1)]</t>
        </is>
      </c>
      <c r="H103" s="7" t="inlineStr"/>
      <c r="I103" s="7" t="inlineStr"/>
      <c r="J103" s="7" t="inlineStr"/>
      <c r="K103" s="7" t="inlineStr"/>
      <c r="L103" s="7" t="inlineStr"/>
      <c r="M103" s="7" t="n"/>
      <c r="N103" s="7" t="inlineStr"/>
      <c r="O103" s="7" t="inlineStr">
        <is>
          <t>yes</t>
        </is>
      </c>
      <c r="P103" s="7" t="inlineStr"/>
      <c r="Q103" s="7" t="inlineStr">
        <is>
          <t>the reacting carbon is para to a positively charged ring N</t>
        </is>
      </c>
      <c r="R103" s="7" t="inlineStr">
        <is>
          <t>electron-poor: nucleophiles add here (4-substitution of pyridine N-oxides and pyridiniums), nitration of N-oxides goes here</t>
        </is>
      </c>
      <c r="S103" s="7" t="inlineStr">
        <is>
          <t>the positive charge withdraws and resonance carries it to this position</t>
        </is>
      </c>
      <c r="T103" s="7" t="n"/>
      <c r="U103" s="10" t="n">
        <v>-0.51</v>
      </c>
      <c r="V103" s="7" t="inlineStr"/>
      <c r="W103" s="7" t="n">
        <v>23</v>
      </c>
      <c r="X103" s="7" t="n">
        <v>15</v>
      </c>
      <c r="Y103" s="9" t="n">
        <v>0.0435</v>
      </c>
      <c r="Z103" s="9" t="n">
        <v>0.3513</v>
      </c>
      <c r="AA103" s="7" t="n"/>
      <c r="AB103" s="7" t="n"/>
      <c r="AC103" s="7" t="n"/>
      <c r="AD103" s="7" t="n"/>
      <c r="AE103" s="7" t="inlineStr">
        <is>
          <t>too few contests in the recorded reactions to learn a weight (the weight is shrunk to about zero): the textbook effect is advisory</t>
        </is>
      </c>
      <c r="AF103" s="7" t="inlineStr">
        <is>
          <t>Joule &amp; Mills, Heterocyclic Chemistry</t>
        </is>
      </c>
    </row>
    <row r="104">
      <c r="A104" s="7" t="inlineStr">
        <is>
          <t>I103</t>
        </is>
      </c>
      <c r="B104" s="7" t="inlineStr">
        <is>
          <t>ring-alpha-S</t>
        </is>
      </c>
      <c r="C104" s="7" t="inlineStr">
        <is>
          <t>reacting carbon next to a ring sulfur (α)</t>
        </is>
      </c>
      <c r="D104" s="7" t="inlineStr">
        <is>
          <t>ring type</t>
        </is>
      </c>
      <c r="E104" s="7" t="inlineStr">
        <is>
          <t>electronic</t>
        </is>
      </c>
      <c r="F104" s="7" t="inlineStr">
        <is>
          <t>aromatic C</t>
        </is>
      </c>
      <c r="G104" s="7" t="inlineStr">
        <is>
          <t>[c;$(c:s)]</t>
        </is>
      </c>
      <c r="H104" s="7" t="inlineStr"/>
      <c r="I104" s="7" t="inlineStr"/>
      <c r="J104" s="7" t="inlineStr"/>
      <c r="K104" s="7" t="inlineStr"/>
      <c r="L104" s="7" t="inlineStr"/>
      <c r="M104" s="7" t="n"/>
      <c r="N104" s="7" t="inlineStr"/>
      <c r="O104" s="7" t="inlineStr">
        <is>
          <t>yes</t>
        </is>
      </c>
      <c r="P104" s="7" t="inlineStr"/>
      <c r="Q104" s="7" t="inlineStr">
        <is>
          <t>a carbon bonded to a ring S: C2/C5 of thiophene, C2/C5 of thiazole</t>
        </is>
      </c>
      <c r="R104" s="7" t="inlineStr">
        <is>
          <t>thiophene: electrophilic substitution and lithiation go to the α carbon first; thiazole: C2 (between S and N) is the acidic, lithiated and nucleophile-attacked carbon, C5 is the electrophilic-substitution site</t>
        </is>
      </c>
      <c r="S104" s="7" t="inlineStr">
        <is>
          <t>the S lone pair stabilises the cation formed by attack at the α carbon better than at β</t>
        </is>
      </c>
      <c r="T104" s="7" t="n"/>
      <c r="U104" s="10" t="n">
        <v>2.3</v>
      </c>
      <c r="V104" s="7" t="inlineStr">
        <is>
          <t>carbonyl addition +3.67 (n=269; winner had it 97 % vs 36 % at random) · acyl substitution +2.92 (n=814; winner had it 89 % vs 33 % at random) · alkyl substitution +2.89 (n=103; winner had it 95 % vs 36 % at random) · aryl halide +2.86 (n=605; winner had it 90 % vs 44 % at random) · deprotection +2.71 (n=72; winner had it 92 % vs 34 % at random) · arene ch +2.50 (n=564; winner had it 92 % vs 34 % at random)</t>
        </is>
      </c>
      <c r="W104" s="7" t="n">
        <v>2547</v>
      </c>
      <c r="X104" s="7" t="n">
        <v>1268</v>
      </c>
      <c r="Y104" s="9" t="n">
        <v>0.8979</v>
      </c>
      <c r="Z104" s="9" t="n">
        <v>0.3628</v>
      </c>
      <c r="AA104" s="7" t="n"/>
      <c r="AB104" s="7" t="n"/>
      <c r="AC104" s="7" t="n"/>
      <c r="AD104" s="7" t="n"/>
      <c r="AE104" s="7" t="inlineStr">
        <is>
          <t>learned from the training patents (tools/int_train.py)</t>
        </is>
      </c>
      <c r="AF104" s="7" t="inlineStr">
        <is>
          <t>Joule &amp; Mills, Heterocyclic Chemistry</t>
        </is>
      </c>
    </row>
    <row r="105">
      <c r="A105" s="7" t="inlineStr">
        <is>
          <t>I104</t>
        </is>
      </c>
      <c r="B105" s="7" t="inlineStr">
        <is>
          <t>ring-alpha-O</t>
        </is>
      </c>
      <c r="C105" s="7" t="inlineStr">
        <is>
          <t>reacting carbon next to a ring oxygen (α)</t>
        </is>
      </c>
      <c r="D105" s="7" t="inlineStr">
        <is>
          <t>ring type</t>
        </is>
      </c>
      <c r="E105" s="7" t="inlineStr">
        <is>
          <t>electronic</t>
        </is>
      </c>
      <c r="F105" s="7" t="inlineStr">
        <is>
          <t>aromatic C</t>
        </is>
      </c>
      <c r="G105" s="7" t="inlineStr">
        <is>
          <t>[c;$(c:o)]</t>
        </is>
      </c>
      <c r="H105" s="7" t="inlineStr"/>
      <c r="I105" s="7" t="inlineStr"/>
      <c r="J105" s="7" t="inlineStr"/>
      <c r="K105" s="7" t="inlineStr"/>
      <c r="L105" s="7" t="inlineStr"/>
      <c r="M105" s="7" t="n"/>
      <c r="N105" s="7" t="inlineStr"/>
      <c r="O105" s="7" t="inlineStr">
        <is>
          <t>yes</t>
        </is>
      </c>
      <c r="P105" s="7" t="inlineStr"/>
      <c r="Q105" s="7" t="inlineStr">
        <is>
          <t>a carbon bonded to a ring O: C2/C5 of furan, C2 of oxazole</t>
        </is>
      </c>
      <c r="R105" s="7" t="inlineStr">
        <is>
          <t>furan: electrophilic substitution goes to the α carbon first (furan is more reactive than thiophene); oxazole: C2 is the acidic, lithiated carbon, C5 the electrophilic-substitution site</t>
        </is>
      </c>
      <c r="S105" s="7" t="inlineStr">
        <is>
          <t>the O lone pair stabilises the cation formed by attack at the α carbon</t>
        </is>
      </c>
      <c r="T105" s="7" t="n"/>
      <c r="U105" s="10" t="n">
        <v>2.54</v>
      </c>
      <c r="V105" s="7" t="inlineStr">
        <is>
          <t>carbonyl addition +3.51 (n=191; winner had it 95 % vs 28 % at random) · acyl substitution +3.14 (n=346; winner had it 88 % vs 28 % at random) · alkyl substitution +3.05 (n=75; winner had it 97 % vs 32 % at random) · aryl halide +2.98 (n=159; winner had it 96 % vs 45 % at random) · arene ch +2.95 (n=178; winner had it 93 % vs 29 % at random) · deprotection +2.74 (n=40; winner had it 92 % vs 36 % at random)</t>
        </is>
      </c>
      <c r="W105" s="7" t="n">
        <v>1052</v>
      </c>
      <c r="X105" s="7" t="n">
        <v>540</v>
      </c>
      <c r="Y105" s="9" t="n">
        <v>0.9202</v>
      </c>
      <c r="Z105" s="9" t="n">
        <v>0.3178</v>
      </c>
      <c r="AA105" s="7" t="n"/>
      <c r="AB105" s="7" t="n"/>
      <c r="AC105" s="7" t="n"/>
      <c r="AD105" s="7" t="n"/>
      <c r="AE105" s="7" t="inlineStr">
        <is>
          <t>learned from the training patents (tools/int_train.py)</t>
        </is>
      </c>
      <c r="AF105" s="7" t="inlineStr">
        <is>
          <t>Joule &amp; Mills, Heterocyclic Chemistry</t>
        </is>
      </c>
    </row>
    <row r="106">
      <c r="A106" s="7" t="inlineStr">
        <is>
          <t>I105</t>
        </is>
      </c>
      <c r="B106" s="7" t="inlineStr">
        <is>
          <t>ring-beta-SO</t>
        </is>
      </c>
      <c r="C106" s="7" t="inlineStr">
        <is>
          <t>reacting carbon one atom from a ring sulfur or oxygen (β, five-membered ring)</t>
        </is>
      </c>
      <c r="D106" s="7" t="inlineStr">
        <is>
          <t>ring type</t>
        </is>
      </c>
      <c r="E106" s="7" t="inlineStr">
        <is>
          <t>electronic</t>
        </is>
      </c>
      <c r="F106" s="7" t="inlineStr">
        <is>
          <t>aromatic C</t>
        </is>
      </c>
      <c r="G106" s="7" t="inlineStr">
        <is>
          <t>[c;r5;$(c:c:[s,o])]</t>
        </is>
      </c>
      <c r="H106" s="7" t="inlineStr"/>
      <c r="I106" s="7" t="inlineStr"/>
      <c r="J106" s="7" t="inlineStr"/>
      <c r="K106" s="7" t="inlineStr"/>
      <c r="L106" s="7" t="inlineStr"/>
      <c r="M106" s="7" t="n"/>
      <c r="N106" s="7" t="inlineStr"/>
      <c r="O106" s="7" t="inlineStr">
        <is>
          <t>yes</t>
        </is>
      </c>
      <c r="P106" s="7" t="inlineStr"/>
      <c r="Q106" s="7" t="inlineStr">
        <is>
          <t>C3 of thiophene or furan (a five-membered ring carbon two bonds from S or O)</t>
        </is>
      </c>
      <c r="R106" s="7" t="inlineStr">
        <is>
          <t>the less reactive position of the ring toward electrophiles; reached when both α positions are taken</t>
        </is>
      </c>
      <c r="S106" s="7" t="inlineStr">
        <is>
          <t>the cation formed by β attack has fewer resonance forms</t>
        </is>
      </c>
      <c r="T106" s="7" t="n"/>
      <c r="U106" s="10" t="n">
        <v>-2.16</v>
      </c>
      <c r="V106" s="7" t="inlineStr">
        <is>
          <t>n nucleophile -2.95 (n=57; winner had it 2 % vs 42 % at random) · aryl halide -2.82 (n=535; winner had it 1 % vs 43 % at random) · alkyl substitution -2.79 (n=154; winner had it 0 % vs 42 % at random) · deprotection -2.71 (n=85; winner had it 0 % vs 36 % at random) · arene ch -2.68 (n=643; winner had it 1 % vs 37 % at random) · acyl substitution -2.40 (n=990; winner had it 1 % vs 37 % at random)</t>
        </is>
      </c>
      <c r="W106" s="7" t="n">
        <v>2906</v>
      </c>
      <c r="X106" s="7" t="n">
        <v>1383</v>
      </c>
      <c r="Y106" s="9" t="n">
        <v>0.0124</v>
      </c>
      <c r="Z106" s="9" t="n">
        <v>0.3782</v>
      </c>
      <c r="AA106" s="7" t="n"/>
      <c r="AB106" s="7" t="n"/>
      <c r="AC106" s="7" t="n"/>
      <c r="AD106" s="7" t="n"/>
      <c r="AE106" s="7" t="inlineStr">
        <is>
          <t>learned from the training patents (tools/int_train.py)</t>
        </is>
      </c>
      <c r="AF106" s="7" t="inlineStr">
        <is>
          <t>Joule &amp; Mills, Heterocyclic Chemistry</t>
        </is>
      </c>
    </row>
    <row r="107">
      <c r="A107" s="7" t="inlineStr">
        <is>
          <t>I106</t>
        </is>
      </c>
      <c r="B107" s="7" t="inlineStr">
        <is>
          <t>ring-alpha-NR</t>
        </is>
      </c>
      <c r="C107" s="7" t="inlineStr">
        <is>
          <t>reacting carbon next to a pyrrole-type ring nitrogen (N–H or N–R)</t>
        </is>
      </c>
      <c r="D107" s="7" t="inlineStr">
        <is>
          <t>ring type</t>
        </is>
      </c>
      <c r="E107" s="7" t="inlineStr">
        <is>
          <t>electronic</t>
        </is>
      </c>
      <c r="F107" s="7" t="inlineStr">
        <is>
          <t>aromatic C</t>
        </is>
      </c>
      <c r="G107" s="7" t="inlineStr">
        <is>
          <t>[c;r5;$(c:[nX3;r5;+0])]</t>
        </is>
      </c>
      <c r="H107" s="7" t="inlineStr"/>
      <c r="I107" s="7" t="inlineStr"/>
      <c r="J107" s="7" t="inlineStr"/>
      <c r="K107" s="7" t="inlineStr"/>
      <c r="L107" s="7" t="inlineStr"/>
      <c r="M107" s="7" t="n"/>
      <c r="N107" s="7" t="inlineStr"/>
      <c r="O107" s="7" t="inlineStr">
        <is>
          <t>yes</t>
        </is>
      </c>
      <c r="P107" s="7" t="inlineStr"/>
      <c r="Q107" s="7" t="inlineStr">
        <is>
          <t>a five-membered-ring carbon bonded to a neutral pyrrole-type N: C2/C5 of pyrrole, C2 of indole, C2/C5 of N-substituted imidazole</t>
        </is>
      </c>
      <c r="R107" s="7" t="inlineStr">
        <is>
          <t>pyrrole: electrophilic substitution goes to C2 first; indole: C2 is the carbon that lithiates and couples (C–H activation) while electrophiles go to C3; the N substituent directs metalation to C2</t>
        </is>
      </c>
      <c r="S107" s="7" t="inlineStr">
        <is>
          <t>the N lone pair is part of the aromatic sextet and donates strongly to the α carbon</t>
        </is>
      </c>
      <c r="T107" s="7" t="n"/>
      <c r="U107" s="10" t="n">
        <v>1.89</v>
      </c>
      <c r="V107" s="7" t="inlineStr">
        <is>
          <t>acyl substitution +3.52 (n=1300; winner had it 89 % vs 29 % at random) · carbonyl addition +3.49 (n=411; winner had it 91 % vs 31 % at random) · aryl halide +2.84 (n=762; winner had it 84 % vs 40 % at random) · arene ch +2.36 (n=709; winner had it 80 % vs 29 % at random) · alkyl substitution +2.14 (n=218; winner had it 86 % vs 39 % at random) · deprotection +1.91 (n=101; winner had it 70 % vs 32 % at random)</t>
        </is>
      </c>
      <c r="W107" s="7" t="n">
        <v>3699</v>
      </c>
      <c r="X107" s="7" t="n">
        <v>1705</v>
      </c>
      <c r="Y107" s="9" t="n">
        <v>0.8318</v>
      </c>
      <c r="Z107" s="9" t="n">
        <v>0.3234</v>
      </c>
      <c r="AA107" s="7" t="n"/>
      <c r="AB107" s="7" t="n"/>
      <c r="AC107" s="7" t="n"/>
      <c r="AD107" s="7" t="n"/>
      <c r="AE107" s="7" t="inlineStr">
        <is>
          <t>learned from the training patents (tools/int_train.py)</t>
        </is>
      </c>
      <c r="AF107" s="7" t="inlineStr">
        <is>
          <t>Joule &amp; Mills, Heterocyclic Chemistry</t>
        </is>
      </c>
    </row>
    <row r="108">
      <c r="A108" s="7" t="inlineStr">
        <is>
          <t>I107</t>
        </is>
      </c>
      <c r="B108" s="7" t="inlineStr">
        <is>
          <t>ring-beta-NR</t>
        </is>
      </c>
      <c r="C108" s="7" t="inlineStr">
        <is>
          <t>reacting carbon one atom from a pyrrole-type ring nitrogen (β)</t>
        </is>
      </c>
      <c r="D108" s="7" t="inlineStr">
        <is>
          <t>ring type</t>
        </is>
      </c>
      <c r="E108" s="7" t="inlineStr">
        <is>
          <t>electronic</t>
        </is>
      </c>
      <c r="F108" s="7" t="inlineStr">
        <is>
          <t>aromatic C</t>
        </is>
      </c>
      <c r="G108" s="7" t="inlineStr">
        <is>
          <t>[c;r5;$([c;r5]:[c;r5]:[nX3;r5;+0])]</t>
        </is>
      </c>
      <c r="H108" s="7" t="inlineStr"/>
      <c r="I108" s="7" t="inlineStr"/>
      <c r="J108" s="7" t="inlineStr"/>
      <c r="K108" s="7" t="inlineStr"/>
      <c r="L108" s="7" t="inlineStr"/>
      <c r="M108" s="7" t="n"/>
      <c r="N108" s="7" t="inlineStr"/>
      <c r="O108" s="7" t="inlineStr">
        <is>
          <t>yes</t>
        </is>
      </c>
      <c r="P108" s="7" t="inlineStr"/>
      <c r="Q108" s="7" t="inlineStr">
        <is>
          <t>C3 of indole or pyrrole</t>
        </is>
      </c>
      <c r="R108" s="7" t="inlineStr">
        <is>
          <t>indole C3 is the most nucleophilic carbon (Vilsmeier, Mannich, halogenation, Friedel–Crafts); pyrrole C3 reacts when C2 is blocked</t>
        </is>
      </c>
      <c r="S108" s="7" t="inlineStr">
        <is>
          <t>attack at C3 of indole keeps the benzene ring aromatic in the cation</t>
        </is>
      </c>
      <c r="T108" s="7" t="n"/>
      <c r="U108" s="10" t="n">
        <v>-1.27</v>
      </c>
      <c r="V108" s="7" t="inlineStr">
        <is>
          <t>aryl halide -3.14 (n=446; winner had it 2 % vs 36 % at random) · n nucleophile -1.98 (n=63; winner had it 8 % vs 31 % at random) · deprotection -1.87 (n=73; winner had it 3 % vs 29 % at random) · arene ch -1.44 (n=381; winner had it 4 % vs 27 % at random) · other -1.33 (n=41; winner had it 5 % vs 27 % at random) · alkyl substitution -0.97 (n=120; winner had it 4 % vs 29 % at random)</t>
        </is>
      </c>
      <c r="W108" s="7" t="n">
        <v>2157</v>
      </c>
      <c r="X108" s="7" t="n">
        <v>1102</v>
      </c>
      <c r="Y108" s="9" t="n">
        <v>0.0542</v>
      </c>
      <c r="Z108" s="9" t="n">
        <v>0.3138</v>
      </c>
      <c r="AA108" s="7" t="n"/>
      <c r="AB108" s="7" t="n"/>
      <c r="AC108" s="7" t="n"/>
      <c r="AD108" s="7" t="n"/>
      <c r="AE108" s="7" t="inlineStr">
        <is>
          <t>learned from the training patents (tools/int_train.py)</t>
        </is>
      </c>
      <c r="AF108" s="7" t="inlineStr">
        <is>
          <t>Joule &amp; Mills, Heterocyclic Chemistry</t>
        </is>
      </c>
    </row>
    <row r="109">
      <c r="A109" s="7" t="inlineStr">
        <is>
          <t>I108</t>
        </is>
      </c>
      <c r="B109" s="7" t="inlineStr">
        <is>
          <t>ring-5-membered</t>
        </is>
      </c>
      <c r="C109" s="7" t="inlineStr">
        <is>
          <t>reacting carbon in an electron-rich five-membered ring (furan, thiophene, pyrrole and their benzo-fused forms)</t>
        </is>
      </c>
      <c r="D109" s="7" t="inlineStr">
        <is>
          <t>ring type</t>
        </is>
      </c>
      <c r="E109" s="7" t="inlineStr">
        <is>
          <t>electronic</t>
        </is>
      </c>
      <c r="F109" s="7" t="inlineStr">
        <is>
          <t>aromatic C</t>
        </is>
      </c>
      <c r="G109" s="7" t="inlineStr">
        <is>
          <t>[c;r5;$(c1:c:c:c:[o,s,nX3;+0]:1),$(c1:c:c:[o,s,nX3;+0]:c:1)]</t>
        </is>
      </c>
      <c r="H109" s="7" t="inlineStr"/>
      <c r="I109" s="7" t="inlineStr"/>
      <c r="J109" s="7" t="inlineStr"/>
      <c r="K109" s="7" t="inlineStr"/>
      <c r="L109" s="7" t="inlineStr"/>
      <c r="M109" s="7" t="n"/>
      <c r="N109" s="7" t="inlineStr"/>
      <c r="O109" s="7" t="inlineStr">
        <is>
          <t>yes</t>
        </is>
      </c>
      <c r="P109" s="7" t="inlineStr"/>
      <c r="Q109" s="7" t="inlineStr">
        <is>
          <t>the reacting carbon is in a five-membered ring made of one O, S or pyrrole-type N and four carbons</t>
        </is>
      </c>
      <c r="R109" s="7" t="inlineStr">
        <is>
          <t>electron-rich ring (six electrons on five atoms): electrophilic substitution is far faster than for benzene (pyrrole ≫ furan &gt; thiophene)</t>
        </is>
      </c>
      <c r="S109" s="7" t="inlineStr">
        <is>
          <t>π-excessive heteroaromatics</t>
        </is>
      </c>
      <c r="T109" s="7" t="n"/>
      <c r="U109" s="10" t="n">
        <v>0.63</v>
      </c>
      <c r="V109" s="7" t="inlineStr">
        <is>
          <t>arene ch +1.68 (n=605; winner had it 87 % vs 37 % at random) · alkyl substitution +1.22 (n=105; winner had it 78 % vs 33 % at random) · carbonyl addition +0.89 (n=371; winner had it 90 % vs 33 % at random) · n nucleophile +0.56 (n=67; winner had it 40 % vs 32 % at random) · other -0.39 (n=28; winner had it 18 % vs 34 % at random) · deprotection +0.31 (n=85; winner had it 68 % vs 35 % at random)</t>
        </is>
      </c>
      <c r="W109" s="7" t="n">
        <v>2639</v>
      </c>
      <c r="X109" s="7" t="n">
        <v>1163</v>
      </c>
      <c r="Y109" s="9" t="n">
        <v>0.7817</v>
      </c>
      <c r="Z109" s="9" t="n">
        <v>0.3663</v>
      </c>
      <c r="AA109" s="7" t="n"/>
      <c r="AB109" s="7" t="n"/>
      <c r="AC109" s="7" t="n"/>
      <c r="AD109" s="7" t="n"/>
      <c r="AE109" s="7" t="inlineStr">
        <is>
          <t>learned from the training patents (tools/int_train.py)</t>
        </is>
      </c>
      <c r="AF109" s="7" t="inlineStr">
        <is>
          <t>Joule &amp; Mills, Heterocyclic Chemistry</t>
        </is>
      </c>
    </row>
    <row r="110">
      <c r="A110" s="7" t="inlineStr">
        <is>
          <t>I109</t>
        </is>
      </c>
      <c r="B110" s="7" t="inlineStr">
        <is>
          <t>ring-fused-alpha</t>
        </is>
      </c>
      <c r="C110" s="7" t="inlineStr">
        <is>
          <t>reacting carbon next to a ring-fusion atom (α of naphthalene, quinoline …)</t>
        </is>
      </c>
      <c r="D110" s="7" t="inlineStr">
        <is>
          <t>ring type</t>
        </is>
      </c>
      <c r="E110" s="7" t="inlineStr">
        <is>
          <t>electronic</t>
        </is>
      </c>
      <c r="F110" s="7" t="inlineStr">
        <is>
          <t>aromatic C</t>
        </is>
      </c>
      <c r="G110" s="7" t="inlineStr">
        <is>
          <t>[c;r6;$(c:[c;R2;$(c(:a)(:a):a)])]</t>
        </is>
      </c>
      <c r="H110" s="7" t="inlineStr"/>
      <c r="I110" s="7" t="inlineStr"/>
      <c r="J110" s="7" t="inlineStr"/>
      <c r="K110" s="7" t="inlineStr"/>
      <c r="L110" s="7" t="inlineStr"/>
      <c r="M110" s="7" t="n"/>
      <c r="N110" s="7" t="inlineStr"/>
      <c r="O110" s="7" t="inlineStr">
        <is>
          <t>yes</t>
        </is>
      </c>
      <c r="P110" s="7" t="inlineStr"/>
      <c r="Q110" s="7" t="inlineStr">
        <is>
          <t>a six-membered-ring carbon bonded to a ring-fusion carbon whose other neighbours are aromatic too (C1 of naphthalene, C5/C8 of quinoline, C4/C7 of indole; not the benzo carbons of benzodioxole, tetralin or indoline)</t>
        </is>
      </c>
      <c r="R110" s="7" t="inlineStr">
        <is>
          <t>naphthalene: the α position is the kinetic site of electrophilic substitution (more hindered, peri, for large reagents); in indole, benzimidazole and benzofuran the benzo carbons C4/C7 are less reactive than the hetero ring</t>
        </is>
      </c>
      <c r="S110" s="7" t="inlineStr">
        <is>
          <t>more resonance forms of the naphthalene intermediate keep the other ring aromatic</t>
        </is>
      </c>
      <c r="T110" s="7" t="n"/>
      <c r="U110" s="10" t="n">
        <v>0.35</v>
      </c>
      <c r="V110" s="7" t="inlineStr">
        <is>
          <t>redox other +1.34 (n=104; winner had it 77 % vs 47 % at random) · other +1.18 (n=188; winner had it 66 % vs 38 % at random) · n nucleophile -0.46 (n=276; winner had it 30 % vs 39 % at random) · arene ch +0.06 (n=1668; winner had it 38 % vs 44 % at random)</t>
        </is>
      </c>
      <c r="W110" s="7" t="n">
        <v>7427</v>
      </c>
      <c r="X110" s="7" t="n">
        <v>3191</v>
      </c>
      <c r="Y110" s="9" t="n">
        <v>0.4062</v>
      </c>
      <c r="Z110" s="9" t="n">
        <v>0.419</v>
      </c>
      <c r="AA110" s="7" t="n"/>
      <c r="AB110" s="7" t="n"/>
      <c r="AC110" s="7" t="n"/>
      <c r="AD110" s="7" t="n"/>
      <c r="AE110" s="7" t="inlineStr">
        <is>
          <t>learned from the training patents (tools/int_train.py)</t>
        </is>
      </c>
      <c r="AF110" s="7" t="inlineStr">
        <is>
          <t>Clayden, Organic Chemistry</t>
        </is>
      </c>
    </row>
    <row r="111">
      <c r="A111" s="7" t="inlineStr">
        <is>
          <t>I110</t>
        </is>
      </c>
      <c r="B111" s="7" t="inlineStr">
        <is>
          <t>ring-peri</t>
        </is>
      </c>
      <c r="C111" s="7" t="inlineStr">
        <is>
          <t>reacting carbon with a substituent in the peri position</t>
        </is>
      </c>
      <c r="D111" s="7" t="inlineStr">
        <is>
          <t>ring sterics</t>
        </is>
      </c>
      <c r="E111" s="7" t="inlineStr">
        <is>
          <t>hindrance</t>
        </is>
      </c>
      <c r="F111" s="7" t="inlineStr">
        <is>
          <t>aromatic C</t>
        </is>
      </c>
      <c r="G111" s="7" t="inlineStr">
        <is>
          <t>[c;$(c:[c;R2]:[c;$(c-!@[!#1;!900*])])]</t>
        </is>
      </c>
      <c r="H111" s="7" t="inlineStr"/>
      <c r="I111" s="7" t="inlineStr"/>
      <c r="J111" s="7" t="inlineStr"/>
      <c r="K111" s="7" t="inlineStr"/>
      <c r="L111" s="7" t="inlineStr"/>
      <c r="M111" s="7" t="n"/>
      <c r="N111" s="7" t="inlineStr"/>
      <c r="O111" s="7" t="inlineStr">
        <is>
          <t>yes</t>
        </is>
      </c>
      <c r="P111" s="7" t="inlineStr"/>
      <c r="Q111" s="7" t="inlineStr">
        <is>
          <t>a substituent sits on the ring atom of the neighbouring ring that is next to the fusion carbon (C8 for C1 of naphthalene, C4 for C3 of indole)</t>
        </is>
      </c>
      <c r="R111" s="7" t="inlineStr">
        <is>
          <t>peri strain: attack and coupling at this carbon are slowed (1,8-disubstituted naphthalenes, 3,4-disubstituted indoles), large reagents go elsewhere</t>
        </is>
      </c>
      <c r="S111" s="7" t="inlineStr">
        <is>
          <t>the peri substituent lies in the plane of the ring, about 2.5 Å from the reacting carbon</t>
        </is>
      </c>
      <c r="T111" s="7" t="n"/>
      <c r="U111" s="10" t="n">
        <v>-0.85</v>
      </c>
      <c r="V111" s="7" t="inlineStr">
        <is>
          <t>other -1.49 (n=106; winner had it 17 % vs 24 % at random) · unsaturated -1.30 (n=63; winner had it 10 % vs 47 % at random) · alkyl substitution -1.27 (n=224; winner had it 7 % vs 31 % at random) · deprotection -1.19 (n=179; winner had it 17 % vs 43 % at random) · aryl halide -1.01 (n=497; winner had it 27 % vs 42 % at random) · acyl substitution -0.80 (n=828; winner had it 13 % vs 31 % at random)</t>
        </is>
      </c>
      <c r="W111" s="7" t="n">
        <v>3065</v>
      </c>
      <c r="X111" s="7" t="n">
        <v>1565</v>
      </c>
      <c r="Y111" s="9" t="n">
        <v>0.1622</v>
      </c>
      <c r="Z111" s="9" t="n">
        <v>0.3307</v>
      </c>
      <c r="AA111" s="7" t="n"/>
      <c r="AB111" s="7" t="n"/>
      <c r="AC111" s="7" t="n"/>
      <c r="AD111" s="7" t="n"/>
      <c r="AE111" s="7" t="inlineStr">
        <is>
          <t>learned from the training patents (tools/int_train.py)</t>
        </is>
      </c>
      <c r="AF111" s="7" t="inlineStr">
        <is>
          <t>Clayden, Organic Chemistry</t>
        </is>
      </c>
    </row>
    <row r="112">
      <c r="A112" s="7" t="inlineStr">
        <is>
          <t>I111</t>
        </is>
      </c>
      <c r="B112" s="7" t="inlineStr">
        <is>
          <t>ring-ortho-1</t>
        </is>
      </c>
      <c r="C112" s="7" t="inlineStr">
        <is>
          <t>at least one ortho substituent</t>
        </is>
      </c>
      <c r="D112" s="7" t="inlineStr">
        <is>
          <t>ring sterics</t>
        </is>
      </c>
      <c r="E112" s="7" t="inlineStr">
        <is>
          <t>hindrance</t>
        </is>
      </c>
      <c r="F112" s="7" t="inlineStr">
        <is>
          <t>aromatic C</t>
        </is>
      </c>
      <c r="G112" s="7" t="inlineStr">
        <is>
          <t>[c;$(c:[c;$(c-[!#1;!900*])])]</t>
        </is>
      </c>
      <c r="H112" s="7" t="inlineStr"/>
      <c r="I112" s="7" t="inlineStr"/>
      <c r="J112" s="7" t="inlineStr"/>
      <c r="K112" s="7" t="inlineStr"/>
      <c r="L112" s="7" t="inlineStr"/>
      <c r="M112" s="7" t="n"/>
      <c r="N112" s="7" t="inlineStr"/>
      <c r="O112" s="7" t="inlineStr">
        <is>
          <t>yes</t>
        </is>
      </c>
      <c r="P112" s="7" t="inlineStr"/>
      <c r="Q112" s="7" t="inlineStr">
        <is>
          <t>a ring neighbour of the reacting carbon carries a substituent (also a ring-fused alkyl group)</t>
        </is>
      </c>
      <c r="R112" s="7" t="inlineStr">
        <is>
          <t>crowding next to the reacting carbon: slows attack and coupling, favours the less hindered position</t>
        </is>
      </c>
      <c r="S112" s="7" t="inlineStr">
        <is>
          <t>the new bond has to form in the plane of the ring beside a substituent</t>
        </is>
      </c>
      <c r="T112" s="7" t="n"/>
      <c r="U112" s="10" t="n">
        <v>0.18</v>
      </c>
      <c r="V112" s="7" t="inlineStr">
        <is>
          <t>carbonyl addition +0.67 (n=1340; winner had it 46 % vs 50 % at random) · unsaturated +0.49 (n=173; winner had it 42 % vs 47 % at random) · o nucleophile -0.19 (n=714; winner had it 41 % vs 50 % at random)</t>
        </is>
      </c>
      <c r="W112" s="7" t="n">
        <v>23254</v>
      </c>
      <c r="X112" s="7" t="n">
        <v>10414</v>
      </c>
      <c r="Y112" s="9" t="n">
        <v>0.4318</v>
      </c>
      <c r="Z112" s="9" t="n">
        <v>0.5085</v>
      </c>
      <c r="AA112" s="7" t="n"/>
      <c r="AB112" s="7" t="n"/>
      <c r="AC112" s="7" t="n"/>
      <c r="AD112" s="7" t="n"/>
      <c r="AE112" s="7" t="inlineStr">
        <is>
          <t>learned from the training patents (tools/int_train.py)</t>
        </is>
      </c>
      <c r="AF112" s="7" t="inlineStr">
        <is>
          <t>Clayden, Organic Chemistry</t>
        </is>
      </c>
    </row>
    <row r="113">
      <c r="A113" s="7" t="inlineStr">
        <is>
          <t>I112</t>
        </is>
      </c>
      <c r="B113" s="7" t="inlineStr">
        <is>
          <t>ring-ortho-2</t>
        </is>
      </c>
      <c r="C113" s="7" t="inlineStr">
        <is>
          <t>two ortho substituents (2,6-disubstituted)</t>
        </is>
      </c>
      <c r="D113" s="7" t="inlineStr">
        <is>
          <t>ring sterics</t>
        </is>
      </c>
      <c r="E113" s="7" t="inlineStr">
        <is>
          <t>hindrance</t>
        </is>
      </c>
      <c r="F113" s="7" t="inlineStr">
        <is>
          <t>aromatic C</t>
        </is>
      </c>
      <c r="G113" s="7" t="inlineStr">
        <is>
          <t>[c;$(c(:[c;$(c-[!#1;!900*])]):[c;$(c-[!#1;!900*])])]</t>
        </is>
      </c>
      <c r="H113" s="7" t="inlineStr"/>
      <c r="I113" s="7" t="inlineStr"/>
      <c r="J113" s="7" t="inlineStr"/>
      <c r="K113" s="7" t="inlineStr"/>
      <c r="L113" s="7" t="inlineStr"/>
      <c r="M113" s="7" t="n"/>
      <c r="N113" s="7" t="inlineStr"/>
      <c r="O113" s="7" t="inlineStr">
        <is>
          <t>yes</t>
        </is>
      </c>
      <c r="P113" s="7" t="inlineStr"/>
      <c r="Q113" s="7" t="inlineStr">
        <is>
          <t>both ring neighbours of the reacting carbon carry a substituent</t>
        </is>
      </c>
      <c r="R113" s="7" t="inlineStr">
        <is>
          <t>strongly hindered: couplings and substitutions need forcing conditions or special ligands; other positions win when they exist</t>
        </is>
      </c>
      <c r="S113" s="7" t="inlineStr">
        <is>
          <t>the reacting carbon is flanked on both sides</t>
        </is>
      </c>
      <c r="T113" s="7" t="n"/>
      <c r="U113" s="10" t="n">
        <v>0.04</v>
      </c>
      <c r="V113" s="7" t="inlineStr">
        <is>
          <t>aryl halide -0.85 (n=2011; winner had it 49 % vs 44 % at random) · alkyl substitution +0.68 (n=359; winner had it 35 % vs 35 % at random) · other +0.56 (n=166; winner had it 34 % vs 28 % at random) · n nucleophile +0.47 (n=246; winner had it 36 % vs 33 % at random) · deprotection -0.28 (n=319; winner had it 24 % vs 33 % at random)</t>
        </is>
      </c>
      <c r="W113" s="7" t="n">
        <v>8898</v>
      </c>
      <c r="X113" s="7" t="n">
        <v>4684</v>
      </c>
      <c r="Y113" s="9" t="n">
        <v>0.2693</v>
      </c>
      <c r="Z113" s="9" t="n">
        <v>0.3427</v>
      </c>
      <c r="AA113" s="7" t="n"/>
      <c r="AB113" s="7" t="n"/>
      <c r="AC113" s="7" t="n"/>
      <c r="AD113" s="7" t="n"/>
      <c r="AE113" s="7" t="inlineStr">
        <is>
          <t>learned from the training patents (tools/int_train.py)</t>
        </is>
      </c>
      <c r="AF113" s="7" t="inlineStr">
        <is>
          <t>Clayden, Organic Chemistry</t>
        </is>
      </c>
    </row>
    <row r="114">
      <c r="A114" s="7" t="inlineStr">
        <is>
          <t>I113</t>
        </is>
      </c>
      <c r="B114" s="7" t="inlineStr">
        <is>
          <t>ring-ortho-branched</t>
        </is>
      </c>
      <c r="C114" s="7" t="inlineStr">
        <is>
          <t>a branched ortho substituent</t>
        </is>
      </c>
      <c r="D114" s="7" t="inlineStr">
        <is>
          <t>ring sterics</t>
        </is>
      </c>
      <c r="E114" s="7" t="inlineStr">
        <is>
          <t>hindrance</t>
        </is>
      </c>
      <c r="F114" s="7" t="inlineStr">
        <is>
          <t>aromatic C</t>
        </is>
      </c>
      <c r="G114" s="7" t="inlineStr">
        <is>
          <t>[c;$(c:c-[CX4;D3,D4;!900*])]</t>
        </is>
      </c>
      <c r="H114" s="7" t="inlineStr"/>
      <c r="I114" s="7" t="inlineStr"/>
      <c r="J114" s="7" t="inlineStr"/>
      <c r="K114" s="7" t="inlineStr"/>
      <c r="L114" s="7" t="inlineStr"/>
      <c r="M114" s="7" t="n"/>
      <c r="N114" s="7" t="inlineStr"/>
      <c r="O114" s="7" t="inlineStr">
        <is>
          <t>yes</t>
        </is>
      </c>
      <c r="P114" s="7" t="inlineStr"/>
      <c r="Q114" s="7" t="inlineStr">
        <is>
          <t>an ortho substituent that is itself branched (isopropyl, tert-butyl, CHR2)</t>
        </is>
      </c>
      <c r="R114" s="7" t="inlineStr">
        <is>
          <t>much bulkier than an ortho methyl: blocks the position for most reagents</t>
        </is>
      </c>
      <c r="S114" s="7" t="inlineStr">
        <is>
          <t>the branched group sits over the reacting carbon</t>
        </is>
      </c>
      <c r="T114" s="7" t="n"/>
      <c r="U114" s="10" t="n">
        <v>-0.79</v>
      </c>
      <c r="V114" s="7" t="inlineStr">
        <is>
          <t>alkyl substitution -1.77 (n=325; winner had it 22 % vs 44 % at random) · o nucleophile -1.32 (n=94; winner had it 9 % vs 41 % at random) · other -0.88 (n=91; winner had it 12 % vs 25 % at random) · aryl halide -0.84 (n=679; winner had it 22 % vs 43 % at random) · unsaturated -0.83 (n=68; winner had it 24 % vs 49 % at random) · arene ch -0.83 (n=1249; winner had it 14 % vs 37 % at random)</t>
        </is>
      </c>
      <c r="W114" s="7" t="n">
        <v>4737</v>
      </c>
      <c r="X114" s="7" t="n">
        <v>2618</v>
      </c>
      <c r="Y114" s="9" t="n">
        <v>0.1963</v>
      </c>
      <c r="Z114" s="9" t="n">
        <v>0.3935</v>
      </c>
      <c r="AA114" s="7" t="n"/>
      <c r="AB114" s="7" t="n"/>
      <c r="AC114" s="7" t="n"/>
      <c r="AD114" s="7" t="n"/>
      <c r="AE114" s="7" t="inlineStr">
        <is>
          <t>learned from the training patents (tools/int_train.py)</t>
        </is>
      </c>
      <c r="AF114" s="7" t="inlineStr">
        <is>
          <t>Taft steric constants Es: i-Pr −0.47, t-Bu −1.54</t>
        </is>
      </c>
    </row>
    <row r="115">
      <c r="A115" s="7" t="inlineStr">
        <is>
          <t>I114</t>
        </is>
      </c>
      <c r="B115" s="7" t="inlineStr">
        <is>
          <t>azole-n-hindered</t>
        </is>
      </c>
      <c r="C115" s="7" t="inlineStr">
        <is>
          <t>azole nitrogen with a substituent on a neighbouring carbon</t>
        </is>
      </c>
      <c r="D115" s="7" t="inlineStr">
        <is>
          <t>ring nitrogen</t>
        </is>
      </c>
      <c r="E115" s="7" t="inlineStr">
        <is>
          <t>hindrance</t>
        </is>
      </c>
      <c r="F115" s="7" t="inlineStr">
        <is>
          <t>aromatic n</t>
        </is>
      </c>
      <c r="G115" s="7" t="inlineStr">
        <is>
          <t>[n;r5;$(n:c-[!#1;!900*])]</t>
        </is>
      </c>
      <c r="H115" s="7" t="inlineStr"/>
      <c r="I115" s="7" t="inlineStr"/>
      <c r="J115" s="7" t="inlineStr"/>
      <c r="K115" s="7" t="inlineStr"/>
      <c r="L115" s="7" t="inlineStr"/>
      <c r="M115" s="7" t="n"/>
      <c r="N115" s="7" t="inlineStr"/>
      <c r="O115" s="7" t="inlineStr">
        <is>
          <t>yes</t>
        </is>
      </c>
      <c r="P115" s="7" t="inlineStr"/>
      <c r="Q115" s="7" t="inlineStr">
        <is>
          <t>the reacting five-membered-ring N is next to a ring carbon that carries a substituent</t>
        </is>
      </c>
      <c r="R115" s="7" t="inlineStr">
        <is>
          <t>slower alkylation / arylation: the less hindered ring N of a pyrazole, imidazole or triazole reacts</t>
        </is>
      </c>
      <c r="S115" s="7" t="inlineStr">
        <is>
          <t>the substituent crowds the lone pair or the new N–R bond</t>
        </is>
      </c>
      <c r="T115" s="7" t="n"/>
      <c r="U115" s="10" t="n">
        <v>0.08</v>
      </c>
      <c r="V115" s="7" t="inlineStr">
        <is>
          <t>aryl halide -0.82 (n=178; winner had it 2 % vs 49 % at random) · acyl substitution +0.45 (n=27; winner had it 56 % vs 52 % at random) · n nucleophile -0.25 (n=34; winner had it 12 % vs 48 % at random)</t>
        </is>
      </c>
      <c r="W115" s="7" t="n">
        <v>327</v>
      </c>
      <c r="X115" s="7" t="n">
        <v>189</v>
      </c>
      <c r="Y115" s="9" t="n">
        <v>0.1865</v>
      </c>
      <c r="Z115" s="9" t="n">
        <v>0.4896</v>
      </c>
      <c r="AA115" s="7" t="n"/>
      <c r="AB115" s="7" t="n"/>
      <c r="AC115" s="7" t="n"/>
      <c r="AD115" s="7" t="n"/>
      <c r="AE115" s="7" t="inlineStr">
        <is>
          <t>learned from the training patents (tools/int_train.py)</t>
        </is>
      </c>
      <c r="AF115" s="7" t="inlineStr">
        <is>
          <t>Joule &amp; Mills, Heterocyclic Chemistry</t>
        </is>
      </c>
    </row>
    <row r="116">
      <c r="A116" s="7" t="inlineStr">
        <is>
          <t>I115</t>
        </is>
      </c>
      <c r="B116" s="7" t="inlineStr">
        <is>
          <t>azole-n-hindered-2</t>
        </is>
      </c>
      <c r="C116" s="7" t="inlineStr">
        <is>
          <t>azole nitrogen with substituents on both neighbouring carbons</t>
        </is>
      </c>
      <c r="D116" s="7" t="inlineStr">
        <is>
          <t>ring nitrogen</t>
        </is>
      </c>
      <c r="E116" s="7" t="inlineStr">
        <is>
          <t>hindrance</t>
        </is>
      </c>
      <c r="F116" s="7" t="inlineStr">
        <is>
          <t>aromatic n</t>
        </is>
      </c>
      <c r="G116" s="7" t="inlineStr">
        <is>
          <t>[n;r5;$(n(:c-[!#1;!900*]):c-[!#1;!900*])]</t>
        </is>
      </c>
      <c r="H116" s="7" t="inlineStr"/>
      <c r="I116" s="7" t="inlineStr"/>
      <c r="J116" s="7" t="inlineStr"/>
      <c r="K116" s="7" t="inlineStr"/>
      <c r="L116" s="7" t="inlineStr"/>
      <c r="M116" s="7" t="n"/>
      <c r="N116" s="7" t="inlineStr"/>
      <c r="O116" s="7" t="inlineStr">
        <is>
          <t>yes</t>
        </is>
      </c>
      <c r="P116" s="7" t="inlineStr"/>
      <c r="Q116" s="7" t="inlineStr">
        <is>
          <t>both ring carbons next to the reacting N carry substituents</t>
        </is>
      </c>
      <c r="R116" s="7" t="inlineStr">
        <is>
          <t>strongly hindered: this ring N is the last to react</t>
        </is>
      </c>
      <c r="S116" s="7" t="inlineStr">
        <is>
          <t>both sides of the lone pair are crowded</t>
        </is>
      </c>
      <c r="T116" s="7" t="n"/>
      <c r="U116" s="10" t="n">
        <v>-0.78</v>
      </c>
      <c r="V116" s="7" t="inlineStr"/>
      <c r="W116" s="7" t="n">
        <v>61</v>
      </c>
      <c r="X116" s="7" t="n">
        <v>50</v>
      </c>
      <c r="Y116" s="9" t="n">
        <v>0.082</v>
      </c>
      <c r="Z116" s="9" t="n">
        <v>0.4664</v>
      </c>
      <c r="AA116" s="7" t="n"/>
      <c r="AB116" s="7" t="n"/>
      <c r="AC116" s="7" t="n"/>
      <c r="AD116" s="7" t="n"/>
      <c r="AE116" s="7" t="inlineStr">
        <is>
          <t>learned from the training patents (tools/int_train.py)</t>
        </is>
      </c>
      <c r="AF116" s="7" t="inlineStr">
        <is>
          <t>Joule &amp; Mills, Heterocyclic Chemistry</t>
        </is>
      </c>
    </row>
    <row r="117">
      <c r="A117" s="7" t="inlineStr">
        <is>
          <t>I116</t>
        </is>
      </c>
      <c r="B117" s="7" t="inlineStr">
        <is>
          <t>azole-n-next-to-N</t>
        </is>
      </c>
      <c r="C117" s="7" t="inlineStr">
        <is>
          <t>azole nitrogen next to another ring nitrogen</t>
        </is>
      </c>
      <c r="D117" s="7" t="inlineStr">
        <is>
          <t>ring nitrogen</t>
        </is>
      </c>
      <c r="E117" s="7" t="inlineStr">
        <is>
          <t>electronic</t>
        </is>
      </c>
      <c r="F117" s="7" t="inlineStr">
        <is>
          <t>aromatic n</t>
        </is>
      </c>
      <c r="G117" s="7" t="inlineStr">
        <is>
          <t>[n;r5;$(n:n)]</t>
        </is>
      </c>
      <c r="H117" s="7" t="inlineStr"/>
      <c r="I117" s="7" t="inlineStr"/>
      <c r="J117" s="7" t="inlineStr"/>
      <c r="K117" s="7" t="inlineStr"/>
      <c r="L117" s="7" t="inlineStr"/>
      <c r="M117" s="7" t="n"/>
      <c r="N117" s="7" t="inlineStr"/>
      <c r="O117" s="7" t="inlineStr">
        <is>
          <t>yes</t>
        </is>
      </c>
      <c r="P117" s="7" t="inlineStr"/>
      <c r="Q117" s="7" t="inlineStr">
        <is>
          <t>the reacting N is bonded to another ring N (pyrazole, indazole, triazole, tetrazole)</t>
        </is>
      </c>
      <c r="R117" s="7" t="inlineStr">
        <is>
          <t>N-alkylation gives N1 / N2 regioisomer mixtures: the product ratio follows sterics and the tautomer that reacts, so the less hindered N usually wins</t>
        </is>
      </c>
      <c r="S117" s="7" t="inlineStr">
        <is>
          <t>the anion is delocalised over both N atoms</t>
        </is>
      </c>
      <c r="T117" s="7" t="n"/>
      <c r="U117" s="10" t="n">
        <v>0.91</v>
      </c>
      <c r="V117" s="7" t="inlineStr">
        <is>
          <t>alkyl substitution +2.31 (n=37; winner had it 89 % vs 50 % at random) · aryl halide +0.39 (n=70; winner had it 7 % vs 49 % at random)</t>
        </is>
      </c>
      <c r="W117" s="7" t="n">
        <v>143</v>
      </c>
      <c r="X117" s="7" t="n">
        <v>80</v>
      </c>
      <c r="Y117" s="9" t="n">
        <v>0.3776</v>
      </c>
      <c r="Z117" s="9" t="n">
        <v>0.4929</v>
      </c>
      <c r="AA117" s="7" t="n"/>
      <c r="AB117" s="7" t="n"/>
      <c r="AC117" s="7" t="n"/>
      <c r="AD117" s="7" t="n"/>
      <c r="AE117" s="7" t="inlineStr">
        <is>
          <t>learned from the training patents (tools/int_train.py)</t>
        </is>
      </c>
      <c r="AF117" s="7" t="inlineStr">
        <is>
          <t>Joule &amp; Mills, Heterocyclic Chemistry</t>
        </is>
      </c>
    </row>
    <row r="118">
      <c r="A118" s="7" t="inlineStr">
        <is>
          <t>I117</t>
        </is>
      </c>
      <c r="B118" s="7" t="inlineStr">
        <is>
          <t>azole-n-1,3</t>
        </is>
      </c>
      <c r="C118" s="7" t="inlineStr">
        <is>
          <t>azole nitrogen separated from another ring nitrogen by one carbon</t>
        </is>
      </c>
      <c r="D118" s="7" t="inlineStr">
        <is>
          <t>ring nitrogen</t>
        </is>
      </c>
      <c r="E118" s="7" t="inlineStr">
        <is>
          <t>electronic</t>
        </is>
      </c>
      <c r="F118" s="7" t="inlineStr">
        <is>
          <t>aromatic n</t>
        </is>
      </c>
      <c r="G118" s="7" t="inlineStr">
        <is>
          <t>[n;r5;$(n:c:n)]</t>
        </is>
      </c>
      <c r="H118" s="7" t="inlineStr"/>
      <c r="I118" s="7" t="inlineStr"/>
      <c r="J118" s="7" t="inlineStr"/>
      <c r="K118" s="7" t="inlineStr"/>
      <c r="L118" s="7" t="inlineStr"/>
      <c r="M118" s="7" t="n"/>
      <c r="N118" s="7" t="inlineStr"/>
      <c r="O118" s="7" t="inlineStr">
        <is>
          <t>yes</t>
        </is>
      </c>
      <c r="P118" s="7" t="inlineStr"/>
      <c r="Q118" s="7" t="inlineStr">
        <is>
          <t>imidazole, benzimidazole, purine: N–C–N</t>
        </is>
      </c>
      <c r="R118" s="7" t="inlineStr">
        <is>
          <t>the basic pyridine-type N is the nucleophile of neutral imidazoles; the anion alkylates at either N</t>
        </is>
      </c>
      <c r="S118" s="7" t="inlineStr">
        <is>
          <t>the amidine-like N–C=N unit</t>
        </is>
      </c>
      <c r="T118" s="7" t="n"/>
      <c r="U118" s="10" t="n">
        <v>-0.44</v>
      </c>
      <c r="V118" s="7" t="inlineStr">
        <is>
          <t>alkyl substitution -1.42 (n=32; winner had it 6 % vs 50 % at random) · aryl halide +0.24 (n=135; winner had it 7 % vs 47 % at random)</t>
        </is>
      </c>
      <c r="W118" s="7" t="n">
        <v>228</v>
      </c>
      <c r="X118" s="7" t="n">
        <v>131</v>
      </c>
      <c r="Y118" s="9" t="n">
        <v>0.114</v>
      </c>
      <c r="Z118" s="9" t="n">
        <v>0.4706</v>
      </c>
      <c r="AA118" s="7" t="n"/>
      <c r="AB118" s="7" t="n"/>
      <c r="AC118" s="7" t="n"/>
      <c r="AD118" s="7" t="n"/>
      <c r="AE118" s="7" t="inlineStr">
        <is>
          <t>learned from the training patents (tools/int_train.py)</t>
        </is>
      </c>
      <c r="AF118" s="7" t="inlineStr">
        <is>
          <t>Joule &amp; Mills, Heterocyclic Chemistry</t>
        </is>
      </c>
    </row>
    <row r="119">
      <c r="A119" s="7" t="inlineStr">
        <is>
          <t>I118</t>
        </is>
      </c>
      <c r="B119" s="7" t="inlineStr">
        <is>
          <t>azole-n-fused</t>
        </is>
      </c>
      <c r="C119" s="7" t="inlineStr">
        <is>
          <t>azole nitrogen next to a ring-fusion carbon</t>
        </is>
      </c>
      <c r="D119" s="7" t="inlineStr">
        <is>
          <t>ring nitrogen</t>
        </is>
      </c>
      <c r="E119" s="7" t="inlineStr">
        <is>
          <t>steric</t>
        </is>
      </c>
      <c r="F119" s="7" t="inlineStr">
        <is>
          <t>aromatic n</t>
        </is>
      </c>
      <c r="G119" s="7" t="inlineStr">
        <is>
          <t>[n;r5;$(n:[c;R2])]</t>
        </is>
      </c>
      <c r="H119" s="7" t="inlineStr"/>
      <c r="I119" s="7" t="inlineStr"/>
      <c r="J119" s="7" t="inlineStr"/>
      <c r="K119" s="7" t="inlineStr"/>
      <c r="L119" s="7" t="inlineStr"/>
      <c r="M119" s="7" t="n"/>
      <c r="N119" s="7" t="inlineStr"/>
      <c r="O119" s="7" t="inlineStr">
        <is>
          <t>yes</t>
        </is>
      </c>
      <c r="P119" s="7" t="inlineStr"/>
      <c r="Q119" s="7" t="inlineStr">
        <is>
          <t>the reacting N is bonded to a carbon shared with a second ring (indole N1, benzimidazole, indazole N1)</t>
        </is>
      </c>
      <c r="R119" s="7" t="inlineStr">
        <is>
          <t>more hindered by the peri C–H of the fused ring, but conjugation keeps the N–R product stable</t>
        </is>
      </c>
      <c r="S119" s="7" t="inlineStr">
        <is>
          <t>the fused ring crowds one side</t>
        </is>
      </c>
      <c r="T119" s="7" t="n"/>
      <c r="U119" s="10" t="n">
        <v>-0.06</v>
      </c>
      <c r="V119" s="7" t="inlineStr">
        <is>
          <t>aryl halide -1.55 (n=180; winner had it 2 % vs 47 % at random) · carbonyl addition -1.29 (n=31; winner had it 16 % vs 45 % at random) · deprotection +0.74 (n=31; winner had it 61 % vs 49 % at random) · alkyl substitution +0.72 (n=66; winner had it 45 % vs 50 % at random) · n nucleophile -0.33 (n=31; winner had it 10 % vs 45 % at random)</t>
        </is>
      </c>
      <c r="W119" s="7" t="n">
        <v>364</v>
      </c>
      <c r="X119" s="7" t="n">
        <v>168</v>
      </c>
      <c r="Y119" s="9" t="n">
        <v>0.206</v>
      </c>
      <c r="Z119" s="9" t="n">
        <v>0.4782</v>
      </c>
      <c r="AA119" s="7" t="n"/>
      <c r="AB119" s="7" t="n"/>
      <c r="AC119" s="7" t="n"/>
      <c r="AD119" s="7" t="n"/>
      <c r="AE119" s="7" t="inlineStr">
        <is>
          <t>learned from the training patents (tools/int_train.py)</t>
        </is>
      </c>
      <c r="AF119" s="7" t="inlineStr">
        <is>
          <t>Joule &amp; Mills, Heterocyclic Chemistry</t>
        </is>
      </c>
    </row>
    <row r="120">
      <c r="A120" s="7" t="inlineStr">
        <is>
          <t>I119</t>
        </is>
      </c>
      <c r="B120" s="7" t="inlineStr">
        <is>
          <t>azine-n</t>
        </is>
      </c>
      <c r="C120" s="7" t="inlineStr">
        <is>
          <t>six-membered ring nitrogen</t>
        </is>
      </c>
      <c r="D120" s="7" t="inlineStr">
        <is>
          <t>ring nitrogen</t>
        </is>
      </c>
      <c r="E120" s="7" t="inlineStr">
        <is>
          <t>electronic</t>
        </is>
      </c>
      <c r="F120" s="7" t="inlineStr">
        <is>
          <t>aromatic n</t>
        </is>
      </c>
      <c r="G120" s="7" t="inlineStr">
        <is>
          <t>[n;r6]</t>
        </is>
      </c>
      <c r="H120" s="7" t="inlineStr"/>
      <c r="I120" s="7" t="inlineStr"/>
      <c r="J120" s="7" t="inlineStr"/>
      <c r="K120" s="7" t="inlineStr"/>
      <c r="L120" s="7" t="inlineStr"/>
      <c r="M120" s="7" t="n"/>
      <c r="N120" s="7" t="inlineStr"/>
      <c r="O120" s="7" t="inlineStr">
        <is>
          <t>yes</t>
        </is>
      </c>
      <c r="P120" s="7" t="inlineStr"/>
      <c r="Q120" s="7" t="inlineStr">
        <is>
          <t>the reacting N is the N of pyridine, pyrimidine or pyridone</t>
        </is>
      </c>
      <c r="R120" s="7" t="inlineStr">
        <is>
          <t>pyridine N: quaternises with alkyl halides, forms N-oxides, binds metals; pyridone N–H vs O: N-alkylation with soft electrophiles, O-alkylation with hard ones or Ag salts</t>
        </is>
      </c>
      <c r="S120" s="7" t="inlineStr">
        <is>
          <t>the lone pair lies in the ring plane, not in the π system</t>
        </is>
      </c>
      <c r="T120" s="7" t="n"/>
      <c r="U120" s="10" t="n">
        <v>1.47</v>
      </c>
      <c r="V120" s="7" t="inlineStr">
        <is>
          <t>aryl halide +2.85 (n=231; winner had it 99 % vs 51 % at random) · n nucleophile +2.54 (n=47; winner had it 96 % vs 52 % at random) · alkyl substitution +1.53 (n=64; winner had it 75 % vs 51 % at random) · deprotection +0.40 (n=27; winner had it 41 % vs 55 % at random)</t>
        </is>
      </c>
      <c r="W120" s="7" t="n">
        <v>405</v>
      </c>
      <c r="X120" s="7" t="n">
        <v>218</v>
      </c>
      <c r="Y120" s="9" t="n">
        <v>0.8815</v>
      </c>
      <c r="Z120" s="9" t="n">
        <v>0.5177</v>
      </c>
      <c r="AA120" s="7" t="n"/>
      <c r="AB120" s="7" t="n"/>
      <c r="AC120" s="7" t="n"/>
      <c r="AD120" s="7" t="n"/>
      <c r="AE120" s="7" t="inlineStr">
        <is>
          <t>learned from the training patents (tools/int_train.py)</t>
        </is>
      </c>
      <c r="AF120" s="7" t="inlineStr">
        <is>
          <t>Joule &amp; Mills, Heterocyclic Chemistry</t>
        </is>
      </c>
    </row>
    <row r="121">
      <c r="A121" s="7" t="inlineStr">
        <is>
          <t>I120</t>
        </is>
      </c>
      <c r="B121" s="7" t="inlineStr">
        <is>
          <t>azine-n-hindered</t>
        </is>
      </c>
      <c r="C121" s="7" t="inlineStr">
        <is>
          <t>six-membered ring nitrogen with a substituent on a neighbouring carbon</t>
        </is>
      </c>
      <c r="D121" s="7" t="inlineStr">
        <is>
          <t>ring nitrogen</t>
        </is>
      </c>
      <c r="E121" s="7" t="inlineStr">
        <is>
          <t>hindrance</t>
        </is>
      </c>
      <c r="F121" s="7" t="inlineStr">
        <is>
          <t>aromatic n</t>
        </is>
      </c>
      <c r="G121" s="7" t="inlineStr">
        <is>
          <t>[n;r6;$(n:c-[!#1;!900*])]</t>
        </is>
      </c>
      <c r="H121" s="7" t="inlineStr"/>
      <c r="I121" s="7" t="inlineStr"/>
      <c r="J121" s="7" t="inlineStr"/>
      <c r="K121" s="7" t="inlineStr"/>
      <c r="L121" s="7" t="inlineStr"/>
      <c r="M121" s="7" t="n"/>
      <c r="N121" s="7" t="inlineStr"/>
      <c r="O121" s="7" t="inlineStr">
        <is>
          <t>yes</t>
        </is>
      </c>
      <c r="P121" s="7" t="inlineStr"/>
      <c r="Q121" s="7" t="inlineStr">
        <is>
          <t>the reacting ring N is next to a carbon that carries a substituent (2-substituted pyridine)</t>
        </is>
      </c>
      <c r="R121" s="7" t="inlineStr">
        <is>
          <t>slower quaternisation, N-oxidation and metal binding (2-picoline is less nucleophilic at N than pyridine)</t>
        </is>
      </c>
      <c r="S121" s="7" t="inlineStr">
        <is>
          <t>the substituent crowds the lone pair</t>
        </is>
      </c>
      <c r="T121" s="7" t="n"/>
      <c r="U121" s="10" t="n">
        <v>0.3</v>
      </c>
      <c r="V121" s="7" t="inlineStr">
        <is>
          <t>alkyl substitution +1.39 (n=244; winner had it 81 % vs 50 % at random) · aryl halide -0.73 (n=130; winner had it 46 % vs 50 % at random) · deprotection +0.71 (n=32; winner had it 72 % vs 51 % at random) · acyl substitution -0.48 (n=41; winner had it 37 % vs 49 % at random)</t>
        </is>
      </c>
      <c r="W121" s="7" t="n">
        <v>512</v>
      </c>
      <c r="X121" s="7" t="n">
        <v>228</v>
      </c>
      <c r="Y121" s="9" t="n">
        <v>0.6621</v>
      </c>
      <c r="Z121" s="9" t="n">
        <v>0.5</v>
      </c>
      <c r="AA121" s="7" t="n"/>
      <c r="AB121" s="7" t="n"/>
      <c r="AC121" s="7" t="n"/>
      <c r="AD121" s="7" t="n"/>
      <c r="AE121" s="7" t="inlineStr">
        <is>
          <t>learned from the training patents (tools/int_train.py)</t>
        </is>
      </c>
      <c r="AF121" s="7" t="inlineStr">
        <is>
          <t>Joule &amp; Mills, Heterocyclic Chemistry</t>
        </is>
      </c>
    </row>
    <row r="122">
      <c r="A122" s="7" t="inlineStr">
        <is>
          <t>I121</t>
        </is>
      </c>
      <c r="B122" s="7" t="inlineStr">
        <is>
          <t>azine-n-hindered-2</t>
        </is>
      </c>
      <c r="C122" s="7" t="inlineStr">
        <is>
          <t>six-membered ring nitrogen with substituents on both neighbouring carbons</t>
        </is>
      </c>
      <c r="D122" s="7" t="inlineStr">
        <is>
          <t>ring nitrogen</t>
        </is>
      </c>
      <c r="E122" s="7" t="inlineStr">
        <is>
          <t>hindrance</t>
        </is>
      </c>
      <c r="F122" s="7" t="inlineStr">
        <is>
          <t>aromatic n</t>
        </is>
      </c>
      <c r="G122" s="7" t="inlineStr">
        <is>
          <t>[n;r6;$(n(:c-[!#1;!900*]):c-[!#1;!900*])]</t>
        </is>
      </c>
      <c r="H122" s="7" t="inlineStr"/>
      <c r="I122" s="7" t="inlineStr"/>
      <c r="J122" s="7" t="inlineStr"/>
      <c r="K122" s="7" t="inlineStr"/>
      <c r="L122" s="7" t="inlineStr"/>
      <c r="M122" s="7" t="n"/>
      <c r="N122" s="7" t="inlineStr"/>
      <c r="O122" s="7" t="inlineStr">
        <is>
          <t>yes</t>
        </is>
      </c>
      <c r="P122" s="7" t="inlineStr"/>
      <c r="Q122" s="7" t="inlineStr">
        <is>
          <t>both carbons next to the reacting ring N carry substituents (2,6-disubstituted pyridine)</t>
        </is>
      </c>
      <c r="R122" s="7" t="inlineStr">
        <is>
          <t>a hindered base that does not alkylate or bind metals (2,6-lutidine, 2,6-di-tert-butylpyridine)</t>
        </is>
      </c>
      <c r="S122" s="7" t="inlineStr">
        <is>
          <t>both sides of the lone pair are crowded</t>
        </is>
      </c>
      <c r="T122" s="7" t="n"/>
      <c r="U122" s="10" t="n">
        <v>-1.06</v>
      </c>
      <c r="V122" s="7" t="inlineStr">
        <is>
          <t>aryl halide -1.11 (n=32; winner had it 19 % vs 40 % at random)</t>
        </is>
      </c>
      <c r="W122" s="7" t="n">
        <v>60</v>
      </c>
      <c r="X122" s="7" t="n">
        <v>54</v>
      </c>
      <c r="Y122" s="9" t="n">
        <v>0.1667</v>
      </c>
      <c r="Z122" s="9" t="n">
        <v>0.4372</v>
      </c>
      <c r="AA122" s="7" t="n"/>
      <c r="AB122" s="7" t="n"/>
      <c r="AC122" s="7" t="n"/>
      <c r="AD122" s="7" t="n"/>
      <c r="AE122" s="7" t="inlineStr">
        <is>
          <t>learned from the training patents (tools/int_train.py)</t>
        </is>
      </c>
      <c r="AF122" s="7" t="inlineStr">
        <is>
          <t>Joule &amp; Mills, Heterocyclic Chemistry</t>
        </is>
      </c>
    </row>
    <row r="123">
      <c r="A123" s="7" t="inlineStr">
        <is>
          <t>I122</t>
        </is>
      </c>
      <c r="B123" s="7" t="inlineStr">
        <is>
          <t>sp3-methyl</t>
        </is>
      </c>
      <c r="C123" s="7" t="inlineStr">
        <is>
          <t>methyl-type carbon (no carbon substituent)</t>
        </is>
      </c>
      <c r="D123" s="7" t="inlineStr">
        <is>
          <t>sp3 carbon: substitution degree</t>
        </is>
      </c>
      <c r="E123" s="7" t="inlineStr">
        <is>
          <t>steric</t>
        </is>
      </c>
      <c r="F123" s="7" t="inlineStr">
        <is>
          <t>sp3 C</t>
        </is>
      </c>
      <c r="G123" s="7" t="inlineStr">
        <is>
          <t>[C;X4;!$(C-[#6;!900*])]</t>
        </is>
      </c>
      <c r="H123" s="7" t="inlineStr"/>
      <c r="I123" s="7" t="inlineStr"/>
      <c r="J123" s="7" t="inlineStr"/>
      <c r="K123" s="7" t="inlineStr"/>
      <c r="L123" s="7" t="inlineStr"/>
      <c r="M123" s="7" t="n"/>
      <c r="N123" s="7" t="inlineStr"/>
      <c r="O123" s="7" t="inlineStr">
        <is>
          <t>yes</t>
        </is>
      </c>
      <c r="P123" s="7" t="inlineStr"/>
      <c r="Q123" s="7" t="inlineStr">
        <is>
          <t>the attacked carbon had no carbon substituent (CH3–X); only unchanged carbons are counted, the sp3-&lt;degree&gt;-at-&lt;atom&gt; rows below count all carbon neighbours</t>
        </is>
      </c>
      <c r="R123" s="7" t="inlineStr">
        <is>
          <t>the fastest SN2 and the least hindered position; no cation possible</t>
        </is>
      </c>
      <c r="S123" s="7" t="inlineStr">
        <is>
          <t>no substituent blocks the backside; no alkyl group stabilises a cation</t>
        </is>
      </c>
      <c r="T123" s="7" t="n"/>
      <c r="U123" s="10" t="n">
        <v>0.04</v>
      </c>
      <c r="V123" s="7" t="inlineStr">
        <is>
          <t>alkyl substitution +1.72 (n=248; winner had it 42 % vs 46 % at random) · other +1.05 (n=301; winner had it 40 % vs 37 % at random) · acyl substitution -0.82 (n=2658; winner had it 10 % vs 49 % at random) · aryl halide -0.75 (n=349; winner had it 7 % vs 46 % at random) · arene ch -0.71 (n=25; winner had it 16 % vs 48 % at random) · deprotection +0.62 (n=246; winner had it 26 % vs 47 % at random)</t>
        </is>
      </c>
      <c r="W123" s="7" t="n">
        <v>6136</v>
      </c>
      <c r="X123" s="7" t="n">
        <v>3686</v>
      </c>
      <c r="Y123" s="9" t="n">
        <v>0.117</v>
      </c>
      <c r="Z123" s="9" t="n">
        <v>0.4532</v>
      </c>
      <c r="AA123" s="7" t="n"/>
      <c r="AB123" s="7" t="n"/>
      <c r="AC123" s="7" t="n"/>
      <c r="AD123" s="7" t="n"/>
      <c r="AE123" s="7" t="inlineStr">
        <is>
          <t>learned from the training patents (tools/int_train.py)</t>
        </is>
      </c>
      <c r="AF123" s="7" t="inlineStr">
        <is>
          <t>Clayden, Organic Chemistry (SN2)</t>
        </is>
      </c>
    </row>
    <row r="124">
      <c r="A124" s="7" t="inlineStr">
        <is>
          <t>I123</t>
        </is>
      </c>
      <c r="B124" s="7" t="inlineStr">
        <is>
          <t>sp3-primary</t>
        </is>
      </c>
      <c r="C124" s="7" t="inlineStr">
        <is>
          <t>primary carbon (one carbon substituent)</t>
        </is>
      </c>
      <c r="D124" s="7" t="inlineStr">
        <is>
          <t>sp3 carbon: substitution degree</t>
        </is>
      </c>
      <c r="E124" s="7" t="inlineStr">
        <is>
          <t>steric</t>
        </is>
      </c>
      <c r="F124" s="7" t="inlineStr">
        <is>
          <t>sp3 C</t>
        </is>
      </c>
      <c r="G124" s="7" t="inlineStr">
        <is>
          <t>[C;X4;$(C-[#6;!900*]);!$(C(-[#6;!900*])-[#6;!900*])]</t>
        </is>
      </c>
      <c r="H124" s="7" t="inlineStr"/>
      <c r="I124" s="7" t="inlineStr"/>
      <c r="J124" s="7" t="inlineStr"/>
      <c r="K124" s="7" t="inlineStr"/>
      <c r="L124" s="7" t="inlineStr"/>
      <c r="M124" s="7" t="n"/>
      <c r="N124" s="7" t="inlineStr"/>
      <c r="O124" s="7" t="inlineStr">
        <is>
          <t>yes</t>
        </is>
      </c>
      <c r="P124" s="7" t="inlineStr"/>
      <c r="Q124" s="7" t="inlineStr">
        <is>
          <t>the attacked carbon had one carbon substituent (R–CH2–X)</t>
        </is>
      </c>
      <c r="R124" s="7" t="inlineStr">
        <is>
          <t>open: SN2 fast, E2 with bulky bases</t>
        </is>
      </c>
      <c r="S124" s="7" t="inlineStr">
        <is>
          <t>one substituent only: the backside is open</t>
        </is>
      </c>
      <c r="T124" s="7" t="n"/>
      <c r="U124" s="10" t="n">
        <v>-0.05</v>
      </c>
      <c r="V124" s="7" t="inlineStr">
        <is>
          <t>acyl substitution +1.15 (n=3504; winner had it 71 % vs 49 % at random) · carbonyl addition -1.12 (n=4281; winner had it 9 % vs 51 % at random) · deprotection +0.79 (n=780; winner had it 54 % vs 49 % at random) · alkyl substitution -0.54 (n=558; winner had it 23 % vs 49 % at random) · arene ch -0.51 (n=109; winner had it 39 % vs 48 % at random) · aryl halide -0.46 (n=875; winner had it 17 % vs 51 % at random)</t>
        </is>
      </c>
      <c r="W124" s="7" t="n">
        <v>11421</v>
      </c>
      <c r="X124" s="7" t="n">
        <v>6349</v>
      </c>
      <c r="Y124" s="9" t="n">
        <v>0.3689</v>
      </c>
      <c r="Z124" s="9" t="n">
        <v>0.4967</v>
      </c>
      <c r="AA124" s="7" t="n"/>
      <c r="AB124" s="7" t="n"/>
      <c r="AC124" s="7" t="n"/>
      <c r="AD124" s="7" t="n"/>
      <c r="AE124" s="7" t="inlineStr">
        <is>
          <t>learned from the training patents (tools/int_train.py)</t>
        </is>
      </c>
      <c r="AF124" s="7" t="inlineStr">
        <is>
          <t>Clayden, Organic Chemistry (SN2)</t>
        </is>
      </c>
    </row>
    <row r="125">
      <c r="A125" s="7" t="inlineStr">
        <is>
          <t>I124</t>
        </is>
      </c>
      <c r="B125" s="7" t="inlineStr">
        <is>
          <t>sp3-secondary</t>
        </is>
      </c>
      <c r="C125" s="7" t="inlineStr">
        <is>
          <t>secondary carbon (two carbon substituents)</t>
        </is>
      </c>
      <c r="D125" s="7" t="inlineStr">
        <is>
          <t>sp3 carbon: substitution degree</t>
        </is>
      </c>
      <c r="E125" s="7" t="inlineStr">
        <is>
          <t>steric</t>
        </is>
      </c>
      <c r="F125" s="7" t="inlineStr">
        <is>
          <t>sp3 C</t>
        </is>
      </c>
      <c r="G125" s="7" t="inlineStr">
        <is>
          <t>[C;X4;$(C(-[#6;!900*])-[#6;!900*]);!$(C(-[#6;!900*])(-[#6;!900*])-[#6;!900*])]</t>
        </is>
      </c>
      <c r="H125" s="7" t="inlineStr"/>
      <c r="I125" s="7" t="inlineStr"/>
      <c r="J125" s="7" t="inlineStr"/>
      <c r="K125" s="7" t="inlineStr"/>
      <c r="L125" s="7" t="inlineStr"/>
      <c r="M125" s="7" t="n"/>
      <c r="N125" s="7" t="inlineStr"/>
      <c r="O125" s="7" t="inlineStr">
        <is>
          <t>yes</t>
        </is>
      </c>
      <c r="P125" s="7" t="inlineStr"/>
      <c r="Q125" s="7" t="inlineStr">
        <is>
          <t>the attacked carbon had two carbon substituents (R2CH–X)</t>
        </is>
      </c>
      <c r="R125" s="7" t="inlineStr">
        <is>
          <t>SN2 slower; SN1, E1 and E2 compete</t>
        </is>
      </c>
      <c r="S125" s="7" t="inlineStr">
        <is>
          <t>two substituents crowd the backside and stabilise a cation</t>
        </is>
      </c>
      <c r="T125" s="7" t="n"/>
      <c r="U125" s="10" t="n">
        <v>0.26</v>
      </c>
      <c r="V125" s="7" t="inlineStr">
        <is>
          <t>carbonyl addition +2.29 (n=5063; winner had it 96 % vs 49 % at random) · aryl halide +0.94 (n=905; winner had it 94 % vs 49 % at random) · other -0.44 (n=413; winner had it 76 % vs 58 % at random) · deprotection -0.40 (n=579; winner had it 58 % vs 53 % at random) · o nucleophile -0.34 (n=157; winner had it 45 % vs 57 % at random) · acyl substitution -0.01 (n=1076; winner had it 79 % vs 55 % at random)</t>
        </is>
      </c>
      <c r="W125" s="7" t="n">
        <v>9910</v>
      </c>
      <c r="X125" s="7" t="n">
        <v>5301</v>
      </c>
      <c r="Y125" s="9" t="n">
        <v>0.8764</v>
      </c>
      <c r="Z125" s="9" t="n">
        <v>0.5134</v>
      </c>
      <c r="AA125" s="7" t="n"/>
      <c r="AB125" s="7" t="n"/>
      <c r="AC125" s="7" t="n"/>
      <c r="AD125" s="7" t="n"/>
      <c r="AE125" s="7" t="inlineStr">
        <is>
          <t>learned from the training patents (tools/int_train.py)</t>
        </is>
      </c>
      <c r="AF125" s="7" t="inlineStr">
        <is>
          <t>Clayden, Organic Chemistry (SN2 / SN1)</t>
        </is>
      </c>
    </row>
    <row r="126">
      <c r="A126" s="7" t="inlineStr">
        <is>
          <t>I125</t>
        </is>
      </c>
      <c r="B126" s="7" t="inlineStr">
        <is>
          <t>sp3-tertiary</t>
        </is>
      </c>
      <c r="C126" s="7" t="inlineStr">
        <is>
          <t>tertiary carbon (three carbon substituents)</t>
        </is>
      </c>
      <c r="D126" s="7" t="inlineStr">
        <is>
          <t>sp3 carbon: substitution degree</t>
        </is>
      </c>
      <c r="E126" s="7" t="inlineStr">
        <is>
          <t>steric</t>
        </is>
      </c>
      <c r="F126" s="7" t="inlineStr">
        <is>
          <t>sp3 C</t>
        </is>
      </c>
      <c r="G126" s="7" t="inlineStr">
        <is>
          <t>[C;X4;$(C(-[#6;!900*])(-[#6;!900*])-[#6;!900*])]</t>
        </is>
      </c>
      <c r="H126" s="7" t="inlineStr"/>
      <c r="I126" s="7" t="inlineStr"/>
      <c r="J126" s="7" t="inlineStr"/>
      <c r="K126" s="7" t="inlineStr"/>
      <c r="L126" s="7" t="inlineStr"/>
      <c r="M126" s="7" t="n"/>
      <c r="N126" s="7" t="inlineStr"/>
      <c r="O126" s="7" t="inlineStr">
        <is>
          <t>yes</t>
        </is>
      </c>
      <c r="P126" s="7" t="inlineStr"/>
      <c r="Q126" s="7" t="inlineStr">
        <is>
          <t>the attacked carbon had three carbon substituents (R3C–X)</t>
        </is>
      </c>
      <c r="R126" s="7" t="inlineStr">
        <is>
          <t>no SN2: SN1 / E1 through the cation, or E2</t>
        </is>
      </c>
      <c r="S126" s="7" t="inlineStr">
        <is>
          <t>the backside is shielded; three alkyl groups stabilise the cation</t>
        </is>
      </c>
      <c r="T126" s="7" t="n"/>
      <c r="U126" s="10" t="n">
        <v>-0.74</v>
      </c>
      <c r="V126" s="7" t="inlineStr">
        <is>
          <t>acyl substitution -1.35 (n=47; winner had it 30 % vs 38 % at random) · other -0.80 (n=46; winner had it 70 % vs 50 % at random) · carbonyl addition -0.79 (n=105; winner had it 42 % vs 44 % at random) · o nucleophile -0.74 (n=42; winner had it 67 % vs 50 % at random) · deprotection -0.56 (n=49; winner had it 49 % vs 46 % at random) · alkyl substitution -0.34 (n=101; winner had it 78 % vs 51 % at random)</t>
        </is>
      </c>
      <c r="W126" s="7" t="n">
        <v>420</v>
      </c>
      <c r="X126" s="7" t="n">
        <v>289</v>
      </c>
      <c r="Y126" s="9" t="n">
        <v>0.5619</v>
      </c>
      <c r="Z126" s="9" t="n">
        <v>0.4719</v>
      </c>
      <c r="AA126" s="7" t="n"/>
      <c r="AB126" s="7" t="n"/>
      <c r="AC126" s="7" t="n"/>
      <c r="AD126" s="7" t="n"/>
      <c r="AE126" s="7" t="inlineStr">
        <is>
          <t>learned from the training patents (tools/int_train.py)</t>
        </is>
      </c>
      <c r="AF126" s="7" t="inlineStr">
        <is>
          <t>Clayden, Organic Chemistry (SN1)</t>
        </is>
      </c>
    </row>
    <row r="127">
      <c r="A127" s="7" t="inlineStr">
        <is>
          <t>I126</t>
        </is>
      </c>
      <c r="B127" s="7" t="inlineStr">
        <is>
          <t>sp3-benzylic</t>
        </is>
      </c>
      <c r="C127" s="7" t="inlineStr">
        <is>
          <t>benzylic carbon</t>
        </is>
      </c>
      <c r="D127" s="7" t="inlineStr">
        <is>
          <t>sp3 carbon: neighbour effect</t>
        </is>
      </c>
      <c r="E127" s="7" t="inlineStr">
        <is>
          <t>electronic</t>
        </is>
      </c>
      <c r="F127" s="7" t="inlineStr">
        <is>
          <t>sp3 C</t>
        </is>
      </c>
      <c r="G127" s="7" t="inlineStr">
        <is>
          <t>[C;X4;$(C-[c;!900*])]</t>
        </is>
      </c>
      <c r="H127" s="7" t="inlineStr"/>
      <c r="I127" s="7" t="inlineStr"/>
      <c r="J127" s="7" t="inlineStr"/>
      <c r="K127" s="7" t="inlineStr"/>
      <c r="L127" s="7" t="inlineStr"/>
      <c r="M127" s="7" t="n"/>
      <c r="N127" s="7" t="inlineStr"/>
      <c r="O127" s="7" t="inlineStr">
        <is>
          <t>yes</t>
        </is>
      </c>
      <c r="P127" s="7" t="inlineStr"/>
      <c r="Q127" s="7" t="inlineStr">
        <is>
          <t>the reacting carbon is attached to an aromatic ring</t>
        </is>
      </c>
      <c r="R127" s="7" t="inlineStr">
        <is>
          <t>SN1 and SN2 both fast; radical and oxidation chemistry at this C–H; easily inserted by metals</t>
        </is>
      </c>
      <c r="S127" s="7" t="inlineStr">
        <is>
          <t>the ring stabilises the cation, the radical and the SN2 transition state</t>
        </is>
      </c>
      <c r="T127" s="7" t="n"/>
      <c r="U127" s="10" t="n">
        <v>0.9</v>
      </c>
      <c r="V127" s="7" t="inlineStr">
        <is>
          <t>deprotection +1.75 (n=963; winner had it 82 % vs 45 % at random) · other +1.33 (n=565; winner had it 65 % vs 40 % at random) · aryl halide +1.25 (n=544; winner had it 84 % vs 46 % at random) · unsaturated +1.13 (n=78; winner had it 60 % vs 38 % at random) · alkyl substitution +1.10 (n=1110; winner had it 69 % vs 44 % at random) · acyl substitution +1.06 (n=2560; winner had it 71 % vs 44 % at random)</t>
        </is>
      </c>
      <c r="W127" s="7" t="n">
        <v>9319</v>
      </c>
      <c r="X127" s="7" t="n">
        <v>5079</v>
      </c>
      <c r="Y127" s="9" t="n">
        <v>0.6854</v>
      </c>
      <c r="Z127" s="9" t="n">
        <v>0.4442</v>
      </c>
      <c r="AA127" s="7" t="n"/>
      <c r="AB127" s="7" t="n"/>
      <c r="AC127" s="7" t="n"/>
      <c r="AD127" s="7" t="n"/>
      <c r="AE127" s="7" t="inlineStr">
        <is>
          <t>learned from the training patents (tools/int_train.py)</t>
        </is>
      </c>
      <c r="AF127" s="7" t="inlineStr">
        <is>
          <t>Clayden, Organic Chemistry</t>
        </is>
      </c>
    </row>
    <row r="128">
      <c r="A128" s="7" t="inlineStr">
        <is>
          <t>I127</t>
        </is>
      </c>
      <c r="B128" s="7" t="inlineStr">
        <is>
          <t>sp3-allylic</t>
        </is>
      </c>
      <c r="C128" s="7" t="inlineStr">
        <is>
          <t>allylic carbon</t>
        </is>
      </c>
      <c r="D128" s="7" t="inlineStr">
        <is>
          <t>sp3 carbon: neighbour effect</t>
        </is>
      </c>
      <c r="E128" s="7" t="inlineStr">
        <is>
          <t>electronic</t>
        </is>
      </c>
      <c r="F128" s="7" t="inlineStr">
        <is>
          <t>sp3 C</t>
        </is>
      </c>
      <c r="G128" s="7" t="inlineStr">
        <is>
          <t>[C;X4;$(C-[C;X3;!$(C=O);!900*]=C)]</t>
        </is>
      </c>
      <c r="H128" s="7" t="inlineStr"/>
      <c r="I128" s="7" t="inlineStr"/>
      <c r="J128" s="7" t="inlineStr"/>
      <c r="K128" s="7" t="inlineStr"/>
      <c r="L128" s="7" t="inlineStr"/>
      <c r="M128" s="7" t="n"/>
      <c r="N128" s="7" t="inlineStr"/>
      <c r="O128" s="7" t="inlineStr">
        <is>
          <t>yes</t>
        </is>
      </c>
      <c r="P128" s="7" t="inlineStr"/>
      <c r="Q128" s="7" t="inlineStr">
        <is>
          <t>the reacting carbon is attached to a C=C</t>
        </is>
      </c>
      <c r="R128" s="7" t="inlineStr">
        <is>
          <t>SN1 and SN2 fast; SN2′ and allylic transposition possible; radical reactions at this C–H</t>
        </is>
      </c>
      <c r="S128" s="7" t="inlineStr">
        <is>
          <t>the π bond stabilises the cation, the radical and the transition state</t>
        </is>
      </c>
      <c r="T128" s="7" t="n"/>
      <c r="U128" s="10" t="n">
        <v>0.46</v>
      </c>
      <c r="V128" s="7" t="inlineStr">
        <is>
          <t>unsaturated +1.83 (n=73; winner had it 84 % vs 37 % at random) · alkyl substitution +0.66 (n=120; winner had it 38 % vs 38 % at random) · other +0.63 (n=123; winner had it 19 % vs 32 % at random) · carbonyl addition -0.27 (n=324; winner had it 48 % vs 44 % at random) · n nucleophile +0.00 (n=58; winner had it 21 % vs 39 % at random)</t>
        </is>
      </c>
      <c r="W128" s="7" t="n">
        <v>1210</v>
      </c>
      <c r="X128" s="7" t="n">
        <v>799</v>
      </c>
      <c r="Y128" s="9" t="n">
        <v>0.4256</v>
      </c>
      <c r="Z128" s="9" t="n">
        <v>0.3987</v>
      </c>
      <c r="AA128" s="7" t="n"/>
      <c r="AB128" s="7" t="n"/>
      <c r="AC128" s="7" t="n"/>
      <c r="AD128" s="7" t="n"/>
      <c r="AE128" s="7" t="inlineStr">
        <is>
          <t>learned from the training patents (tools/int_train.py)</t>
        </is>
      </c>
      <c r="AF128" s="7" t="inlineStr">
        <is>
          <t>Clayden, Organic Chemistry</t>
        </is>
      </c>
    </row>
    <row r="129">
      <c r="A129" s="7" t="inlineStr">
        <is>
          <t>I128</t>
        </is>
      </c>
      <c r="B129" s="7" t="inlineStr">
        <is>
          <t>sp3-propargylic</t>
        </is>
      </c>
      <c r="C129" s="7" t="inlineStr">
        <is>
          <t>propargylic carbon</t>
        </is>
      </c>
      <c r="D129" s="7" t="inlineStr">
        <is>
          <t>sp3 carbon: neighbour effect</t>
        </is>
      </c>
      <c r="E129" s="7" t="inlineStr">
        <is>
          <t>electronic</t>
        </is>
      </c>
      <c r="F129" s="7" t="inlineStr">
        <is>
          <t>sp3 C</t>
        </is>
      </c>
      <c r="G129" s="7" t="inlineStr">
        <is>
          <t>[C;X4;$(C-[C;X2;!900*]#[#6])]</t>
        </is>
      </c>
      <c r="H129" s="7" t="inlineStr"/>
      <c r="I129" s="7" t="inlineStr"/>
      <c r="J129" s="7" t="inlineStr"/>
      <c r="K129" s="7" t="inlineStr"/>
      <c r="L129" s="7" t="inlineStr"/>
      <c r="M129" s="7" t="n"/>
      <c r="N129" s="7" t="inlineStr"/>
      <c r="O129" s="7" t="inlineStr">
        <is>
          <t>yes</t>
        </is>
      </c>
      <c r="P129" s="7" t="inlineStr"/>
      <c r="Q129" s="7" t="inlineStr">
        <is>
          <t>the reacting carbon is attached to a C≡C</t>
        </is>
      </c>
      <c r="R129" s="7" t="inlineStr">
        <is>
          <t>SN2 fast (like allylic); SN2′ gives allenes</t>
        </is>
      </c>
      <c r="S129" s="7" t="inlineStr">
        <is>
          <t>the π system activates the transition state</t>
        </is>
      </c>
      <c r="T129" s="7" t="n"/>
      <c r="U129" s="10" t="n">
        <v>1.31</v>
      </c>
      <c r="V129" s="7" t="inlineStr"/>
      <c r="W129" s="7" t="n">
        <v>82</v>
      </c>
      <c r="X129" s="7" t="n">
        <v>62</v>
      </c>
      <c r="Y129" s="9" t="n">
        <v>0.6098</v>
      </c>
      <c r="Z129" s="9" t="n">
        <v>0.3662</v>
      </c>
      <c r="AA129" s="7" t="n"/>
      <c r="AB129" s="7" t="n"/>
      <c r="AC129" s="7" t="n"/>
      <c r="AD129" s="7" t="n"/>
      <c r="AE129" s="7" t="inlineStr">
        <is>
          <t>learned from the training patents (tools/int_train.py)</t>
        </is>
      </c>
      <c r="AF129" s="7" t="inlineStr">
        <is>
          <t>Clayden, Organic Chemistry</t>
        </is>
      </c>
    </row>
    <row r="130">
      <c r="A130" s="7" t="inlineStr">
        <is>
          <t>I129</t>
        </is>
      </c>
      <c r="B130" s="7" t="inlineStr">
        <is>
          <t>sp3-alpha-carbonyl</t>
        </is>
      </c>
      <c r="C130" s="7" t="inlineStr">
        <is>
          <t>carbon α to a carbonyl group</t>
        </is>
      </c>
      <c r="D130" s="7" t="inlineStr">
        <is>
          <t>sp3 carbon: neighbour effect</t>
        </is>
      </c>
      <c r="E130" s="7" t="inlineStr">
        <is>
          <t>electronic</t>
        </is>
      </c>
      <c r="F130" s="7" t="inlineStr">
        <is>
          <t>sp3 C</t>
        </is>
      </c>
      <c r="G130" s="7" t="inlineStr">
        <is>
          <t>[C;X4;$(C-[C;X3;!900*]=[O,N,S])]</t>
        </is>
      </c>
      <c r="H130" s="7" t="inlineStr"/>
      <c r="I130" s="7" t="inlineStr"/>
      <c r="J130" s="7" t="inlineStr"/>
      <c r="K130" s="7" t="inlineStr"/>
      <c r="L130" s="7" t="inlineStr"/>
      <c r="M130" s="7" t="n"/>
      <c r="N130" s="7" t="inlineStr"/>
      <c r="O130" s="7" t="inlineStr">
        <is>
          <t>yes</t>
        </is>
      </c>
      <c r="P130" s="7" t="inlineStr"/>
      <c r="Q130" s="7" t="inlineStr">
        <is>
          <t>the reacting carbon is next to a C=O or C=N</t>
        </is>
      </c>
      <c r="R130" s="7" t="inlineStr">
        <is>
          <t>SN2 much faster (α-halo ketones are among the most reactive alkylating agents); the C–H is acidic: enolate chemistry</t>
        </is>
      </c>
      <c r="S130" s="7" t="inlineStr">
        <is>
          <t>the π* of the C=O lowers the SN2 transition state; the C–H is acidic</t>
        </is>
      </c>
      <c r="T130" s="7" t="n"/>
      <c r="U130" s="10" t="n">
        <v>2.21</v>
      </c>
      <c r="V130" s="7" t="inlineStr">
        <is>
          <t>carbonyl addition +3.57 (n=1624; winner had it 89 % vs 41 % at random) · n nucleophile +3.39 (n=137; winner had it 92 % vs 32 % at random) · alkyl substitution +3.34 (n=1516; winner had it 94 % vs 40 % at random) · acyl substitution +2.90 (n=1987; winner had it 87 % vs 41 % at random) · aryl halide +2.88 (n=472; winner had it 92 % vs 45 % at random) · other +2.79 (n=539; winner had it 81 % vs 33 % at random)</t>
        </is>
      </c>
      <c r="W130" s="7" t="n">
        <v>7078</v>
      </c>
      <c r="X130" s="7" t="n">
        <v>4157</v>
      </c>
      <c r="Y130" s="9" t="n">
        <v>0.8594000000000001</v>
      </c>
      <c r="Z130" s="9" t="n">
        <v>0.3985</v>
      </c>
      <c r="AA130" s="7" t="n"/>
      <c r="AB130" s="7" t="n"/>
      <c r="AC130" s="7" t="n"/>
      <c r="AD130" s="7" t="n"/>
      <c r="AE130" s="7" t="inlineStr">
        <is>
          <t>learned from the training patents (tools/int_train.py)</t>
        </is>
      </c>
      <c r="AF130" s="7" t="inlineStr">
        <is>
          <t>Clayden, Organic Chemistry</t>
        </is>
      </c>
    </row>
    <row r="131">
      <c r="A131" s="7" t="inlineStr">
        <is>
          <t>I130</t>
        </is>
      </c>
      <c r="B131" s="7" t="inlineStr">
        <is>
          <t>sp3-alpha-nitrile</t>
        </is>
      </c>
      <c r="C131" s="7" t="inlineStr">
        <is>
          <t>carbon α to a nitrile</t>
        </is>
      </c>
      <c r="D131" s="7" t="inlineStr">
        <is>
          <t>sp3 carbon: neighbour effect</t>
        </is>
      </c>
      <c r="E131" s="7" t="inlineStr">
        <is>
          <t>electronic</t>
        </is>
      </c>
      <c r="F131" s="7" t="inlineStr">
        <is>
          <t>sp3 C</t>
        </is>
      </c>
      <c r="G131" s="7" t="inlineStr">
        <is>
          <t>[C;X4;$(C-[C;X2;!900*]#N)]</t>
        </is>
      </c>
      <c r="H131" s="7" t="inlineStr"/>
      <c r="I131" s="7" t="inlineStr"/>
      <c r="J131" s="7" t="inlineStr"/>
      <c r="K131" s="7" t="inlineStr"/>
      <c r="L131" s="7" t="inlineStr"/>
      <c r="M131" s="7" t="n"/>
      <c r="N131" s="7" t="inlineStr"/>
      <c r="O131" s="7" t="inlineStr">
        <is>
          <t>yes</t>
        </is>
      </c>
      <c r="P131" s="7" t="inlineStr"/>
      <c r="Q131" s="7" t="inlineStr">
        <is>
          <t>the reacting carbon is next to a C≡N</t>
        </is>
      </c>
      <c r="R131" s="7" t="inlineStr">
        <is>
          <t>SN2 fast; the C–H is acidic (acetonitrile pKa 31 in DMSO)</t>
        </is>
      </c>
      <c r="S131" s="7" t="inlineStr">
        <is>
          <t>the nitrile lowers the SN2 transition state and acidifies the C–H</t>
        </is>
      </c>
      <c r="T131" s="7" t="n"/>
      <c r="U131" s="10" t="n">
        <v>2.39</v>
      </c>
      <c r="V131" s="7" t="inlineStr">
        <is>
          <t>alkyl substitution +3.65 (n=166; winner had it 100 % vs 45 % at random) · acyl substitution +3.43 (n=139; winner had it 97 % vs 44 % at random) · aryl halide +2.61 (n=86; winner had it 95 % vs 46 % at random) · carbonyl addition +2.58 (n=95; winner had it 83 % vs 41 % at random)</t>
        </is>
      </c>
      <c r="W131" s="7" t="n">
        <v>552</v>
      </c>
      <c r="X131" s="7" t="n">
        <v>392</v>
      </c>
      <c r="Y131" s="9" t="n">
        <v>0.9149</v>
      </c>
      <c r="Z131" s="9" t="n">
        <v>0.4311</v>
      </c>
      <c r="AA131" s="7" t="n"/>
      <c r="AB131" s="7" t="n"/>
      <c r="AC131" s="7" t="n"/>
      <c r="AD131" s="7" t="n"/>
      <c r="AE131" s="7" t="inlineStr">
        <is>
          <t>learned from the training patents (tools/int_train.py)</t>
        </is>
      </c>
      <c r="AF131" s="7" t="inlineStr">
        <is>
          <t>Clayden, Organic Chemistry</t>
        </is>
      </c>
    </row>
    <row r="132">
      <c r="A132" s="7" t="inlineStr">
        <is>
          <t>I131</t>
        </is>
      </c>
      <c r="B132" s="7" t="inlineStr">
        <is>
          <t>sp3-alpha-CF3</t>
        </is>
      </c>
      <c r="C132" s="7" t="inlineStr">
        <is>
          <t>carbon next to a CF3 group</t>
        </is>
      </c>
      <c r="D132" s="7" t="inlineStr">
        <is>
          <t>sp3 carbon: neighbour effect</t>
        </is>
      </c>
      <c r="E132" s="7" t="inlineStr">
        <is>
          <t>electronic</t>
        </is>
      </c>
      <c r="F132" s="7" t="inlineStr">
        <is>
          <t>sp3 C</t>
        </is>
      </c>
      <c r="G132" s="7" t="inlineStr">
        <is>
          <t>[C;X4;$(C-[C;!900*](F)(F)F)]</t>
        </is>
      </c>
      <c r="H132" s="7" t="inlineStr"/>
      <c r="I132" s="7" t="inlineStr"/>
      <c r="J132" s="7" t="inlineStr"/>
      <c r="K132" s="7" t="inlineStr"/>
      <c r="L132" s="7" t="inlineStr"/>
      <c r="M132" s="7" t="n"/>
      <c r="N132" s="7" t="inlineStr"/>
      <c r="O132" s="7" t="inlineStr">
        <is>
          <t>yes</t>
        </is>
      </c>
      <c r="P132" s="7" t="inlineStr"/>
      <c r="Q132" s="7" t="inlineStr">
        <is>
          <t>the reacting carbon carries a CF3 group it already had (a CF3 the reaction put there does not count)</t>
        </is>
      </c>
      <c r="R132" s="7" t="inlineStr">
        <is>
          <t>SN2 and SN1 slowed: the CF3 destabilises positive charge and the transition state</t>
        </is>
      </c>
      <c r="S132" s="7" t="inlineStr">
        <is>
          <t>the CF3 group withdraws strongly by induction (Taft σ* +2.61)</t>
        </is>
      </c>
      <c r="T132" s="7" t="n"/>
      <c r="U132" s="10" t="n">
        <v>-0.03</v>
      </c>
      <c r="V132" s="7" t="inlineStr">
        <is>
          <t>carbonyl addition +0.76 (n=93; winner had it 69 % vs 49 % at random)</t>
        </is>
      </c>
      <c r="W132" s="7" t="n">
        <v>273</v>
      </c>
      <c r="X132" s="7" t="n">
        <v>189</v>
      </c>
      <c r="Y132" s="9" t="n">
        <v>0.4615</v>
      </c>
      <c r="Z132" s="9" t="n">
        <v>0.4472</v>
      </c>
      <c r="AA132" s="7" t="n"/>
      <c r="AB132" s="7" t="n"/>
      <c r="AC132" s="7" t="n"/>
      <c r="AD132" s="7" t="n"/>
      <c r="AE132" s="7" t="inlineStr">
        <is>
          <t>learned from the training patents (tools/int_train.py)</t>
        </is>
      </c>
      <c r="AF132" s="7" t="inlineStr">
        <is>
          <t>Hansch, Leo, Taft; Taft σ* values</t>
        </is>
      </c>
    </row>
    <row r="133">
      <c r="A133" s="7" t="inlineStr">
        <is>
          <t>I132</t>
        </is>
      </c>
      <c r="B133" s="7" t="inlineStr">
        <is>
          <t>sp3-alpha-halogen</t>
        </is>
      </c>
      <c r="C133" s="7" t="inlineStr">
        <is>
          <t>a halogen stays on the reacting carbon</t>
        </is>
      </c>
      <c r="D133" s="7" t="inlineStr">
        <is>
          <t>sp3 carbon: neighbour effect</t>
        </is>
      </c>
      <c r="E133" s="7" t="inlineStr">
        <is>
          <t>electronic</t>
        </is>
      </c>
      <c r="F133" s="7" t="inlineStr">
        <is>
          <t>sp3 C</t>
        </is>
      </c>
      <c r="G133" s="7" t="inlineStr">
        <is>
          <t>[C;X4;$(C-[F,Cl,Br,I;!900*])]</t>
        </is>
      </c>
      <c r="H133" s="7" t="inlineStr"/>
      <c r="I133" s="7" t="inlineStr"/>
      <c r="J133" s="7" t="inlineStr"/>
      <c r="K133" s="7" t="inlineStr"/>
      <c r="L133" s="7" t="inlineStr"/>
      <c r="M133" s="7" t="n"/>
      <c r="N133" s="7" t="inlineStr"/>
      <c r="O133" s="7" t="inlineStr">
        <is>
          <t>yes</t>
        </is>
      </c>
      <c r="P133" s="7" t="inlineStr"/>
      <c r="Q133" s="7" t="inlineStr">
        <is>
          <t>the reacting carbon keeps a halogen (CHX2, CX3)</t>
        </is>
      </c>
      <c r="R133" s="7" t="inlineStr">
        <is>
          <t>SN2 slowed (inductive, steric); SN1 favoured by lone-pair donation (Cl, Br)</t>
        </is>
      </c>
      <c r="S133" s="7" t="inlineStr">
        <is>
          <t>a halogen both withdraws and donates a lone pair</t>
        </is>
      </c>
      <c r="T133" s="7" t="n"/>
      <c r="U133" s="10" t="n">
        <v>-1.21</v>
      </c>
      <c r="V133" s="7" t="inlineStr">
        <is>
          <t>other -1.90 (n=154; winner had it 3 % vs 32 % at random) · n nucleophile -1.55 (n=41; winner had it 0 % vs 21 % at random) · deprotection -1.50 (n=91; winner had it 7 % vs 30 % at random) · o nucleophile -1.50 (n=32; winner had it 3 % vs 46 % at random) · alkyl substitution -1.25 (n=62; winner had it 21 % vs 46 % at random) · carbonyl addition -0.96 (n=67; winner had it 12 % vs 42 % at random)</t>
        </is>
      </c>
      <c r="W133" s="7" t="n">
        <v>582</v>
      </c>
      <c r="X133" s="7" t="n">
        <v>406</v>
      </c>
      <c r="Y133" s="9" t="n">
        <v>0.09619999999999999</v>
      </c>
      <c r="Z133" s="9" t="n">
        <v>0.3638</v>
      </c>
      <c r="AA133" s="7" t="n"/>
      <c r="AB133" s="7" t="n"/>
      <c r="AC133" s="7" t="n"/>
      <c r="AD133" s="7" t="n"/>
      <c r="AE133" s="7" t="inlineStr">
        <is>
          <t>learned from the training patents (tools/int_train.py)</t>
        </is>
      </c>
      <c r="AF133" s="7" t="inlineStr">
        <is>
          <t>Clayden, Organic Chemistry</t>
        </is>
      </c>
    </row>
    <row r="134">
      <c r="A134" s="7" t="inlineStr">
        <is>
          <t>I133</t>
        </is>
      </c>
      <c r="B134" s="7" t="inlineStr">
        <is>
          <t>sp3-alpha-oxygen</t>
        </is>
      </c>
      <c r="C134" s="7" t="inlineStr">
        <is>
          <t>an oxygen stays on the reacting carbon</t>
        </is>
      </c>
      <c r="D134" s="7" t="inlineStr">
        <is>
          <t>sp3 carbon: neighbour effect</t>
        </is>
      </c>
      <c r="E134" s="7" t="inlineStr">
        <is>
          <t>electronic</t>
        </is>
      </c>
      <c r="F134" s="7" t="inlineStr">
        <is>
          <t>sp3 C</t>
        </is>
      </c>
      <c r="G134" s="7" t="inlineStr">
        <is>
          <t>[C;X4;$(C-[OX2;!900*])]</t>
        </is>
      </c>
      <c r="H134" s="7" t="inlineStr"/>
      <c r="I134" s="7" t="inlineStr"/>
      <c r="J134" s="7" t="inlineStr"/>
      <c r="K134" s="7" t="inlineStr"/>
      <c r="L134" s="7" t="inlineStr"/>
      <c r="M134" s="7" t="n"/>
      <c r="N134" s="7" t="inlineStr"/>
      <c r="O134" s="7" t="inlineStr">
        <is>
          <t>yes</t>
        </is>
      </c>
      <c r="P134" s="7" t="inlineStr"/>
      <c r="Q134" s="7" t="inlineStr">
        <is>
          <t>the reacting carbon keeps an OR group (acetal carbon, α-alkoxy halide)</t>
        </is>
      </c>
      <c r="R134" s="7" t="inlineStr">
        <is>
          <t>SN1 very fast (oxocarbenium ion): α-alkoxy halides such as MOMCl are strongly activated; SN2 at an acetal carbon is unusual</t>
        </is>
      </c>
      <c r="S134" s="7" t="inlineStr">
        <is>
          <t>the O lone pair stabilises the cation</t>
        </is>
      </c>
      <c r="T134" s="7" t="n"/>
      <c r="U134" s="10" t="n">
        <v>-0.47</v>
      </c>
      <c r="V134" s="7" t="inlineStr">
        <is>
          <t>carbonyl addition -1.90 (n=3745; winner had it 1 % vs 48 % at random) · alkyl substitution -1.47 (n=1213; winner had it 8 % vs 45 % at random) · acyl substitution -0.94 (n=2007; winner had it 11 % vs 45 % at random) · aryl halide -0.75 (n=735; winner had it 4 % vs 47 % at random) · o nucleophile +0.58 (n=213; winner had it 51 % vs 48 % at random) · deprotection +0.38 (n=614; winner had it 38 % vs 44 % at random)</t>
        </is>
      </c>
      <c r="W134" s="7" t="n">
        <v>9191</v>
      </c>
      <c r="X134" s="7" t="n">
        <v>5386</v>
      </c>
      <c r="Y134" s="9" t="n">
        <v>0.0985</v>
      </c>
      <c r="Z134" s="9" t="n">
        <v>0.4552</v>
      </c>
      <c r="AA134" s="7" t="n"/>
      <c r="AB134" s="7" t="n"/>
      <c r="AC134" s="7" t="n"/>
      <c r="AD134" s="7" t="n"/>
      <c r="AE134" s="7" t="inlineStr">
        <is>
          <t>learned from the training patents (tools/int_train.py)</t>
        </is>
      </c>
      <c r="AF134" s="7" t="inlineStr">
        <is>
          <t>Clayden, Organic Chemistry</t>
        </is>
      </c>
    </row>
    <row r="135">
      <c r="A135" s="7" t="inlineStr">
        <is>
          <t>I134</t>
        </is>
      </c>
      <c r="B135" s="7" t="inlineStr">
        <is>
          <t>sp3-alpha-nitrogen</t>
        </is>
      </c>
      <c r="C135" s="7" t="inlineStr">
        <is>
          <t>a nitrogen stays on the reacting carbon</t>
        </is>
      </c>
      <c r="D135" s="7" t="inlineStr">
        <is>
          <t>sp3 carbon: neighbour effect</t>
        </is>
      </c>
      <c r="E135" s="7" t="inlineStr">
        <is>
          <t>electronic</t>
        </is>
      </c>
      <c r="F135" s="7" t="inlineStr">
        <is>
          <t>sp3 C</t>
        </is>
      </c>
      <c r="G135" s="7" t="inlineStr">
        <is>
          <t>[C;X4;$(C-[NX3;+0;!900*])]</t>
        </is>
      </c>
      <c r="H135" s="7" t="inlineStr"/>
      <c r="I135" s="7" t="inlineStr"/>
      <c r="J135" s="7" t="inlineStr"/>
      <c r="K135" s="7" t="inlineStr"/>
      <c r="L135" s="7" t="inlineStr"/>
      <c r="M135" s="7" t="n"/>
      <c r="N135" s="7" t="inlineStr"/>
      <c r="O135" s="7" t="inlineStr">
        <is>
          <t>yes</t>
        </is>
      </c>
      <c r="P135" s="7" t="inlineStr"/>
      <c r="Q135" s="7" t="inlineStr">
        <is>
          <t>the reacting carbon keeps an amino group (aminal, α-amino)</t>
        </is>
      </c>
      <c r="R135" s="7" t="inlineStr">
        <is>
          <t>SN1 very fast (iminium ion); the α-amino C–H is easily oxidised</t>
        </is>
      </c>
      <c r="S135" s="7" t="inlineStr">
        <is>
          <t>the N lone pair stabilises the cation</t>
        </is>
      </c>
      <c r="T135" s="7" t="n"/>
      <c r="U135" s="10" t="n">
        <v>-0.3</v>
      </c>
      <c r="V135" s="7" t="inlineStr">
        <is>
          <t>alkyl substitution -0.81 (n=559; winner had it 20 % vs 40 % at random) · carbonyl addition -0.79 (n=3341; winner had it 2 % vs 46 % at random) · other -0.66 (n=326; winner had it 26 % vs 37 % at random) · unsaturated -0.52 (n=26; winner had it 31 % vs 37 % at random) · n nucleophile +0.27 (n=132; winner had it 48 % vs 43 % at random) · deprotection +0.25 (n=382; winner had it 34 % vs 45 % at random)</t>
        </is>
      </c>
      <c r="W135" s="7" t="n">
        <v>7272</v>
      </c>
      <c r="X135" s="7" t="n">
        <v>3827</v>
      </c>
      <c r="Y135" s="9" t="n">
        <v>0.1242</v>
      </c>
      <c r="Z135" s="9" t="n">
        <v>0.455</v>
      </c>
      <c r="AA135" s="7" t="n"/>
      <c r="AB135" s="7" t="n"/>
      <c r="AC135" s="7" t="n"/>
      <c r="AD135" s="7" t="n"/>
      <c r="AE135" s="7" t="inlineStr">
        <is>
          <t>learned from the training patents (tools/int_train.py)</t>
        </is>
      </c>
      <c r="AF135" s="7" t="inlineStr">
        <is>
          <t>Clayden, Organic Chemistry</t>
        </is>
      </c>
    </row>
    <row r="136">
      <c r="A136" s="7" t="inlineStr">
        <is>
          <t>I135</t>
        </is>
      </c>
      <c r="B136" s="7" t="inlineStr">
        <is>
          <t>sp3-neopentyl</t>
        </is>
      </c>
      <c r="C136" s="7" t="inlineStr">
        <is>
          <t>neopentyl-type carbon (β-quaternary)</t>
        </is>
      </c>
      <c r="D136" s="7" t="inlineStr">
        <is>
          <t>sp3 carbon: neighbour effect</t>
        </is>
      </c>
      <c r="E136" s="7" t="inlineStr">
        <is>
          <t>hindrance</t>
        </is>
      </c>
      <c r="F136" s="7" t="inlineStr">
        <is>
          <t>sp3 C</t>
        </is>
      </c>
      <c r="G136" s="7" t="inlineStr">
        <is>
          <t>[C;X4;$(C-[C;X4;D4;!900*;!$(C(F)(F)F)])]</t>
        </is>
      </c>
      <c r="H136" s="7" t="inlineStr"/>
      <c r="I136" s="7" t="inlineStr"/>
      <c r="J136" s="7" t="inlineStr"/>
      <c r="K136" s="7" t="inlineStr"/>
      <c r="L136" s="7" t="inlineStr"/>
      <c r="M136" s="7" t="n"/>
      <c r="N136" s="7" t="inlineStr"/>
      <c r="O136" s="7" t="inlineStr">
        <is>
          <t>yes</t>
        </is>
      </c>
      <c r="P136" s="7" t="inlineStr"/>
      <c r="Q136" s="7" t="inlineStr">
        <is>
          <t>the carbon next to the reacting one is quaternary (CH2–CMe3)</t>
        </is>
      </c>
      <c r="R136" s="7" t="inlineStr">
        <is>
          <t>SN2 essentially blocked (about 10^5 slower than ethyl); SN1 gives rearrangement</t>
        </is>
      </c>
      <c r="S136" s="7" t="inlineStr">
        <is>
          <t>the tert-butyl group shields the backside of the CH2</t>
        </is>
      </c>
      <c r="T136" s="7" t="n"/>
      <c r="U136" s="10" t="n">
        <v>-0.43</v>
      </c>
      <c r="V136" s="7" t="inlineStr">
        <is>
          <t>alkyl substitution -1.31 (n=354; winner had it 8 % vs 42 % at random) · acyl substitution -0.85 (n=973; winner had it 26 % vs 42 % at random) · carbonyl addition -0.81 (n=738; winner had it 31 % vs 44 % at random) · aryl halide -0.69 (n=119; winner had it 19 % vs 44 % at random) · n nucleophile -0.56 (n=65; winner had it 26 % vs 42 % at random) · deprotection -0.52 (n=196; winner had it 22 % vs 42 % at random)</t>
        </is>
      </c>
      <c r="W136" s="7" t="n">
        <v>2855</v>
      </c>
      <c r="X136" s="7" t="n">
        <v>1780</v>
      </c>
      <c r="Y136" s="9" t="n">
        <v>0.2634</v>
      </c>
      <c r="Z136" s="9" t="n">
        <v>0.4278</v>
      </c>
      <c r="AA136" s="7" t="n"/>
      <c r="AB136" s="7" t="n"/>
      <c r="AC136" s="7" t="n"/>
      <c r="AD136" s="7" t="n"/>
      <c r="AE136" s="7" t="inlineStr">
        <is>
          <t>learned from the training patents (tools/int_train.py)</t>
        </is>
      </c>
      <c r="AF136" s="7" t="inlineStr">
        <is>
          <t>Clayden, Organic Chemistry (SN2); Streitwieser relative rates; Taft Es −1.74</t>
        </is>
      </c>
    </row>
    <row r="137">
      <c r="A137" s="7" t="inlineStr">
        <is>
          <t>I136</t>
        </is>
      </c>
      <c r="B137" s="7" t="inlineStr">
        <is>
          <t>sp3-beta-branched</t>
        </is>
      </c>
      <c r="C137" s="7" t="inlineStr">
        <is>
          <t>β-branched carbon (isobutyl-type)</t>
        </is>
      </c>
      <c r="D137" s="7" t="inlineStr">
        <is>
          <t>sp3 carbon: neighbour effect</t>
        </is>
      </c>
      <c r="E137" s="7" t="inlineStr">
        <is>
          <t>hindrance</t>
        </is>
      </c>
      <c r="F137" s="7" t="inlineStr">
        <is>
          <t>sp3 C</t>
        </is>
      </c>
      <c r="G137" s="7" t="inlineStr">
        <is>
          <t>[C;X4;$(C-[C;X4;H1;!900*]([#6])[#6])]</t>
        </is>
      </c>
      <c r="H137" s="7" t="inlineStr"/>
      <c r="I137" s="7" t="inlineStr"/>
      <c r="J137" s="7" t="inlineStr"/>
      <c r="K137" s="7" t="inlineStr"/>
      <c r="L137" s="7" t="inlineStr"/>
      <c r="M137" s="7" t="n"/>
      <c r="N137" s="7" t="inlineStr"/>
      <c r="O137" s="7" t="inlineStr">
        <is>
          <t>yes</t>
        </is>
      </c>
      <c r="P137" s="7" t="inlineStr"/>
      <c r="Q137" s="7" t="inlineStr">
        <is>
          <t>the carbon next to the reacting one carries two further carbons (CH2–CHR2)</t>
        </is>
      </c>
      <c r="R137" s="7" t="inlineStr">
        <is>
          <t>SN2 about 30-fold slower than for an unbranched chain; E2 gets competitive</t>
        </is>
      </c>
      <c r="S137" s="7" t="inlineStr">
        <is>
          <t>the branch crowds the approach of the nucleophile</t>
        </is>
      </c>
      <c r="T137" s="7" t="n"/>
      <c r="U137" s="10" t="n">
        <v>0.25</v>
      </c>
      <c r="V137" s="7" t="inlineStr">
        <is>
          <t>o nucleophile +0.89 (n=189; winner had it 66 % vs 48 % at random) · carbonyl addition -0.13 (n=824; winner had it 47 % vs 45 % at random) · aryl halide -0.04 (n=145; winner had it 54 % vs 48 % at random)</t>
        </is>
      </c>
      <c r="W137" s="7" t="n">
        <v>2608</v>
      </c>
      <c r="X137" s="7" t="n">
        <v>1659</v>
      </c>
      <c r="Y137" s="9" t="n">
        <v>0.4831</v>
      </c>
      <c r="Z137" s="9" t="n">
        <v>0.4447</v>
      </c>
      <c r="AA137" s="7" t="n"/>
      <c r="AB137" s="7" t="n"/>
      <c r="AC137" s="7" t="n"/>
      <c r="AD137" s="7" t="n"/>
      <c r="AE137" s="7" t="inlineStr">
        <is>
          <t>learned from the training patents (tools/int_train.py)</t>
        </is>
      </c>
      <c r="AF137" s="7" t="inlineStr">
        <is>
          <t>Clayden, Organic Chemistry (SN2); Streitwieser relative rates; Taft Es −0.93</t>
        </is>
      </c>
    </row>
    <row r="138">
      <c r="A138" s="7" t="inlineStr">
        <is>
          <t>I137</t>
        </is>
      </c>
      <c r="B138" s="7" t="inlineStr">
        <is>
          <t>sp3-beta-opened</t>
        </is>
      </c>
      <c r="C138" s="7" t="inlineStr">
        <is>
          <t>carbon next to a carbon that now bears the O, N or S the reaction released from it (ring opening)</t>
        </is>
      </c>
      <c r="D138" s="7" t="inlineStr">
        <is>
          <t>sp3 carbon: neighbour effect</t>
        </is>
      </c>
      <c r="E138" s="7" t="inlineStr">
        <is>
          <t>electronic</t>
        </is>
      </c>
      <c r="F138" s="7" t="inlineStr">
        <is>
          <t>sp3 C</t>
        </is>
      </c>
      <c r="G138" s="7" t="inlineStr">
        <is>
          <t>[C;X4;$(C-[CX4;!900*]-[900O,900N,900S]);!$(C1-[CX4;!900*]-[900O,900N,900S]-1)]</t>
        </is>
      </c>
      <c r="H138" s="7" t="inlineStr"/>
      <c r="I138" s="7" t="inlineStr"/>
      <c r="J138" s="7" t="inlineStr"/>
      <c r="K138" s="7" t="inlineStr"/>
      <c r="L138" s="7" t="inlineStr"/>
      <c r="M138" s="7" t="n"/>
      <c r="N138" s="7" t="inlineStr"/>
      <c r="O138" s="7" t="inlineStr">
        <is>
          <t>yes</t>
        </is>
      </c>
      <c r="P138" s="7" t="inlineStr"/>
      <c r="Q138" s="7" t="inlineStr">
        <is>
          <t>the neighbouring carbon keeps a heteroatom whose bond to the reacting carbon was broken (epoxide, aziridine, cyclic sulfate opened at this carbon; a three-membered ring closed onto this carbon does not count)</t>
        </is>
      </c>
      <c r="R138" s="7" t="inlineStr">
        <is>
          <t>regioselectivity of ring opening: nucleophiles attack the less hindered carbon of an epoxide under basic or neutral conditions (SN2), the more substituted carbon under acid; the β-hydroxy / β-amino group left behind can chelate</t>
        </is>
      </c>
      <c r="S138" s="7" t="inlineStr">
        <is>
          <t>the strained ring is opened at the carbon the pattern marks</t>
        </is>
      </c>
      <c r="T138" s="7" t="n"/>
      <c r="U138" s="10" t="n">
        <v>-0.15</v>
      </c>
      <c r="V138" s="7" t="inlineStr">
        <is>
          <t>acyl substitution -0.67 (n=52; winner had it 0 % vs 50 % at random)</t>
        </is>
      </c>
      <c r="W138" s="7" t="n">
        <v>88</v>
      </c>
      <c r="X138" s="7" t="n">
        <v>73</v>
      </c>
      <c r="Y138" s="9" t="n">
        <v>0.1023</v>
      </c>
      <c r="Z138" s="9" t="n">
        <v>0.5114</v>
      </c>
      <c r="AA138" s="7" t="n"/>
      <c r="AB138" s="7" t="n"/>
      <c r="AC138" s="7" t="n"/>
      <c r="AD138" s="7" t="n"/>
      <c r="AE138" s="7" t="inlineStr">
        <is>
          <t>learned from the training patents (tools/int_train.py)</t>
        </is>
      </c>
      <c r="AF138" s="7" t="inlineStr">
        <is>
          <t>Clayden, Organic Chemistry (epoxide opening)</t>
        </is>
      </c>
    </row>
    <row r="139">
      <c r="A139" s="7" t="inlineStr">
        <is>
          <t>I138</t>
        </is>
      </c>
      <c r="B139" s="7" t="inlineStr">
        <is>
          <t>sp3-ring3</t>
        </is>
      </c>
      <c r="C139" s="7" t="inlineStr">
        <is>
          <t>carbon in a three-membered ring (epoxide, aziridine, cyclopropane)</t>
        </is>
      </c>
      <c r="D139" s="7" t="inlineStr">
        <is>
          <t>sp3 carbon: ring</t>
        </is>
      </c>
      <c r="E139" s="7" t="inlineStr">
        <is>
          <t>geometry</t>
        </is>
      </c>
      <c r="F139" s="7" t="inlineStr">
        <is>
          <t>sp3 C</t>
        </is>
      </c>
      <c r="G139" s="7" t="inlineStr">
        <is>
          <t>[C;X4;r3]</t>
        </is>
      </c>
      <c r="H139" s="7" t="inlineStr"/>
      <c r="I139" s="7" t="inlineStr"/>
      <c r="J139" s="7" t="inlineStr"/>
      <c r="K139" s="7" t="inlineStr"/>
      <c r="L139" s="7" t="inlineStr"/>
      <c r="M139" s="7" t="n"/>
      <c r="N139" s="7" t="inlineStr"/>
      <c r="O139" s="7" t="inlineStr">
        <is>
          <t>yes</t>
        </is>
      </c>
      <c r="P139" s="7" t="inlineStr"/>
      <c r="Q139" s="7" t="inlineStr">
        <is>
          <t>the reacting carbon is in a ring of 3 atoms in the product</t>
        </is>
      </c>
      <c r="R139" s="7" t="inlineStr">
        <is>
          <t>a strained ring was formed or kept at this carbon: three-membered rings form by intramolecular SN2 (halohydrin to epoxide), carbene or peracid addition, and open easily with nucleophiles or acid</t>
        </is>
      </c>
      <c r="S139" s="7" t="inlineStr">
        <is>
          <t>ring size sets strain and the geometry of the attack</t>
        </is>
      </c>
      <c r="T139" s="7" t="n"/>
      <c r="U139" s="10" t="n">
        <v>-0.97</v>
      </c>
      <c r="V139" s="7" t="inlineStr">
        <is>
          <t>alkyl substitution -1.10 (n=36; winner had it 0 % vs 32 % at random) · acyl substitution -1.06 (n=49; winner had it 2 % vs 39 % at random) · carbonyl addition -0.77 (n=37; winner had it 8 % vs 35 % at random)</t>
        </is>
      </c>
      <c r="W139" s="7" t="n">
        <v>181</v>
      </c>
      <c r="X139" s="7" t="n">
        <v>135</v>
      </c>
      <c r="Y139" s="9" t="n">
        <v>0.0221</v>
      </c>
      <c r="Z139" s="9" t="n">
        <v>0.3458</v>
      </c>
      <c r="AA139" s="7" t="n"/>
      <c r="AB139" s="7" t="n"/>
      <c r="AC139" s="7" t="n"/>
      <c r="AD139" s="7" t="n"/>
      <c r="AE139" s="7" t="inlineStr">
        <is>
          <t>learned from the training patents (tools/int_train.py)</t>
        </is>
      </c>
      <c r="AF139" s="7" t="inlineStr">
        <is>
          <t>Clayden, Organic Chemistry (ring strain)</t>
        </is>
      </c>
    </row>
    <row r="140">
      <c r="A140" s="7" t="inlineStr">
        <is>
          <t>I139</t>
        </is>
      </c>
      <c r="B140" s="7" t="inlineStr">
        <is>
          <t>sp3-ring4</t>
        </is>
      </c>
      <c r="C140" s="7" t="inlineStr">
        <is>
          <t>carbon in a four-membered ring (oxetane, azetidine, cyclobutane)</t>
        </is>
      </c>
      <c r="D140" s="7" t="inlineStr">
        <is>
          <t>sp3 carbon: ring</t>
        </is>
      </c>
      <c r="E140" s="7" t="inlineStr">
        <is>
          <t>geometry</t>
        </is>
      </c>
      <c r="F140" s="7" t="inlineStr">
        <is>
          <t>sp3 C</t>
        </is>
      </c>
      <c r="G140" s="7" t="inlineStr">
        <is>
          <t>[C;X4;r4]</t>
        </is>
      </c>
      <c r="H140" s="7" t="inlineStr"/>
      <c r="I140" s="7" t="inlineStr"/>
      <c r="J140" s="7" t="inlineStr"/>
      <c r="K140" s="7" t="inlineStr"/>
      <c r="L140" s="7" t="inlineStr"/>
      <c r="M140" s="7" t="n"/>
      <c r="N140" s="7" t="inlineStr"/>
      <c r="O140" s="7" t="inlineStr">
        <is>
          <t>yes</t>
        </is>
      </c>
      <c r="P140" s="7" t="inlineStr"/>
      <c r="Q140" s="7" t="inlineStr">
        <is>
          <t>the reacting carbon is in a ring of 4 atoms in the product</t>
        </is>
      </c>
      <c r="R140" s="7" t="inlineStr">
        <is>
          <t>a strained ring was formed or kept at this carbon; four-membered rings form slowly and open easily under acid</t>
        </is>
      </c>
      <c r="S140" s="7" t="inlineStr">
        <is>
          <t>ring size sets strain and the geometry of the attack</t>
        </is>
      </c>
      <c r="T140" s="7" t="n"/>
      <c r="U140" s="10" t="n">
        <v>-0.06</v>
      </c>
      <c r="V140" s="7" t="inlineStr"/>
      <c r="W140" s="7" t="n">
        <v>221</v>
      </c>
      <c r="X140" s="7" t="n">
        <v>137</v>
      </c>
      <c r="Y140" s="9" t="n">
        <v>0.457</v>
      </c>
      <c r="Z140" s="9" t="n">
        <v>0.43</v>
      </c>
      <c r="AA140" s="7" t="n"/>
      <c r="AB140" s="7" t="n"/>
      <c r="AC140" s="7" t="n"/>
      <c r="AD140" s="7" t="n"/>
      <c r="AE140" s="7" t="inlineStr">
        <is>
          <t>learned from the training patents (tools/int_train.py)</t>
        </is>
      </c>
      <c r="AF140" s="7" t="inlineStr">
        <is>
          <t>Clayden, Organic Chemistry (ring strain)</t>
        </is>
      </c>
    </row>
    <row r="141">
      <c r="A141" s="7" t="inlineStr">
        <is>
          <t>I140</t>
        </is>
      </c>
      <c r="B141" s="7" t="inlineStr">
        <is>
          <t>sp3-ring5</t>
        </is>
      </c>
      <c r="C141" s="7" t="inlineStr">
        <is>
          <t>carbon in a five-membered ring</t>
        </is>
      </c>
      <c r="D141" s="7" t="inlineStr">
        <is>
          <t>sp3 carbon: ring</t>
        </is>
      </c>
      <c r="E141" s="7" t="inlineStr">
        <is>
          <t>geometry</t>
        </is>
      </c>
      <c r="F141" s="7" t="inlineStr">
        <is>
          <t>sp3 C</t>
        </is>
      </c>
      <c r="G141" s="7" t="inlineStr">
        <is>
          <t>[C;X4;r5]</t>
        </is>
      </c>
      <c r="H141" s="7" t="inlineStr"/>
      <c r="I141" s="7" t="inlineStr"/>
      <c r="J141" s="7" t="inlineStr"/>
      <c r="K141" s="7" t="inlineStr"/>
      <c r="L141" s="7" t="inlineStr"/>
      <c r="M141" s="7" t="n"/>
      <c r="N141" s="7" t="inlineStr"/>
      <c r="O141" s="7" t="inlineStr">
        <is>
          <t>yes</t>
        </is>
      </c>
      <c r="P141" s="7" t="inlineStr"/>
      <c r="Q141" s="7" t="inlineStr">
        <is>
          <t>the reacting carbon is in a ring of 5 atoms in the product</t>
        </is>
      </c>
      <c r="R141" s="7" t="inlineStr">
        <is>
          <t>a five-membered ring carbon: five-membered rings close easily (5-exo); SN2 at cyclopentyl is not slowed by ring strain the way it is at cyclohexyl</t>
        </is>
      </c>
      <c r="S141" s="7" t="inlineStr">
        <is>
          <t>ring size sets strain and the geometry of the attack</t>
        </is>
      </c>
      <c r="T141" s="7" t="n"/>
      <c r="U141" s="10" t="n">
        <v>0.77</v>
      </c>
      <c r="V141" s="7" t="inlineStr">
        <is>
          <t>o nucleophile +1.24 (n=109; winner had it 74 % vs 47 % at random) · arene ch +1.22 (n=27; winner had it 56 % vs 42 % at random) · deprotection +1.04 (n=164; winner had it 62 % vs 44 % at random) · carbonyl addition +0.94 (n=880; winner had it 50 % vs 49 % at random) · other +0.83 (n=160; winner had it 51 % vs 41 % at random) · aryl halide +0.78 (n=116; winner had it 65 % vs 53 % at random)</t>
        </is>
      </c>
      <c r="W141" s="7" t="n">
        <v>2297</v>
      </c>
      <c r="X141" s="7" t="n">
        <v>1336</v>
      </c>
      <c r="Y141" s="9" t="n">
        <v>0.5451</v>
      </c>
      <c r="Z141" s="9" t="n">
        <v>0.4665</v>
      </c>
      <c r="AA141" s="7" t="n"/>
      <c r="AB141" s="7" t="n"/>
      <c r="AC141" s="7" t="n"/>
      <c r="AD141" s="7" t="n"/>
      <c r="AE141" s="7" t="inlineStr">
        <is>
          <t>learned from the training patents (tools/int_train.py)</t>
        </is>
      </c>
      <c r="AF141" s="7" t="inlineStr">
        <is>
          <t>Clayden, Organic Chemistry (ring strain)</t>
        </is>
      </c>
    </row>
    <row r="142">
      <c r="A142" s="7" t="inlineStr">
        <is>
          <t>I141</t>
        </is>
      </c>
      <c r="B142" s="7" t="inlineStr">
        <is>
          <t>sp3-ring6</t>
        </is>
      </c>
      <c r="C142" s="7" t="inlineStr">
        <is>
          <t>carbon in a six-membered ring</t>
        </is>
      </c>
      <c r="D142" s="7" t="inlineStr">
        <is>
          <t>sp3 carbon: ring</t>
        </is>
      </c>
      <c r="E142" s="7" t="inlineStr">
        <is>
          <t>geometry</t>
        </is>
      </c>
      <c r="F142" s="7" t="inlineStr">
        <is>
          <t>sp3 C</t>
        </is>
      </c>
      <c r="G142" s="7" t="inlineStr">
        <is>
          <t>[C;X4;r6]</t>
        </is>
      </c>
      <c r="H142" s="7" t="inlineStr"/>
      <c r="I142" s="7" t="inlineStr"/>
      <c r="J142" s="7" t="inlineStr"/>
      <c r="K142" s="7" t="inlineStr"/>
      <c r="L142" s="7" t="inlineStr"/>
      <c r="M142" s="7" t="n"/>
      <c r="N142" s="7" t="inlineStr"/>
      <c r="O142" s="7" t="inlineStr">
        <is>
          <t>yes</t>
        </is>
      </c>
      <c r="P142" s="7" t="inlineStr"/>
      <c r="Q142" s="7" t="inlineStr">
        <is>
          <t>the reacting carbon is in a ring of 6 atoms in the product</t>
        </is>
      </c>
      <c r="R142" s="7" t="inlineStr">
        <is>
          <t>a six-membered ring carbon: SN2 at cyclohexyl is much slower than at cyclopentyl or at an open-chain secondary carbon; axial or equatorial position decides E2 (anti-periplanar H) and the face of attack</t>
        </is>
      </c>
      <c r="S142" s="7" t="inlineStr">
        <is>
          <t>ring size sets strain and the geometry of the attack</t>
        </is>
      </c>
      <c r="T142" s="7" t="n"/>
      <c r="U142" s="10" t="n">
        <v>0.77</v>
      </c>
      <c r="V142" s="7" t="inlineStr">
        <is>
          <t>acyl substitution +1.50 (n=554; winner had it 81 % vs 55 % at random) · o nucleophile +1.15 (n=196; winner had it 77 % vs 51 % at random) · aryl halide +1.12 (n=252; winner had it 75 % vs 54 % at random) · deprotection +0.99 (n=285; winner had it 58 % vs 51 % at random) · n nucleophile +0.88 (n=77; winner had it 70 % vs 52 % at random) · carbonyl addition +0.85 (n=2194; winner had it 73 % vs 53 % at random)</t>
        </is>
      </c>
      <c r="W142" s="7" t="n">
        <v>4239</v>
      </c>
      <c r="X142" s="7" t="n">
        <v>2290</v>
      </c>
      <c r="Y142" s="9" t="n">
        <v>0.7028</v>
      </c>
      <c r="Z142" s="9" t="n">
        <v>0.5252</v>
      </c>
      <c r="AA142" s="7" t="n"/>
      <c r="AB142" s="7" t="n"/>
      <c r="AC142" s="7" t="n"/>
      <c r="AD142" s="7" t="n"/>
      <c r="AE142" s="7" t="inlineStr">
        <is>
          <t>learned from the training patents (tools/int_train.py)</t>
        </is>
      </c>
      <c r="AF142" s="7" t="inlineStr">
        <is>
          <t>Clayden, Organic Chemistry (ring strain)</t>
        </is>
      </c>
    </row>
    <row r="143">
      <c r="A143" s="7" t="inlineStr">
        <is>
          <t>I142</t>
        </is>
      </c>
      <c r="B143" s="7" t="inlineStr">
        <is>
          <t>sp3-methyl-at-O</t>
        </is>
      </c>
      <c r="C143" s="7" t="inlineStr">
        <is>
          <t>methyl carbon that now carries an oxygen</t>
        </is>
      </c>
      <c r="D143" s="7" t="inlineStr">
        <is>
          <t>sp3 carbon: where the new group went</t>
        </is>
      </c>
      <c r="E143" s="7" t="inlineStr">
        <is>
          <t>steric</t>
        </is>
      </c>
      <c r="F143" s="7" t="inlineStr">
        <is>
          <t>sp3 C</t>
        </is>
      </c>
      <c r="G143" s="7" t="inlineStr">
        <is>
          <t>[C;X4;!$(C-[#6]);$(C-[900O])]</t>
        </is>
      </c>
      <c r="H143" s="7" t="inlineStr"/>
      <c r="I143" s="7" t="inlineStr"/>
      <c r="J143" s="7" t="inlineStr"/>
      <c r="K143" s="7" t="inlineStr"/>
      <c r="L143" s="7" t="inlineStr"/>
      <c r="M143" s="7" t="n"/>
      <c r="N143" s="7" t="inlineStr"/>
      <c r="O143" s="7" t="inlineStr">
        <is>
          <t>yes</t>
        </is>
      </c>
      <c r="P143" s="7" t="inlineStr"/>
      <c r="Q143" s="7" t="inlineStr">
        <is>
          <t>the reacting carbon (no carbon substituent) is bonded to an oxygen the reaction put there</t>
        </is>
      </c>
      <c r="R14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3" s="7" t="inlineStr">
        <is>
          <t>the two ends of the old double bond (or ring) differ in how well they carry positive charge or how open they are to attack</t>
        </is>
      </c>
      <c r="T143" s="7" t="n"/>
      <c r="U143" s="10" t="n">
        <v>-1.54</v>
      </c>
      <c r="V143" s="7" t="inlineStr">
        <is>
          <t>acyl substitution -2.49 (n=1090; winner had it 1 % vs 50 % at random) · aryl halide -1.80 (n=42; winner had it 0 % vs 47 % at random) · carbonyl addition -1.77 (n=407; winner had it 0 % vs 44 % at random) · o nucleophile -1.76 (n=66; winner had it 5 % vs 48 % at random) · deprotection -1.49 (n=28; winner had it 11 % vs 50 % at random) · alkyl substitution -1.16 (n=26; winner had it 27 % vs 47 % at random)</t>
        </is>
      </c>
      <c r="W143" s="7" t="n">
        <v>1674</v>
      </c>
      <c r="X143" s="7" t="n">
        <v>1142</v>
      </c>
      <c r="Y143" s="9" t="n">
        <v>0.0125</v>
      </c>
      <c r="Z143" s="9" t="n">
        <v>0.4807</v>
      </c>
      <c r="AA143" s="7" t="n"/>
      <c r="AB143" s="7" t="n"/>
      <c r="AC143" s="7" t="n"/>
      <c r="AD143" s="7" t="n"/>
      <c r="AE143" s="7" t="inlineStr">
        <is>
          <t>learned from the training patents (tools/int_train.py)</t>
        </is>
      </c>
      <c r="AF143" s="7" t="inlineStr">
        <is>
          <t>Clayden, Organic Chemistry (alkene additions, epoxide opening)</t>
        </is>
      </c>
    </row>
    <row r="144">
      <c r="A144" s="7" t="inlineStr">
        <is>
          <t>I143</t>
        </is>
      </c>
      <c r="B144" s="7" t="inlineStr">
        <is>
          <t>sp3-methyl-at-N</t>
        </is>
      </c>
      <c r="C144" s="7" t="inlineStr">
        <is>
          <t>methyl carbon that now carries a nitrogen</t>
        </is>
      </c>
      <c r="D144" s="7" t="inlineStr">
        <is>
          <t>sp3 carbon: where the new group went</t>
        </is>
      </c>
      <c r="E144" s="7" t="inlineStr">
        <is>
          <t>steric</t>
        </is>
      </c>
      <c r="F144" s="7" t="inlineStr">
        <is>
          <t>sp3 C</t>
        </is>
      </c>
      <c r="G144" s="7" t="inlineStr">
        <is>
          <t>[C;X4;!$(C-[#6]);$(C-[900N])]</t>
        </is>
      </c>
      <c r="H144" s="7" t="inlineStr"/>
      <c r="I144" s="7" t="inlineStr"/>
      <c r="J144" s="7" t="inlineStr"/>
      <c r="K144" s="7" t="inlineStr"/>
      <c r="L144" s="7" t="inlineStr"/>
      <c r="M144" s="7" t="n"/>
      <c r="N144" s="7" t="inlineStr"/>
      <c r="O144" s="7" t="inlineStr">
        <is>
          <t>yes</t>
        </is>
      </c>
      <c r="P144" s="7" t="inlineStr"/>
      <c r="Q144" s="7" t="inlineStr">
        <is>
          <t>the reacting carbon (no carbon substituent) is bonded to a nitrogen the reaction put there</t>
        </is>
      </c>
      <c r="R14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4" s="7" t="inlineStr">
        <is>
          <t>the two ends of the old double bond (or ring) differ in how well they carry positive charge or how open they are to attack</t>
        </is>
      </c>
      <c r="T144" s="7" t="n"/>
      <c r="U144" s="10" t="n">
        <v>-1.52</v>
      </c>
      <c r="V144" s="7" t="inlineStr">
        <is>
          <t>carbonyl addition -2.07 (n=601; winner had it 0 % vs 48 % at random) · n nucleophile -1.85 (n=34; winner had it 6 % vs 48 % at random) · acyl substitution -1.27 (n=39; winner had it 5 % vs 52 % at random)</t>
        </is>
      </c>
      <c r="W144" s="7" t="n">
        <v>718</v>
      </c>
      <c r="X144" s="7" t="n">
        <v>423</v>
      </c>
      <c r="Y144" s="9" t="n">
        <v>0.008399999999999999</v>
      </c>
      <c r="Z144" s="9" t="n">
        <v>0.4814</v>
      </c>
      <c r="AA144" s="7" t="n"/>
      <c r="AB144" s="7" t="n"/>
      <c r="AC144" s="7" t="n"/>
      <c r="AD144" s="7" t="n"/>
      <c r="AE144" s="7" t="inlineStr">
        <is>
          <t>learned from the training patents (tools/int_train.py)</t>
        </is>
      </c>
      <c r="AF144" s="7" t="inlineStr">
        <is>
          <t>Clayden, Organic Chemistry (alkene additions, epoxide opening)</t>
        </is>
      </c>
    </row>
    <row r="145">
      <c r="A145" s="7" t="inlineStr">
        <is>
          <t>I144</t>
        </is>
      </c>
      <c r="B145" s="7" t="inlineStr">
        <is>
          <t>sp3-methyl-at-S</t>
        </is>
      </c>
      <c r="C145" s="7" t="inlineStr">
        <is>
          <t>methyl carbon that now carries a sulfur</t>
        </is>
      </c>
      <c r="D145" s="7" t="inlineStr">
        <is>
          <t>sp3 carbon: where the new group went</t>
        </is>
      </c>
      <c r="E145" s="7" t="inlineStr">
        <is>
          <t>steric</t>
        </is>
      </c>
      <c r="F145" s="7" t="inlineStr">
        <is>
          <t>sp3 C</t>
        </is>
      </c>
      <c r="G145" s="7" t="inlineStr">
        <is>
          <t>[C;X4;!$(C-[#6]);$(C-[900S])]</t>
        </is>
      </c>
      <c r="H145" s="7" t="inlineStr"/>
      <c r="I145" s="7" t="inlineStr"/>
      <c r="J145" s="7" t="inlineStr"/>
      <c r="K145" s="7" t="inlineStr"/>
      <c r="L145" s="7" t="inlineStr"/>
      <c r="M145" s="7" t="n"/>
      <c r="N145" s="7" t="inlineStr"/>
      <c r="O145" s="7" t="inlineStr">
        <is>
          <t>yes</t>
        </is>
      </c>
      <c r="P145" s="7" t="inlineStr"/>
      <c r="Q145" s="7" t="inlineStr">
        <is>
          <t>the reacting carbon (no carbon substituent) is bonded to a sulfur the reaction put there</t>
        </is>
      </c>
      <c r="R14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5" s="7" t="inlineStr">
        <is>
          <t>the two ends of the old double bond (or ring) differ in how well they carry positive charge or how open they are to attack</t>
        </is>
      </c>
      <c r="T145" s="7" t="n"/>
      <c r="U145" s="10" t="n">
        <v>0.18</v>
      </c>
      <c r="V145" s="7" t="inlineStr"/>
      <c r="W145" s="7" t="n">
        <v>34</v>
      </c>
      <c r="X145" s="7" t="n">
        <v>22</v>
      </c>
      <c r="Y145" s="9" t="n">
        <v>0.3235</v>
      </c>
      <c r="Z145" s="9" t="n">
        <v>0.4672</v>
      </c>
      <c r="AA145" s="7" t="n"/>
      <c r="AB145" s="7" t="n"/>
      <c r="AC145" s="7" t="n"/>
      <c r="AD145" s="7" t="n"/>
      <c r="AE145" s="7" t="inlineStr">
        <is>
          <t>learned from the training patents (tools/int_train.py)</t>
        </is>
      </c>
      <c r="AF145" s="7" t="inlineStr">
        <is>
          <t>Clayden, Organic Chemistry (alkene additions, epoxide opening)</t>
        </is>
      </c>
    </row>
    <row r="146">
      <c r="A146" s="7" t="inlineStr">
        <is>
          <t>I145</t>
        </is>
      </c>
      <c r="B146" s="7" t="inlineStr">
        <is>
          <t>sp3-methyl-at-X</t>
        </is>
      </c>
      <c r="C146" s="7" t="inlineStr">
        <is>
          <t>methyl carbon that now carries a halogen</t>
        </is>
      </c>
      <c r="D146" s="7" t="inlineStr">
        <is>
          <t>sp3 carbon: where the new group went</t>
        </is>
      </c>
      <c r="E146" s="7" t="inlineStr">
        <is>
          <t>steric</t>
        </is>
      </c>
      <c r="F146" s="7" t="inlineStr">
        <is>
          <t>sp3 C</t>
        </is>
      </c>
      <c r="G146" s="7" t="inlineStr">
        <is>
          <t>[C;X4;!$(C-[#6]);$(C-[900F,900Cl,900Br,900I])]</t>
        </is>
      </c>
      <c r="H146" s="7" t="inlineStr"/>
      <c r="I146" s="7" t="inlineStr"/>
      <c r="J146" s="7" t="inlineStr"/>
      <c r="K146" s="7" t="inlineStr"/>
      <c r="L146" s="7" t="inlineStr"/>
      <c r="M146" s="7" t="n"/>
      <c r="N146" s="7" t="inlineStr"/>
      <c r="O146" s="7" t="inlineStr">
        <is>
          <t>yes</t>
        </is>
      </c>
      <c r="P146" s="7" t="inlineStr"/>
      <c r="Q146" s="7" t="inlineStr">
        <is>
          <t>the reacting carbon (no carbon substituent) is bonded to a halogen the reaction put there</t>
        </is>
      </c>
      <c r="R14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6" s="7" t="inlineStr">
        <is>
          <t>the two ends of the old double bond (or ring) differ in how well they carry positive charge or how open they are to attack</t>
        </is>
      </c>
      <c r="T146" s="7" t="n"/>
      <c r="U146" s="10" t="n">
        <v>-1.26</v>
      </c>
      <c r="V146" s="7" t="inlineStr">
        <is>
          <t>other -2.10 (n=45; winner had it 4 % vs 50 % at random) · alkyl substitution -1.66 (n=32; winner had it 9 % vs 50 % at random) · deprotection -1.35 (n=39; winner had it 5 % vs 55 % at random) · carbonyl addition -1.32 (n=118; winner had it 0 % vs 47 % at random) · acyl substitution -1.29 (n=589; winner had it 1 % vs 49 % at random) · o nucleophile -1.07 (n=27; winner had it 19 % vs 52 % at random)</t>
        </is>
      </c>
      <c r="W146" s="7" t="n">
        <v>858</v>
      </c>
      <c r="X146" s="7" t="n">
        <v>655</v>
      </c>
      <c r="Y146" s="9" t="n">
        <v>0.0198</v>
      </c>
      <c r="Z146" s="9" t="n">
        <v>0.4886</v>
      </c>
      <c r="AA146" s="7" t="n"/>
      <c r="AB146" s="7" t="n"/>
      <c r="AC146" s="7" t="n"/>
      <c r="AD146" s="7" t="n"/>
      <c r="AE146" s="7" t="inlineStr">
        <is>
          <t>learned from the training patents (tools/int_train.py)</t>
        </is>
      </c>
      <c r="AF146" s="7" t="inlineStr">
        <is>
          <t>Clayden, Organic Chemistry (alkene additions, epoxide opening)</t>
        </is>
      </c>
    </row>
    <row r="147">
      <c r="A147" s="7" t="inlineStr">
        <is>
          <t>I146</t>
        </is>
      </c>
      <c r="B147" s="7" t="inlineStr">
        <is>
          <t>sp3-methyl-at-M</t>
        </is>
      </c>
      <c r="C147" s="7" t="inlineStr">
        <is>
          <t>methyl carbon that now carries a boron, silicon or phosphorus</t>
        </is>
      </c>
      <c r="D147" s="7" t="inlineStr">
        <is>
          <t>sp3 carbon: where the new group went</t>
        </is>
      </c>
      <c r="E147" s="7" t="inlineStr">
        <is>
          <t>steric</t>
        </is>
      </c>
      <c r="F147" s="7" t="inlineStr">
        <is>
          <t>sp3 C</t>
        </is>
      </c>
      <c r="G147" s="7" t="inlineStr">
        <is>
          <t>[C;X4;!$(C-[#6]);$(C-[900B,900Si,900P])]</t>
        </is>
      </c>
      <c r="H147" s="7" t="inlineStr"/>
      <c r="I147" s="7" t="inlineStr"/>
      <c r="J147" s="7" t="inlineStr"/>
      <c r="K147" s="7" t="inlineStr"/>
      <c r="L147" s="7" t="inlineStr"/>
      <c r="M147" s="7" t="n"/>
      <c r="N147" s="7" t="inlineStr"/>
      <c r="O147" s="7" t="inlineStr">
        <is>
          <t>yes</t>
        </is>
      </c>
      <c r="P147" s="7" t="inlineStr"/>
      <c r="Q147" s="7" t="inlineStr">
        <is>
          <t>the reacting carbon (no carbon substituent) is bonded to a boron, silicon or phosphorus the reaction put there</t>
        </is>
      </c>
      <c r="R14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7" s="7" t="inlineStr">
        <is>
          <t>the two ends of the old double bond (or ring) differ in how well they carry positive charge or how open they are to attack</t>
        </is>
      </c>
      <c r="T147" s="7" t="n"/>
      <c r="U147" s="10" t="n">
        <v>0.38</v>
      </c>
      <c r="V147" s="7" t="inlineStr"/>
      <c r="W147" s="7" t="n">
        <v>16</v>
      </c>
      <c r="X147" s="7" t="n">
        <v>16</v>
      </c>
      <c r="Y147" s="9" t="n">
        <v>0.625</v>
      </c>
      <c r="Z147" s="9" t="n">
        <v>0.4531</v>
      </c>
      <c r="AA147" s="7" t="n"/>
      <c r="AB147" s="7" t="n"/>
      <c r="AC147" s="7" t="n"/>
      <c r="AD147" s="7" t="n"/>
      <c r="AE147" s="7" t="inlineStr">
        <is>
          <t>too few contests in the recorded reactions to learn a weight (the weight is shrunk to about zero): the textbook effect is advisory</t>
        </is>
      </c>
      <c r="AF147" s="7" t="inlineStr">
        <is>
          <t>Clayden, Organic Chemistry (alkene additions, epoxide opening)</t>
        </is>
      </c>
    </row>
    <row r="148">
      <c r="A148" s="7" t="inlineStr">
        <is>
          <t>I147</t>
        </is>
      </c>
      <c r="B148" s="7" t="inlineStr">
        <is>
          <t>sp3-methyl-at-C</t>
        </is>
      </c>
      <c r="C148" s="7" t="inlineStr">
        <is>
          <t>methyl carbon that now carries a carbon</t>
        </is>
      </c>
      <c r="D148" s="7" t="inlineStr">
        <is>
          <t>sp3 carbon: where the new group went</t>
        </is>
      </c>
      <c r="E148" s="7" t="inlineStr">
        <is>
          <t>steric</t>
        </is>
      </c>
      <c r="F148" s="7" t="inlineStr">
        <is>
          <t>sp3 C</t>
        </is>
      </c>
      <c r="G148" s="7" t="inlineStr">
        <is>
          <t>[C;X4;!$(C-[#6;!900*]);$(C-[900C,900c])]</t>
        </is>
      </c>
      <c r="H148" s="7" t="inlineStr"/>
      <c r="I148" s="7" t="inlineStr"/>
      <c r="J148" s="7" t="inlineStr"/>
      <c r="K148" s="7" t="inlineStr"/>
      <c r="L148" s="7" t="inlineStr"/>
      <c r="M148" s="7" t="n"/>
      <c r="N148" s="7" t="inlineStr"/>
      <c r="O148" s="7" t="inlineStr">
        <is>
          <t>yes</t>
        </is>
      </c>
      <c r="P148" s="7" t="inlineStr"/>
      <c r="Q148" s="7" t="inlineStr">
        <is>
          <t>the reacting carbon (no carbon substituent besides the new bond) is bonded to a carbon the reaction put there</t>
        </is>
      </c>
      <c r="R14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8" s="7" t="inlineStr">
        <is>
          <t>the two ends of the old double bond (or ring) differ in how well they carry positive charge or how open they are to attack</t>
        </is>
      </c>
      <c r="T148" s="7" t="n"/>
      <c r="U148" s="10" t="n">
        <v>0.22</v>
      </c>
      <c r="V148" s="7" t="inlineStr">
        <is>
          <t>acyl substitution +1.30 (n=742; winner had it 33 % vs 47 % at random) · deprotection -0.67 (n=145; winner had it 28 % vs 44 % at random) · other -0.62 (n=31; winner had it 29 % vs 40 % at random)</t>
        </is>
      </c>
      <c r="W148" s="7" t="n">
        <v>2385</v>
      </c>
      <c r="X148" s="7" t="n">
        <v>1435</v>
      </c>
      <c r="Y148" s="9" t="n">
        <v>0.2231</v>
      </c>
      <c r="Z148" s="9" t="n">
        <v>0.4197</v>
      </c>
      <c r="AA148" s="7" t="n"/>
      <c r="AB148" s="7" t="n"/>
      <c r="AC148" s="7" t="n"/>
      <c r="AD148" s="7" t="n"/>
      <c r="AE148" s="7" t="inlineStr">
        <is>
          <t>learned from the training patents (tools/int_train.py)</t>
        </is>
      </c>
      <c r="AF148" s="7" t="inlineStr">
        <is>
          <t>Clayden, Organic Chemistry (alkene additions, epoxide opening)</t>
        </is>
      </c>
    </row>
    <row r="149">
      <c r="A149" s="7" t="inlineStr">
        <is>
          <t>I148</t>
        </is>
      </c>
      <c r="B149" s="7" t="inlineStr">
        <is>
          <t>sp3-primary-at-O</t>
        </is>
      </c>
      <c r="C149" s="7" t="inlineStr">
        <is>
          <t>primary carbon that now carries an oxygen</t>
        </is>
      </c>
      <c r="D149" s="7" t="inlineStr">
        <is>
          <t>sp3 carbon: where the new group went</t>
        </is>
      </c>
      <c r="E149" s="7" t="inlineStr">
        <is>
          <t>steric</t>
        </is>
      </c>
      <c r="F149" s="7" t="inlineStr">
        <is>
          <t>sp3 C</t>
        </is>
      </c>
      <c r="G149" s="7" t="inlineStr">
        <is>
          <t>[C;X4;$(C-[#6]);!$(C(-[#6])-[#6]);$(C-[900O])]</t>
        </is>
      </c>
      <c r="H149" s="7" t="inlineStr"/>
      <c r="I149" s="7" t="inlineStr"/>
      <c r="J149" s="7" t="inlineStr"/>
      <c r="K149" s="7" t="inlineStr"/>
      <c r="L149" s="7" t="inlineStr"/>
      <c r="M149" s="7" t="n"/>
      <c r="N149" s="7" t="inlineStr"/>
      <c r="O149" s="7" t="inlineStr">
        <is>
          <t>yes</t>
        </is>
      </c>
      <c r="P149" s="7" t="inlineStr"/>
      <c r="Q149" s="7" t="inlineStr">
        <is>
          <t>the reacting carbon (one carbon substituent) is bonded to an oxygen the reaction put there</t>
        </is>
      </c>
      <c r="R14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9" s="7" t="inlineStr">
        <is>
          <t>the two ends of the old double bond (or ring) differ in how well they carry positive charge or how open they are to attack</t>
        </is>
      </c>
      <c r="T149" s="7" t="n"/>
      <c r="U149" s="10" t="n">
        <v>0.16</v>
      </c>
      <c r="V149" s="7" t="inlineStr">
        <is>
          <t>unsaturated +1.32 (n=124; winner had it 86 % vs 49 % at random) · o nucleophile +0.93 (n=104; winner had it 84 % vs 49 % at random) · aryl halide -0.48 (n=309; winner had it 7 % vs 52 % at random) · alkyl substitution -0.30 (n=91; winner had it 13 % vs 50 % at random)</t>
        </is>
      </c>
      <c r="W149" s="7" t="n">
        <v>3685</v>
      </c>
      <c r="X149" s="7" t="n">
        <v>2396</v>
      </c>
      <c r="Y149" s="9" t="n">
        <v>0.3742</v>
      </c>
      <c r="Z149" s="9" t="n">
        <v>0.4982</v>
      </c>
      <c r="AA149" s="7" t="n"/>
      <c r="AB149" s="7" t="n"/>
      <c r="AC149" s="7" t="n"/>
      <c r="AD149" s="7" t="n"/>
      <c r="AE149" s="7" t="inlineStr">
        <is>
          <t>learned from the training patents (tools/int_train.py)</t>
        </is>
      </c>
      <c r="AF149" s="7" t="inlineStr">
        <is>
          <t>Clayden, Organic Chemistry (alkene additions, epoxide opening)</t>
        </is>
      </c>
    </row>
    <row r="150">
      <c r="A150" s="7" t="inlineStr">
        <is>
          <t>I149</t>
        </is>
      </c>
      <c r="B150" s="7" t="inlineStr">
        <is>
          <t>sp3-primary-at-N</t>
        </is>
      </c>
      <c r="C150" s="7" t="inlineStr">
        <is>
          <t>primary carbon that now carries a nitrogen</t>
        </is>
      </c>
      <c r="D150" s="7" t="inlineStr">
        <is>
          <t>sp3 carbon: where the new group went</t>
        </is>
      </c>
      <c r="E150" s="7" t="inlineStr">
        <is>
          <t>steric</t>
        </is>
      </c>
      <c r="F150" s="7" t="inlineStr">
        <is>
          <t>sp3 C</t>
        </is>
      </c>
      <c r="G150" s="7" t="inlineStr">
        <is>
          <t>[C;X4;$(C-[#6]);!$(C(-[#6])-[#6]);$(C-[900N])]</t>
        </is>
      </c>
      <c r="H150" s="7" t="inlineStr"/>
      <c r="I150" s="7" t="inlineStr"/>
      <c r="J150" s="7" t="inlineStr"/>
      <c r="K150" s="7" t="inlineStr"/>
      <c r="L150" s="7" t="inlineStr"/>
      <c r="M150" s="7" t="n"/>
      <c r="N150" s="7" t="inlineStr"/>
      <c r="O150" s="7" t="inlineStr">
        <is>
          <t>yes</t>
        </is>
      </c>
      <c r="P150" s="7" t="inlineStr"/>
      <c r="Q150" s="7" t="inlineStr">
        <is>
          <t>the reacting carbon (one carbon substituent) is bonded to a nitrogen the reaction put there</t>
        </is>
      </c>
      <c r="R15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0" s="7" t="inlineStr">
        <is>
          <t>the two ends of the old double bond (or ring) differ in how well they carry positive charge or how open they are to attack</t>
        </is>
      </c>
      <c r="T150" s="7" t="n"/>
      <c r="U150" s="10" t="n">
        <v>-0.15</v>
      </c>
      <c r="V150" s="7" t="inlineStr">
        <is>
          <t>carbonyl addition -0.51 (n=860; winner had it 1 % vs 49 % at random) · n nucleophile +0.45 (n=55; winner had it 69 % vs 46 % at random)</t>
        </is>
      </c>
      <c r="W150" s="7" t="n">
        <v>1083</v>
      </c>
      <c r="X150" s="7" t="n">
        <v>589</v>
      </c>
      <c r="Y150" s="9" t="n">
        <v>0.1034</v>
      </c>
      <c r="Z150" s="9" t="n">
        <v>0.4851</v>
      </c>
      <c r="AA150" s="7" t="n"/>
      <c r="AB150" s="7" t="n"/>
      <c r="AC150" s="7" t="n"/>
      <c r="AD150" s="7" t="n"/>
      <c r="AE150" s="7" t="inlineStr">
        <is>
          <t>learned from the training patents (tools/int_train.py)</t>
        </is>
      </c>
      <c r="AF150" s="7" t="inlineStr">
        <is>
          <t>Clayden, Organic Chemistry (alkene additions, epoxide opening)</t>
        </is>
      </c>
    </row>
    <row r="151">
      <c r="A151" s="7" t="inlineStr">
        <is>
          <t>I150</t>
        </is>
      </c>
      <c r="B151" s="7" t="inlineStr">
        <is>
          <t>sp3-primary-at-S</t>
        </is>
      </c>
      <c r="C151" s="7" t="inlineStr">
        <is>
          <t>primary carbon that now carries a sulfur</t>
        </is>
      </c>
      <c r="D151" s="7" t="inlineStr">
        <is>
          <t>sp3 carbon: where the new group went</t>
        </is>
      </c>
      <c r="E151" s="7" t="inlineStr">
        <is>
          <t>steric</t>
        </is>
      </c>
      <c r="F151" s="7" t="inlineStr">
        <is>
          <t>sp3 C</t>
        </is>
      </c>
      <c r="G151" s="7" t="inlineStr">
        <is>
          <t>[C;X4;$(C-[#6]);!$(C(-[#6])-[#6]);$(C-[900S])]</t>
        </is>
      </c>
      <c r="H151" s="7" t="inlineStr"/>
      <c r="I151" s="7" t="inlineStr"/>
      <c r="J151" s="7" t="inlineStr"/>
      <c r="K151" s="7" t="inlineStr"/>
      <c r="L151" s="7" t="inlineStr"/>
      <c r="M151" s="7" t="n"/>
      <c r="N151" s="7" t="inlineStr"/>
      <c r="O151" s="7" t="inlineStr">
        <is>
          <t>yes</t>
        </is>
      </c>
      <c r="P151" s="7" t="inlineStr"/>
      <c r="Q151" s="7" t="inlineStr">
        <is>
          <t>the reacting carbon (one carbon substituent) is bonded to a sulfur the reaction put there</t>
        </is>
      </c>
      <c r="R15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1" s="7" t="inlineStr">
        <is>
          <t>the two ends of the old double bond (or ring) differ in how well they carry positive charge or how open they are to attack</t>
        </is>
      </c>
      <c r="T151" s="7" t="n"/>
      <c r="U151" s="10" t="n">
        <v>-0.1</v>
      </c>
      <c r="V151" s="7" t="inlineStr">
        <is>
          <t>deprotection +0.25 (n=25; winner had it 92 % vs 50 % at random)</t>
        </is>
      </c>
      <c r="W151" s="7" t="n">
        <v>134</v>
      </c>
      <c r="X151" s="7" t="n">
        <v>81</v>
      </c>
      <c r="Y151" s="9" t="n">
        <v>0.3507</v>
      </c>
      <c r="Z151" s="9" t="n">
        <v>0.4999</v>
      </c>
      <c r="AA151" s="7" t="n"/>
      <c r="AB151" s="7" t="n"/>
      <c r="AC151" s="7" t="n"/>
      <c r="AD151" s="7" t="n"/>
      <c r="AE151" s="7" t="inlineStr">
        <is>
          <t>learned from the training patents (tools/int_train.py)</t>
        </is>
      </c>
      <c r="AF151" s="7" t="inlineStr">
        <is>
          <t>Clayden, Organic Chemistry (alkene additions, epoxide opening)</t>
        </is>
      </c>
    </row>
    <row r="152">
      <c r="A152" s="7" t="inlineStr">
        <is>
          <t>I151</t>
        </is>
      </c>
      <c r="B152" s="7" t="inlineStr">
        <is>
          <t>sp3-primary-at-X</t>
        </is>
      </c>
      <c r="C152" s="7" t="inlineStr">
        <is>
          <t>primary carbon that now carries a halogen</t>
        </is>
      </c>
      <c r="D152" s="7" t="inlineStr">
        <is>
          <t>sp3 carbon: where the new group went</t>
        </is>
      </c>
      <c r="E152" s="7" t="inlineStr">
        <is>
          <t>steric</t>
        </is>
      </c>
      <c r="F152" s="7" t="inlineStr">
        <is>
          <t>sp3 C</t>
        </is>
      </c>
      <c r="G152" s="7" t="inlineStr">
        <is>
          <t>[C;X4;$(C-[#6]);!$(C(-[#6])-[#6]);$(C-[900F,900Cl,900Br,900I])]</t>
        </is>
      </c>
      <c r="H152" s="7" t="inlineStr"/>
      <c r="I152" s="7" t="inlineStr"/>
      <c r="J152" s="7" t="inlineStr"/>
      <c r="K152" s="7" t="inlineStr"/>
      <c r="L152" s="7" t="inlineStr"/>
      <c r="M152" s="7" t="n"/>
      <c r="N152" s="7" t="inlineStr"/>
      <c r="O152" s="7" t="inlineStr">
        <is>
          <t>yes</t>
        </is>
      </c>
      <c r="P152" s="7" t="inlineStr"/>
      <c r="Q152" s="7" t="inlineStr">
        <is>
          <t>the reacting carbon (one carbon substituent) is bonded to a halogen the reaction put there</t>
        </is>
      </c>
      <c r="R15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2" s="7" t="inlineStr">
        <is>
          <t>the two ends of the old double bond (or ring) differ in how well they carry positive charge or how open they are to attack</t>
        </is>
      </c>
      <c r="T152" s="7" t="n"/>
      <c r="U152" s="10" t="n">
        <v>0.47</v>
      </c>
      <c r="V152" s="7" t="inlineStr">
        <is>
          <t>carbonyl addition +1.60 (n=301; winner had it 42 % vs 47 % at random) · alkyl substitution +0.88 (n=53; winner had it 62 % vs 48 % at random) · o nucleophile -0.30 (n=41; winner had it 49 % vs 43 % at random) · acyl substitution -0.27 (n=701; winner had it 84 % vs 50 % at random) · deprotection +0.16 (n=71; winner had it 70 % vs 41 % at random)</t>
        </is>
      </c>
      <c r="W152" s="7" t="n">
        <v>1281</v>
      </c>
      <c r="X152" s="7" t="n">
        <v>978</v>
      </c>
      <c r="Y152" s="9" t="n">
        <v>0.6924</v>
      </c>
      <c r="Z152" s="9" t="n">
        <v>0.4809</v>
      </c>
      <c r="AA152" s="7" t="n"/>
      <c r="AB152" s="7" t="n"/>
      <c r="AC152" s="7" t="n"/>
      <c r="AD152" s="7" t="n"/>
      <c r="AE152" s="7" t="inlineStr">
        <is>
          <t>learned from the training patents (tools/int_train.py)</t>
        </is>
      </c>
      <c r="AF152" s="7" t="inlineStr">
        <is>
          <t>Clayden, Organic Chemistry (alkene additions, epoxide opening)</t>
        </is>
      </c>
    </row>
    <row r="153">
      <c r="A153" s="7" t="inlineStr">
        <is>
          <t>I152</t>
        </is>
      </c>
      <c r="B153" s="7" t="inlineStr">
        <is>
          <t>sp3-primary-at-M</t>
        </is>
      </c>
      <c r="C153" s="7" t="inlineStr">
        <is>
          <t>primary carbon that now carries a boron, silicon or phosphorus</t>
        </is>
      </c>
      <c r="D153" s="7" t="inlineStr">
        <is>
          <t>sp3 carbon: where the new group went</t>
        </is>
      </c>
      <c r="E153" s="7" t="inlineStr">
        <is>
          <t>steric</t>
        </is>
      </c>
      <c r="F153" s="7" t="inlineStr">
        <is>
          <t>sp3 C</t>
        </is>
      </c>
      <c r="G153" s="7" t="inlineStr">
        <is>
          <t>[C;X4;$(C-[#6]);!$(C(-[#6])-[#6]);$(C-[900B,900Si,900P])]</t>
        </is>
      </c>
      <c r="H153" s="7" t="inlineStr"/>
      <c r="I153" s="7" t="inlineStr"/>
      <c r="J153" s="7" t="inlineStr"/>
      <c r="K153" s="7" t="inlineStr"/>
      <c r="L153" s="7" t="inlineStr"/>
      <c r="M153" s="7" t="n"/>
      <c r="N153" s="7" t="inlineStr"/>
      <c r="O153" s="7" t="inlineStr">
        <is>
          <t>yes</t>
        </is>
      </c>
      <c r="P153" s="7" t="inlineStr"/>
      <c r="Q153" s="7" t="inlineStr">
        <is>
          <t>the reacting carbon (one carbon substituent) is bonded to a boron, silicon or phosphorus the reaction put there</t>
        </is>
      </c>
      <c r="R15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3" s="7" t="inlineStr">
        <is>
          <t>the two ends of the old double bond (or ring) differ in how well they carry positive charge or how open they are to attack</t>
        </is>
      </c>
      <c r="T153" s="7" t="n"/>
      <c r="U153" s="10" t="n">
        <v>0.1</v>
      </c>
      <c r="V153" s="7" t="inlineStr"/>
      <c r="W153" s="7" t="n">
        <v>81</v>
      </c>
      <c r="X153" s="7" t="n">
        <v>57</v>
      </c>
      <c r="Y153" s="9" t="n">
        <v>0.2346</v>
      </c>
      <c r="Z153" s="9" t="n">
        <v>0.3608</v>
      </c>
      <c r="AA153" s="7" t="n"/>
      <c r="AB153" s="7" t="n"/>
      <c r="AC153" s="7" t="n"/>
      <c r="AD153" s="7" t="n"/>
      <c r="AE153" s="7" t="inlineStr">
        <is>
          <t>learned from the training patents (tools/int_train.py)</t>
        </is>
      </c>
      <c r="AF153" s="7" t="inlineStr">
        <is>
          <t>Clayden, Organic Chemistry (alkene additions, epoxide opening)</t>
        </is>
      </c>
    </row>
    <row r="154">
      <c r="A154" s="7" t="inlineStr">
        <is>
          <t>I153</t>
        </is>
      </c>
      <c r="B154" s="7" t="inlineStr">
        <is>
          <t>sp3-primary-at-C</t>
        </is>
      </c>
      <c r="C154" s="7" t="inlineStr">
        <is>
          <t>primary carbon that now carries a carbon</t>
        </is>
      </c>
      <c r="D154" s="7" t="inlineStr">
        <is>
          <t>sp3 carbon: where the new group went</t>
        </is>
      </c>
      <c r="E154" s="7" t="inlineStr">
        <is>
          <t>steric</t>
        </is>
      </c>
      <c r="F154" s="7" t="inlineStr">
        <is>
          <t>sp3 C</t>
        </is>
      </c>
      <c r="G154" s="7" t="inlineStr">
        <is>
          <t>[C;X4;$(C-[#6;!900*]);!$(C(-[#6;!900*])-[#6;!900*]);$(C-[900C,900c])]</t>
        </is>
      </c>
      <c r="H154" s="7" t="inlineStr"/>
      <c r="I154" s="7" t="inlineStr"/>
      <c r="J154" s="7" t="inlineStr"/>
      <c r="K154" s="7" t="inlineStr"/>
      <c r="L154" s="7" t="inlineStr"/>
      <c r="M154" s="7" t="n"/>
      <c r="N154" s="7" t="inlineStr"/>
      <c r="O154" s="7" t="inlineStr">
        <is>
          <t>yes</t>
        </is>
      </c>
      <c r="P154" s="7" t="inlineStr"/>
      <c r="Q154" s="7" t="inlineStr">
        <is>
          <t>the reacting carbon (one carbon substituent besides the new bond) is bonded to a carbon the reaction put there</t>
        </is>
      </c>
      <c r="R15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4" s="7" t="inlineStr">
        <is>
          <t>the two ends of the old double bond (or ring) differ in how well they carry positive charge or how open they are to attack</t>
        </is>
      </c>
      <c r="T154" s="7" t="n"/>
      <c r="U154" s="10" t="n">
        <v>-0.54</v>
      </c>
      <c r="V154" s="7" t="inlineStr">
        <is>
          <t>acyl substitution -1.74 (n=1409; winner had it 42 % vs 47 % at random) · o nucleophile -1.21 (n=84; winner had it 32 % vs 54 % at random) · carbonyl addition +1.06 (n=1378; winner had it 18 % vs 52 % at random) · n nucleophile -0.97 (n=156; winner had it 31 % vs 41 % at random) · arene ch -0.97 (n=53; winner had it 49 % vs 51 % at random) · aryl halide -0.87 (n=678; winner had it 17 % vs 51 % at random)</t>
        </is>
      </c>
      <c r="W154" s="7" t="n">
        <v>5056</v>
      </c>
      <c r="X154" s="7" t="n">
        <v>2944</v>
      </c>
      <c r="Y154" s="9" t="n">
        <v>0.2953</v>
      </c>
      <c r="Z154" s="9" t="n">
        <v>0.4942</v>
      </c>
      <c r="AA154" s="7" t="n"/>
      <c r="AB154" s="7" t="n"/>
      <c r="AC154" s="7" t="n"/>
      <c r="AD154" s="7" t="n"/>
      <c r="AE154" s="7" t="inlineStr">
        <is>
          <t>learned from the training patents (tools/int_train.py)</t>
        </is>
      </c>
      <c r="AF154" s="7" t="inlineStr">
        <is>
          <t>Clayden, Organic Chemistry (alkene additions, epoxide opening)</t>
        </is>
      </c>
    </row>
    <row r="155">
      <c r="A155" s="7" t="inlineStr">
        <is>
          <t>I154</t>
        </is>
      </c>
      <c r="B155" s="7" t="inlineStr">
        <is>
          <t>sp3-secondary-at-O</t>
        </is>
      </c>
      <c r="C155" s="7" t="inlineStr">
        <is>
          <t>secondary carbon that now carries an oxygen</t>
        </is>
      </c>
      <c r="D155" s="7" t="inlineStr">
        <is>
          <t>sp3 carbon: where the new group went</t>
        </is>
      </c>
      <c r="E155" s="7" t="inlineStr">
        <is>
          <t>steric</t>
        </is>
      </c>
      <c r="F155" s="7" t="inlineStr">
        <is>
          <t>sp3 C</t>
        </is>
      </c>
      <c r="G155" s="7" t="inlineStr">
        <is>
          <t>[C;X4;$(C(-[#6])-[#6]);!$(C(-[#6])(-[#6])-[#6]);$(C-[900O])]</t>
        </is>
      </c>
      <c r="H155" s="7" t="inlineStr"/>
      <c r="I155" s="7" t="inlineStr"/>
      <c r="J155" s="7" t="inlineStr"/>
      <c r="K155" s="7" t="inlineStr"/>
      <c r="L155" s="7" t="inlineStr"/>
      <c r="M155" s="7" t="n"/>
      <c r="N155" s="7" t="inlineStr"/>
      <c r="O155" s="7" t="inlineStr">
        <is>
          <t>yes</t>
        </is>
      </c>
      <c r="P155" s="7" t="inlineStr"/>
      <c r="Q155" s="7" t="inlineStr">
        <is>
          <t>the reacting carbon (two carbon substituents) is bonded to an oxygen the reaction put there</t>
        </is>
      </c>
      <c r="R15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5" s="7" t="inlineStr">
        <is>
          <t>the two ends of the old double bond (or ring) differ in how well they carry positive charge or how open they are to attack</t>
        </is>
      </c>
      <c r="T155" s="7" t="n"/>
      <c r="U155" s="10" t="n">
        <v>0.57</v>
      </c>
      <c r="V155" s="7" t="inlineStr">
        <is>
          <t>deprotection +1.34 (n=155; winner had it 32 % vs 51 % at random) · carbonyl addition +1.01 (n=2398; winner had it 74 % vs 47 % at random) · aryl halide +0.87 (n=369; winner had it 45 % vs 48 % at random) · unsaturated -0.64 (n=125; winner had it 13 % vs 51 % at random) · o nucleophile +0.58 (n=42; winner had it 38 % vs 57 % at random) · acyl substitution +0.52 (n=227; winner had it 48 % vs 49 % at random)</t>
        </is>
      </c>
      <c r="W155" s="7" t="n">
        <v>3473</v>
      </c>
      <c r="X155" s="7" t="n">
        <v>2038</v>
      </c>
      <c r="Y155" s="9" t="n">
        <v>0.6435</v>
      </c>
      <c r="Z155" s="9" t="n">
        <v>0.4792</v>
      </c>
      <c r="AA155" s="7" t="n"/>
      <c r="AB155" s="7" t="n"/>
      <c r="AC155" s="7" t="n"/>
      <c r="AD155" s="7" t="n"/>
      <c r="AE155" s="7" t="inlineStr">
        <is>
          <t>learned from the training patents (tools/int_train.py)</t>
        </is>
      </c>
      <c r="AF155" s="7" t="inlineStr">
        <is>
          <t>Clayden, Organic Chemistry (alkene additions, epoxide opening)</t>
        </is>
      </c>
    </row>
    <row r="156">
      <c r="A156" s="7" t="inlineStr">
        <is>
          <t>I155</t>
        </is>
      </c>
      <c r="B156" s="7" t="inlineStr">
        <is>
          <t>sp3-secondary-at-N</t>
        </is>
      </c>
      <c r="C156" s="7" t="inlineStr">
        <is>
          <t>secondary carbon that now carries a nitrogen</t>
        </is>
      </c>
      <c r="D156" s="7" t="inlineStr">
        <is>
          <t>sp3 carbon: where the new group went</t>
        </is>
      </c>
      <c r="E156" s="7" t="inlineStr">
        <is>
          <t>steric</t>
        </is>
      </c>
      <c r="F156" s="7" t="inlineStr">
        <is>
          <t>sp3 C</t>
        </is>
      </c>
      <c r="G156" s="7" t="inlineStr">
        <is>
          <t>[C;X4;$(C(-[#6])-[#6]);!$(C(-[#6])(-[#6])-[#6]);$(C-[900N])]</t>
        </is>
      </c>
      <c r="H156" s="7" t="inlineStr"/>
      <c r="I156" s="7" t="inlineStr"/>
      <c r="J156" s="7" t="inlineStr"/>
      <c r="K156" s="7" t="inlineStr"/>
      <c r="L156" s="7" t="inlineStr"/>
      <c r="M156" s="7" t="n"/>
      <c r="N156" s="7" t="inlineStr"/>
      <c r="O156" s="7" t="inlineStr">
        <is>
          <t>yes</t>
        </is>
      </c>
      <c r="P156" s="7" t="inlineStr"/>
      <c r="Q156" s="7" t="inlineStr">
        <is>
          <t>the reacting carbon (two carbon substituents) is bonded to a nitrogen the reaction put there</t>
        </is>
      </c>
      <c r="R15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6" s="7" t="inlineStr">
        <is>
          <t>the two ends of the old double bond (or ring) differ in how well they carry positive charge or how open they are to attack</t>
        </is>
      </c>
      <c r="T156" s="7" t="n"/>
      <c r="U156" s="10" t="n">
        <v>0.71</v>
      </c>
      <c r="V156" s="7" t="inlineStr">
        <is>
          <t>acyl substitution +1.18 (n=56; winner had it 86 % vs 53 % at random) · deprotection +1.13 (n=27; winner had it 70 % vs 50 % at random) · aryl halide +0.94 (n=25; winner had it 92 % vs 50 % at random) · carbonyl addition +0.81 (n=1377; winner had it 98 % vs 48 % at random)</t>
        </is>
      </c>
      <c r="W156" s="7" t="n">
        <v>1557</v>
      </c>
      <c r="X156" s="7" t="n">
        <v>789</v>
      </c>
      <c r="Y156" s="9" t="n">
        <v>0.9634</v>
      </c>
      <c r="Z156" s="9" t="n">
        <v>0.4877</v>
      </c>
      <c r="AA156" s="7" t="n"/>
      <c r="AB156" s="7" t="n"/>
      <c r="AC156" s="7" t="n"/>
      <c r="AD156" s="7" t="n"/>
      <c r="AE156" s="7" t="inlineStr">
        <is>
          <t>learned from the training patents (tools/int_train.py)</t>
        </is>
      </c>
      <c r="AF156" s="7" t="inlineStr">
        <is>
          <t>Clayden, Organic Chemistry (alkene additions, epoxide opening)</t>
        </is>
      </c>
    </row>
    <row r="157">
      <c r="A157" s="7" t="inlineStr">
        <is>
          <t>I156</t>
        </is>
      </c>
      <c r="B157" s="7" t="inlineStr">
        <is>
          <t>sp3-secondary-at-S</t>
        </is>
      </c>
      <c r="C157" s="7" t="inlineStr">
        <is>
          <t>secondary carbon that now carries a sulfur</t>
        </is>
      </c>
      <c r="D157" s="7" t="inlineStr">
        <is>
          <t>sp3 carbon: where the new group went</t>
        </is>
      </c>
      <c r="E157" s="7" t="inlineStr">
        <is>
          <t>steric</t>
        </is>
      </c>
      <c r="F157" s="7" t="inlineStr">
        <is>
          <t>sp3 C</t>
        </is>
      </c>
      <c r="G157" s="7" t="inlineStr">
        <is>
          <t>[C;X4;$(C(-[#6])-[#6]);!$(C(-[#6])(-[#6])-[#6]);$(C-[900S])]</t>
        </is>
      </c>
      <c r="H157" s="7" t="inlineStr"/>
      <c r="I157" s="7" t="inlineStr"/>
      <c r="J157" s="7" t="inlineStr"/>
      <c r="K157" s="7" t="inlineStr"/>
      <c r="L157" s="7" t="inlineStr"/>
      <c r="M157" s="7" t="n"/>
      <c r="N157" s="7" t="inlineStr"/>
      <c r="O157" s="7" t="inlineStr">
        <is>
          <t>yes</t>
        </is>
      </c>
      <c r="P157" s="7" t="inlineStr"/>
      <c r="Q157" s="7" t="inlineStr">
        <is>
          <t>the reacting carbon (two carbon substituents) is bonded to a sulfur the reaction put there</t>
        </is>
      </c>
      <c r="R15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7" s="7" t="inlineStr">
        <is>
          <t>the two ends of the old double bond (or ring) differ in how well they carry positive charge or how open they are to attack</t>
        </is>
      </c>
      <c r="T157" s="7" t="n"/>
      <c r="U157" s="10" t="n">
        <v>0.15</v>
      </c>
      <c r="V157" s="7" t="inlineStr">
        <is>
          <t>unsaturated +0.90 (n=30; winner had it 90 % vs 51 % at random)</t>
        </is>
      </c>
      <c r="W157" s="7" t="n">
        <v>129</v>
      </c>
      <c r="X157" s="7" t="n">
        <v>75</v>
      </c>
      <c r="Y157" s="9" t="n">
        <v>0.6977</v>
      </c>
      <c r="Z157" s="9" t="n">
        <v>0.4913</v>
      </c>
      <c r="AA157" s="7" t="n"/>
      <c r="AB157" s="7" t="n"/>
      <c r="AC157" s="7" t="n"/>
      <c r="AD157" s="7" t="n"/>
      <c r="AE157" s="7" t="inlineStr">
        <is>
          <t>learned from the training patents (tools/int_train.py)</t>
        </is>
      </c>
      <c r="AF157" s="7" t="inlineStr">
        <is>
          <t>Clayden, Organic Chemistry (alkene additions, epoxide opening)</t>
        </is>
      </c>
    </row>
    <row r="158">
      <c r="A158" s="7" t="inlineStr">
        <is>
          <t>I157</t>
        </is>
      </c>
      <c r="B158" s="7" t="inlineStr">
        <is>
          <t>sp3-secondary-at-X</t>
        </is>
      </c>
      <c r="C158" s="7" t="inlineStr">
        <is>
          <t>secondary carbon that now carries a halogen</t>
        </is>
      </c>
      <c r="D158" s="7" t="inlineStr">
        <is>
          <t>sp3 carbon: where the new group went</t>
        </is>
      </c>
      <c r="E158" s="7" t="inlineStr">
        <is>
          <t>steric</t>
        </is>
      </c>
      <c r="F158" s="7" t="inlineStr">
        <is>
          <t>sp3 C</t>
        </is>
      </c>
      <c r="G158" s="7" t="inlineStr">
        <is>
          <t>[C;X4;$(C(-[#6])-[#6]);!$(C(-[#6])(-[#6])-[#6]);$(C-[900F,900Cl,900Br,900I])]</t>
        </is>
      </c>
      <c r="H158" s="7" t="inlineStr"/>
      <c r="I158" s="7" t="inlineStr"/>
      <c r="J158" s="7" t="inlineStr"/>
      <c r="K158" s="7" t="inlineStr"/>
      <c r="L158" s="7" t="inlineStr"/>
      <c r="M158" s="7" t="n"/>
      <c r="N158" s="7" t="inlineStr"/>
      <c r="O158" s="7" t="inlineStr">
        <is>
          <t>yes</t>
        </is>
      </c>
      <c r="P158" s="7" t="inlineStr"/>
      <c r="Q158" s="7" t="inlineStr">
        <is>
          <t>the reacting carbon (two carbon substituents) is bonded to a halogen the reaction put there</t>
        </is>
      </c>
      <c r="R15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8" s="7" t="inlineStr">
        <is>
          <t>the two ends of the old double bond (or ring) differ in how well they carry positive charge or how open they are to attack</t>
        </is>
      </c>
      <c r="T158" s="7" t="n"/>
      <c r="U158" s="10" t="n">
        <v>0.42</v>
      </c>
      <c r="V158" s="7" t="inlineStr">
        <is>
          <t>other +1.26 (n=51; winner had it 86 % vs 60 % at random) · acyl substitution +1.10 (n=122; winner had it 89 % vs 54 % at random) · carbonyl addition -0.68 (n=191; winner had it 93 % vs 57 % at random) · deprotection +0.53 (n=44; winner had it 52 % vs 60 % at random)</t>
        </is>
      </c>
      <c r="W158" s="7" t="n">
        <v>476</v>
      </c>
      <c r="X158" s="7" t="n">
        <v>383</v>
      </c>
      <c r="Y158" s="9" t="n">
        <v>0.8298</v>
      </c>
      <c r="Z158" s="9" t="n">
        <v>0.5649999999999999</v>
      </c>
      <c r="AA158" s="7" t="n"/>
      <c r="AB158" s="7" t="n"/>
      <c r="AC158" s="7" t="n"/>
      <c r="AD158" s="7" t="n"/>
      <c r="AE158" s="7" t="inlineStr">
        <is>
          <t>learned from the training patents (tools/int_train.py)</t>
        </is>
      </c>
      <c r="AF158" s="7" t="inlineStr">
        <is>
          <t>Clayden, Organic Chemistry (alkene additions, epoxide opening)</t>
        </is>
      </c>
    </row>
    <row r="159">
      <c r="A159" s="7" t="inlineStr">
        <is>
          <t>I158</t>
        </is>
      </c>
      <c r="B159" s="7" t="inlineStr">
        <is>
          <t>sp3-secondary-at-M</t>
        </is>
      </c>
      <c r="C159" s="7" t="inlineStr">
        <is>
          <t>secondary carbon that now carries a boron, silicon or phosphorus</t>
        </is>
      </c>
      <c r="D159" s="7" t="inlineStr">
        <is>
          <t>sp3 carbon: where the new group went</t>
        </is>
      </c>
      <c r="E159" s="7" t="inlineStr">
        <is>
          <t>steric</t>
        </is>
      </c>
      <c r="F159" s="7" t="inlineStr">
        <is>
          <t>sp3 C</t>
        </is>
      </c>
      <c r="G159" s="7" t="inlineStr">
        <is>
          <t>[C;X4;$(C(-[#6])-[#6]);!$(C(-[#6])(-[#6])-[#6]);$(C-[900B,900Si,900P])]</t>
        </is>
      </c>
      <c r="H159" s="7" t="inlineStr"/>
      <c r="I159" s="7" t="inlineStr"/>
      <c r="J159" s="7" t="inlineStr"/>
      <c r="K159" s="7" t="inlineStr"/>
      <c r="L159" s="7" t="inlineStr"/>
      <c r="M159" s="7" t="n"/>
      <c r="N159" s="7" t="inlineStr"/>
      <c r="O159" s="7" t="inlineStr">
        <is>
          <t>yes</t>
        </is>
      </c>
      <c r="P159" s="7" t="inlineStr"/>
      <c r="Q159" s="7" t="inlineStr">
        <is>
          <t>the reacting carbon (two carbon substituents) is bonded to a boron, silicon or phosphorus the reaction put there</t>
        </is>
      </c>
      <c r="R15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9" s="7" t="inlineStr">
        <is>
          <t>the two ends of the old double bond (or ring) differ in how well they carry positive charge or how open they are to attack</t>
        </is>
      </c>
      <c r="T159" s="7" t="n"/>
      <c r="U159" s="10" t="n">
        <v>-0.49</v>
      </c>
      <c r="V159" s="7" t="inlineStr"/>
      <c r="W159" s="7" t="n">
        <v>71</v>
      </c>
      <c r="X159" s="7" t="n">
        <v>47</v>
      </c>
      <c r="Y159" s="9" t="n">
        <v>0.7465000000000001</v>
      </c>
      <c r="Z159" s="9" t="n">
        <v>0.6424</v>
      </c>
      <c r="AA159" s="7" t="n"/>
      <c r="AB159" s="7" t="n"/>
      <c r="AC159" s="7" t="n"/>
      <c r="AD159" s="7" t="n"/>
      <c r="AE159" s="7" t="inlineStr">
        <is>
          <t>learned from the training patents (tools/int_train.py)</t>
        </is>
      </c>
      <c r="AF159" s="7" t="inlineStr">
        <is>
          <t>Clayden, Organic Chemistry (alkene additions, epoxide opening)</t>
        </is>
      </c>
    </row>
    <row r="160">
      <c r="A160" s="7" t="inlineStr">
        <is>
          <t>I159</t>
        </is>
      </c>
      <c r="B160" s="7" t="inlineStr">
        <is>
          <t>sp3-secondary-at-C</t>
        </is>
      </c>
      <c r="C160" s="7" t="inlineStr">
        <is>
          <t>secondary carbon that now carries a carbon</t>
        </is>
      </c>
      <c r="D160" s="7" t="inlineStr">
        <is>
          <t>sp3 carbon: where the new group went</t>
        </is>
      </c>
      <c r="E160" s="7" t="inlineStr">
        <is>
          <t>steric</t>
        </is>
      </c>
      <c r="F160" s="7" t="inlineStr">
        <is>
          <t>sp3 C</t>
        </is>
      </c>
      <c r="G160" s="7" t="inlineStr">
        <is>
          <t>[C;X4;$(C(-[#6;!900*])-[#6;!900*]);!$(C(-[#6;!900*])(-[#6;!900*])-[#6;!900*]);$(C-[900C,900c])]</t>
        </is>
      </c>
      <c r="H160" s="7" t="inlineStr"/>
      <c r="I160" s="7" t="inlineStr"/>
      <c r="J160" s="7" t="inlineStr"/>
      <c r="K160" s="7" t="inlineStr"/>
      <c r="L160" s="7" t="inlineStr"/>
      <c r="M160" s="7" t="n"/>
      <c r="N160" s="7" t="inlineStr"/>
      <c r="O160" s="7" t="inlineStr">
        <is>
          <t>yes</t>
        </is>
      </c>
      <c r="P160" s="7" t="inlineStr"/>
      <c r="Q160" s="7" t="inlineStr">
        <is>
          <t>the reacting carbon (two carbon substituents besides the new bond) is bonded to a carbon the reaction put there</t>
        </is>
      </c>
      <c r="R16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0" s="7" t="inlineStr">
        <is>
          <t>the two ends of the old double bond (or ring) differ in how well they carry positive charge or how open they are to attack</t>
        </is>
      </c>
      <c r="T160" s="7" t="n"/>
      <c r="U160" s="10" t="n">
        <v>-1.13</v>
      </c>
      <c r="V160" s="7" t="inlineStr">
        <is>
          <t>carbonyl addition -2.53 (n=1364; winner had it 88 % vs 52 % at random) · aryl halide -2.06 (n=688; winner had it 92 % vs 50 % at random) · unsaturated -1.56 (n=60; winner had it 47 % vs 60 % at random) · n nucleophile -1.36 (n=114; winner had it 74 % vs 64 % at random) · acyl substitution -1.31 (n=791; winner had it 79 % vs 55 % at random) · o nucleophile -1.26 (n=40; winner had it 40 % vs 55 % at random)</t>
        </is>
      </c>
      <c r="W160" s="7" t="n">
        <v>5037</v>
      </c>
      <c r="X160" s="7" t="n">
        <v>2899</v>
      </c>
      <c r="Y160" s="9" t="n">
        <v>0.8231000000000001</v>
      </c>
      <c r="Z160" s="9" t="n">
        <v>0.533</v>
      </c>
      <c r="AA160" s="7" t="n"/>
      <c r="AB160" s="7" t="n"/>
      <c r="AC160" s="7" t="n"/>
      <c r="AD160" s="7" t="n"/>
      <c r="AE160" s="7" t="inlineStr">
        <is>
          <t>learned from the training patents (tools/int_train.py)</t>
        </is>
      </c>
      <c r="AF160" s="7" t="inlineStr">
        <is>
          <t>Clayden, Organic Chemistry (alkene additions, epoxide opening)</t>
        </is>
      </c>
    </row>
    <row r="161">
      <c r="A161" s="7" t="inlineStr">
        <is>
          <t>I160</t>
        </is>
      </c>
      <c r="B161" s="7" t="inlineStr">
        <is>
          <t>sp3-tertiary-at-O</t>
        </is>
      </c>
      <c r="C161" s="7" t="inlineStr">
        <is>
          <t>tertiary carbon that now carries an oxygen</t>
        </is>
      </c>
      <c r="D161" s="7" t="inlineStr">
        <is>
          <t>sp3 carbon: where the new group went</t>
        </is>
      </c>
      <c r="E161" s="7" t="inlineStr">
        <is>
          <t>steric</t>
        </is>
      </c>
      <c r="F161" s="7" t="inlineStr">
        <is>
          <t>sp3 C</t>
        </is>
      </c>
      <c r="G161" s="7" t="inlineStr">
        <is>
          <t>[C;X4;$(C(-[#6])(-[#6])-[#6]);$(C-[900O])]</t>
        </is>
      </c>
      <c r="H161" s="7" t="inlineStr"/>
      <c r="I161" s="7" t="inlineStr"/>
      <c r="J161" s="7" t="inlineStr"/>
      <c r="K161" s="7" t="inlineStr"/>
      <c r="L161" s="7" t="inlineStr"/>
      <c r="M161" s="7" t="n"/>
      <c r="N161" s="7" t="inlineStr"/>
      <c r="O161" s="7" t="inlineStr">
        <is>
          <t>yes</t>
        </is>
      </c>
      <c r="P161" s="7" t="inlineStr"/>
      <c r="Q161" s="7" t="inlineStr">
        <is>
          <t>the reacting carbon (three carbon substituents) is bonded to an oxygen the reaction put there</t>
        </is>
      </c>
      <c r="R16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1" s="7" t="inlineStr">
        <is>
          <t>the two ends of the old double bond (or ring) differ in how well they carry positive charge or how open they are to attack</t>
        </is>
      </c>
      <c r="T161" s="7" t="n"/>
      <c r="U161" s="10" t="n">
        <v>3.51</v>
      </c>
      <c r="V161" s="7" t="inlineStr">
        <is>
          <t>carbonyl addition +4.83 (n=861; winner had it 100 % vs 49 % at random) · deprotection +4.81 (n=125; winner had it 98 % vs 49 % at random) · aryl halide +4.42 (n=352; winner had it 100 % vs 50 % at random) · acyl substitution +3.95 (n=88; winner had it 99 % vs 54 % at random) · alkyl substitution +3.76 (n=79; winner had it 100 % vs 50 % at random)</t>
        </is>
      </c>
      <c r="W161" s="7" t="n">
        <v>1524</v>
      </c>
      <c r="X161" s="7" t="n">
        <v>813</v>
      </c>
      <c r="Y161" s="9" t="n">
        <v>0.9941</v>
      </c>
      <c r="Z161" s="9" t="n">
        <v>0.4972</v>
      </c>
      <c r="AA161" s="7" t="n"/>
      <c r="AB161" s="7" t="n"/>
      <c r="AC161" s="7" t="n"/>
      <c r="AD161" s="7" t="n"/>
      <c r="AE161" s="7" t="inlineStr">
        <is>
          <t>learned from the training patents (tools/int_train.py)</t>
        </is>
      </c>
      <c r="AF161" s="7" t="inlineStr">
        <is>
          <t>Clayden, Organic Chemistry (alkene additions, epoxide opening)</t>
        </is>
      </c>
    </row>
    <row r="162">
      <c r="A162" s="7" t="inlineStr">
        <is>
          <t>I161</t>
        </is>
      </c>
      <c r="B162" s="7" t="inlineStr">
        <is>
          <t>sp3-tertiary-at-N</t>
        </is>
      </c>
      <c r="C162" s="7" t="inlineStr">
        <is>
          <t>tertiary carbon that now carries a nitrogen</t>
        </is>
      </c>
      <c r="D162" s="7" t="inlineStr">
        <is>
          <t>sp3 carbon: where the new group went</t>
        </is>
      </c>
      <c r="E162" s="7" t="inlineStr">
        <is>
          <t>steric</t>
        </is>
      </c>
      <c r="F162" s="7" t="inlineStr">
        <is>
          <t>sp3 C</t>
        </is>
      </c>
      <c r="G162" s="7" t="inlineStr">
        <is>
          <t>[C;X4;$(C(-[#6])(-[#6])-[#6]);$(C-[900N])]</t>
        </is>
      </c>
      <c r="H162" s="7" t="inlineStr"/>
      <c r="I162" s="7" t="inlineStr"/>
      <c r="J162" s="7" t="inlineStr"/>
      <c r="K162" s="7" t="inlineStr"/>
      <c r="L162" s="7" t="inlineStr"/>
      <c r="M162" s="7" t="n"/>
      <c r="N162" s="7" t="inlineStr"/>
      <c r="O162" s="7" t="inlineStr">
        <is>
          <t>yes</t>
        </is>
      </c>
      <c r="P162" s="7" t="inlineStr"/>
      <c r="Q162" s="7" t="inlineStr">
        <is>
          <t>the reacting carbon (three carbon substituents) is bonded to a nitrogen the reaction put there</t>
        </is>
      </c>
      <c r="R16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2" s="7" t="inlineStr">
        <is>
          <t>the two ends of the old double bond (or ring) differ in how well they carry positive charge or how open they are to attack</t>
        </is>
      </c>
      <c r="T162" s="7" t="n"/>
      <c r="U162" s="10" t="n">
        <v>1.23</v>
      </c>
      <c r="V162" s="7" t="inlineStr">
        <is>
          <t>carbonyl addition +2.07 (n=41; winner had it 100 % vs 44 % at random)</t>
        </is>
      </c>
      <c r="W162" s="7" t="n">
        <v>55</v>
      </c>
      <c r="X162" s="7" t="n">
        <v>40</v>
      </c>
      <c r="Y162" s="9" t="n">
        <v>0.9273</v>
      </c>
      <c r="Z162" s="9" t="n">
        <v>0.457</v>
      </c>
      <c r="AA162" s="7" t="n"/>
      <c r="AB162" s="7" t="n"/>
      <c r="AC162" s="7" t="n"/>
      <c r="AD162" s="7" t="n"/>
      <c r="AE162" s="7" t="inlineStr">
        <is>
          <t>learned from the training patents (tools/int_train.py)</t>
        </is>
      </c>
      <c r="AF162" s="7" t="inlineStr">
        <is>
          <t>Clayden, Organic Chemistry (alkene additions, epoxide opening)</t>
        </is>
      </c>
    </row>
    <row r="163">
      <c r="A163" s="7" t="inlineStr">
        <is>
          <t>I162</t>
        </is>
      </c>
      <c r="B163" s="7" t="inlineStr">
        <is>
          <t>sp3-tertiary-at-S</t>
        </is>
      </c>
      <c r="C163" s="7" t="inlineStr">
        <is>
          <t>tertiary carbon that now carries a sulfur</t>
        </is>
      </c>
      <c r="D163" s="7" t="inlineStr">
        <is>
          <t>sp3 carbon: where the new group went</t>
        </is>
      </c>
      <c r="E163" s="7" t="inlineStr">
        <is>
          <t>steric</t>
        </is>
      </c>
      <c r="F163" s="7" t="inlineStr">
        <is>
          <t>sp3 C</t>
        </is>
      </c>
      <c r="G163" s="7" t="inlineStr">
        <is>
          <t>[C;X4;$(C(-[#6])(-[#6])-[#6]);$(C-[900S])]</t>
        </is>
      </c>
      <c r="H163" s="7" t="inlineStr"/>
      <c r="I163" s="7" t="inlineStr"/>
      <c r="J163" s="7" t="inlineStr"/>
      <c r="K163" s="7" t="inlineStr"/>
      <c r="L163" s="7" t="inlineStr"/>
      <c r="M163" s="7" t="n"/>
      <c r="N163" s="7" t="inlineStr"/>
      <c r="O163" s="7" t="inlineStr">
        <is>
          <t>yes</t>
        </is>
      </c>
      <c r="P163" s="7" t="inlineStr"/>
      <c r="Q163" s="7" t="inlineStr">
        <is>
          <t>the reacting carbon (three carbon substituents) is bonded to a sulfur the reaction put there</t>
        </is>
      </c>
      <c r="R16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3" s="7" t="inlineStr">
        <is>
          <t>the two ends of the old double bond (or ring) differ in how well they carry positive charge or how open they are to attack</t>
        </is>
      </c>
      <c r="T163" s="7" t="n"/>
      <c r="U163" s="10" t="n">
        <v>0.1</v>
      </c>
      <c r="V163" s="7" t="inlineStr"/>
      <c r="W163" s="7" t="n">
        <v>13</v>
      </c>
      <c r="X163" s="7" t="n">
        <v>8</v>
      </c>
      <c r="Y163" s="9" t="n">
        <v>0.5385</v>
      </c>
      <c r="Z163" s="9" t="n">
        <v>0.5064</v>
      </c>
      <c r="AA163" s="7" t="n"/>
      <c r="AB163" s="7" t="n"/>
      <c r="AC163" s="7" t="n"/>
      <c r="AD163" s="7" t="n"/>
      <c r="AE163" s="7" t="inlineStr">
        <is>
          <t>too few contests in the recorded reactions to learn a weight (the weight is shrunk to about zero): the textbook effect is advisory</t>
        </is>
      </c>
      <c r="AF163" s="7" t="inlineStr">
        <is>
          <t>Clayden, Organic Chemistry (alkene additions, epoxide opening)</t>
        </is>
      </c>
    </row>
    <row r="164">
      <c r="A164" s="7" t="inlineStr">
        <is>
          <t>I163</t>
        </is>
      </c>
      <c r="B164" s="7" t="inlineStr">
        <is>
          <t>sp3-tertiary-at-X</t>
        </is>
      </c>
      <c r="C164" s="7" t="inlineStr">
        <is>
          <t>tertiary carbon that now carries a halogen</t>
        </is>
      </c>
      <c r="D164" s="7" t="inlineStr">
        <is>
          <t>sp3 carbon: where the new group went</t>
        </is>
      </c>
      <c r="E164" s="7" t="inlineStr">
        <is>
          <t>steric</t>
        </is>
      </c>
      <c r="F164" s="7" t="inlineStr">
        <is>
          <t>sp3 C</t>
        </is>
      </c>
      <c r="G164" s="7" t="inlineStr">
        <is>
          <t>[C;X4;$(C(-[#6])(-[#6])-[#6]);$(C-[900F,900Cl,900Br,900I])]</t>
        </is>
      </c>
      <c r="H164" s="7" t="inlineStr"/>
      <c r="I164" s="7" t="inlineStr"/>
      <c r="J164" s="7" t="inlineStr"/>
      <c r="K164" s="7" t="inlineStr"/>
      <c r="L164" s="7" t="inlineStr"/>
      <c r="M164" s="7" t="n"/>
      <c r="N164" s="7" t="inlineStr"/>
      <c r="O164" s="7" t="inlineStr">
        <is>
          <t>yes</t>
        </is>
      </c>
      <c r="P164" s="7" t="inlineStr"/>
      <c r="Q164" s="7" t="inlineStr">
        <is>
          <t>the reacting carbon (three carbon substituents) is bonded to a halogen the reaction put there</t>
        </is>
      </c>
      <c r="R16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4" s="7" t="inlineStr">
        <is>
          <t>the two ends of the old double bond (or ring) differ in how well they carry positive charge or how open they are to attack</t>
        </is>
      </c>
      <c r="T164" s="7" t="n"/>
      <c r="U164" s="10" t="n">
        <v>0.41</v>
      </c>
      <c r="V164" s="7" t="inlineStr"/>
      <c r="W164" s="7" t="n">
        <v>46</v>
      </c>
      <c r="X164" s="7" t="n">
        <v>38</v>
      </c>
      <c r="Y164" s="9" t="n">
        <v>0.6304</v>
      </c>
      <c r="Z164" s="9" t="n">
        <v>0.5112</v>
      </c>
      <c r="AA164" s="7" t="n"/>
      <c r="AB164" s="7" t="n"/>
      <c r="AC164" s="7" t="n"/>
      <c r="AD164" s="7" t="n"/>
      <c r="AE164" s="7" t="inlineStr">
        <is>
          <t>learned from the training patents (tools/int_train.py)</t>
        </is>
      </c>
      <c r="AF164" s="7" t="inlineStr">
        <is>
          <t>Clayden, Organic Chemistry (alkene additions, epoxide opening)</t>
        </is>
      </c>
    </row>
    <row r="165">
      <c r="A165" s="7" t="inlineStr">
        <is>
          <t>I164</t>
        </is>
      </c>
      <c r="B165" s="7" t="inlineStr">
        <is>
          <t>sp3-tertiary-at-M</t>
        </is>
      </c>
      <c r="C165" s="7" t="inlineStr">
        <is>
          <t>tertiary carbon that now carries a boron, silicon or phosphorus</t>
        </is>
      </c>
      <c r="D165" s="7" t="inlineStr">
        <is>
          <t>sp3 carbon: where the new group went</t>
        </is>
      </c>
      <c r="E165" s="7" t="inlineStr">
        <is>
          <t>steric</t>
        </is>
      </c>
      <c r="F165" s="7" t="inlineStr">
        <is>
          <t>sp3 C</t>
        </is>
      </c>
      <c r="G165" s="7" t="inlineStr">
        <is>
          <t>[C;X4;$(C(-[#6])(-[#6])-[#6]);$(C-[900B,900Si,900P])]</t>
        </is>
      </c>
      <c r="H165" s="7" t="inlineStr"/>
      <c r="I165" s="7" t="inlineStr"/>
      <c r="J165" s="7" t="inlineStr"/>
      <c r="K165" s="7" t="inlineStr"/>
      <c r="L165" s="7" t="inlineStr"/>
      <c r="M165" s="7" t="n"/>
      <c r="N165" s="7" t="inlineStr"/>
      <c r="O165" s="7" t="inlineStr">
        <is>
          <t>yes</t>
        </is>
      </c>
      <c r="P165" s="7" t="inlineStr"/>
      <c r="Q165" s="7" t="inlineStr">
        <is>
          <t>the reacting carbon (three carbon substituents) is bonded to a boron, silicon or phosphorus the reaction put there</t>
        </is>
      </c>
      <c r="R16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5" s="7" t="inlineStr">
        <is>
          <t>the two ends of the old double bond (or ring) differ in how well they carry positive charge or how open they are to attack</t>
        </is>
      </c>
      <c r="T165" s="7" t="n"/>
      <c r="U165" s="10" t="n">
        <v>-0.14</v>
      </c>
      <c r="V165" s="7" t="inlineStr"/>
      <c r="W165" s="7" t="n">
        <v>1</v>
      </c>
      <c r="X165" s="7" t="n">
        <v>1</v>
      </c>
      <c r="Y165" s="9" t="n">
        <v>0</v>
      </c>
      <c r="Z165" s="9" t="n">
        <v>0.5</v>
      </c>
      <c r="AA165" s="7" t="n"/>
      <c r="AB165" s="7" t="n"/>
      <c r="AC165" s="7" t="n"/>
      <c r="AD165" s="7" t="n"/>
      <c r="AE165" s="7" t="inlineStr">
        <is>
          <t>too few contests in the recorded reactions to learn a weight (the weight is shrunk to about zero): the textbook effect is advisory</t>
        </is>
      </c>
      <c r="AF165" s="7" t="inlineStr">
        <is>
          <t>Clayden, Organic Chemistry (alkene additions, epoxide opening)</t>
        </is>
      </c>
    </row>
    <row r="166">
      <c r="A166" s="7" t="inlineStr">
        <is>
          <t>I165</t>
        </is>
      </c>
      <c r="B166" s="7" t="inlineStr">
        <is>
          <t>sp3-tertiary-at-C</t>
        </is>
      </c>
      <c r="C166" s="7" t="inlineStr">
        <is>
          <t>tertiary carbon that now carries a carbon</t>
        </is>
      </c>
      <c r="D166" s="7" t="inlineStr">
        <is>
          <t>sp3 carbon: where the new group went</t>
        </is>
      </c>
      <c r="E166" s="7" t="inlineStr">
        <is>
          <t>steric</t>
        </is>
      </c>
      <c r="F166" s="7" t="inlineStr">
        <is>
          <t>sp3 C</t>
        </is>
      </c>
      <c r="G166" s="7" t="inlineStr">
        <is>
          <t>[C;X4;$(C(-[#6;!900*])(-[#6;!900*])-[#6;!900*]);$(C-[900C,900c])]</t>
        </is>
      </c>
      <c r="H166" s="7" t="inlineStr"/>
      <c r="I166" s="7" t="inlineStr"/>
      <c r="J166" s="7" t="inlineStr"/>
      <c r="K166" s="7" t="inlineStr"/>
      <c r="L166" s="7" t="inlineStr"/>
      <c r="M166" s="7" t="n"/>
      <c r="N166" s="7" t="inlineStr"/>
      <c r="O166" s="7" t="inlineStr">
        <is>
          <t>yes</t>
        </is>
      </c>
      <c r="P166" s="7" t="inlineStr"/>
      <c r="Q166" s="7" t="inlineStr">
        <is>
          <t>the reacting carbon (three carbon substituents besides the new bond) is bonded to a carbon the reaction put there</t>
        </is>
      </c>
      <c r="R16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6" s="7" t="inlineStr">
        <is>
          <t>the two ends of the old double bond (or ring) differ in how well they carry positive charge or how open they are to attack</t>
        </is>
      </c>
      <c r="T166" s="7" t="n"/>
      <c r="U166" s="10" t="n">
        <v>-0.74</v>
      </c>
      <c r="V166" s="7" t="inlineStr">
        <is>
          <t>acyl substitution -1.67 (n=36; winner had it 14 % vs 34 % at random) · other -0.99 (n=25; winner had it 60 % vs 48 % at random) · carbonyl addition -0.74 (n=101; winner had it 41 % vs 44 % at random) · deprotection -0.24 (n=36; winner had it 42 % vs 46 % at random) · alkyl substitution -0.09 (n=96; winner had it 80 % vs 51 % at random)</t>
        </is>
      </c>
      <c r="W166" s="7" t="n">
        <v>332</v>
      </c>
      <c r="X166" s="7" t="n">
        <v>221</v>
      </c>
      <c r="Y166" s="9" t="n">
        <v>0.5181</v>
      </c>
      <c r="Z166" s="9" t="n">
        <v>0.4631</v>
      </c>
      <c r="AA166" s="7" t="n"/>
      <c r="AB166" s="7" t="n"/>
      <c r="AC166" s="7" t="n"/>
      <c r="AD166" s="7" t="n"/>
      <c r="AE166" s="7" t="inlineStr">
        <is>
          <t>learned from the training patents (tools/int_train.py)</t>
        </is>
      </c>
      <c r="AF166" s="7" t="inlineStr">
        <is>
          <t>Clayden, Organic Chemistry (alkene additions, epoxide opening)</t>
        </is>
      </c>
    </row>
    <row r="167">
      <c r="A167" s="7" t="inlineStr">
        <is>
          <t>I166</t>
        </is>
      </c>
      <c r="B167" s="7" t="inlineStr">
        <is>
          <t>co-aryl</t>
        </is>
      </c>
      <c r="C167" s="7" t="inlineStr">
        <is>
          <t>aryl on the carbonyl carbon</t>
        </is>
      </c>
      <c r="D167" s="7" t="inlineStr">
        <is>
          <t>carbonyl carbon</t>
        </is>
      </c>
      <c r="E167" s="7" t="inlineStr">
        <is>
          <t>electronic</t>
        </is>
      </c>
      <c r="F167" s="7" t="inlineStr">
        <is>
          <t>carbonyl C</t>
        </is>
      </c>
      <c r="G167" s="7" t="inlineStr">
        <is>
          <t>[C;X3;$(C=[O,N,S]);$(C-[c;!900*])]</t>
        </is>
      </c>
      <c r="H167" s="7" t="inlineStr"/>
      <c r="I167" s="7" t="inlineStr"/>
      <c r="J167" s="7" t="inlineStr"/>
      <c r="K167" s="7" t="inlineStr"/>
      <c r="L167" s="7" t="inlineStr"/>
      <c r="M167" s="7" t="n"/>
      <c r="N167" s="7" t="inlineStr"/>
      <c r="O167" s="7" t="inlineStr">
        <is>
          <t>yes</t>
        </is>
      </c>
      <c r="P167" s="7" t="inlineStr"/>
      <c r="Q167" s="7" t="inlineStr">
        <is>
          <t>the retained carbonyl carbon (acyl substitution) is bonded to an aromatic ring</t>
        </is>
      </c>
      <c r="R167" s="7" t="inlineStr">
        <is>
          <t>less electrophilic than an alkyl carbonyl (conjugation) and more hindered; ortho substituents twist it out of conjugation</t>
        </is>
      </c>
      <c r="S167" s="7" t="inlineStr">
        <is>
          <t>the ring donates into the C=O by resonance</t>
        </is>
      </c>
      <c r="T167" s="7" t="n"/>
      <c r="U167" s="10" t="n">
        <v>1.38</v>
      </c>
      <c r="V167" s="7" t="inlineStr">
        <is>
          <t>other +2.52 (n=161; winner had it 96 % vs 44 % at random) · deprotection +2.10 (n=332; winner had it 81 % vs 45 % at random) · carbonyl addition +1.74 (n=843; winner had it 74 % vs 47 % at random) · unsaturated +1.68 (n=27; winner had it 74 % vs 49 % at random) · acyl substitution +1.64 (n=2559; winner had it 84 % vs 49 % at random) · aryl halide +1.56 (n=127; winner had it 79 % vs 47 % at random)</t>
        </is>
      </c>
      <c r="W167" s="7" t="n">
        <v>4127</v>
      </c>
      <c r="X167" s="7" t="n">
        <v>2126</v>
      </c>
      <c r="Y167" s="9" t="n">
        <v>0.8166</v>
      </c>
      <c r="Z167" s="9" t="n">
        <v>0.478</v>
      </c>
      <c r="AA167" s="7" t="n"/>
      <c r="AB167" s="7" t="n"/>
      <c r="AC167" s="7" t="n"/>
      <c r="AD167" s="7" t="n"/>
      <c r="AE167" s="7" t="inlineStr">
        <is>
          <t>learned from the training patents (tools/int_train.py)</t>
        </is>
      </c>
      <c r="AF167" s="7" t="inlineStr">
        <is>
          <t>Clayden, Organic Chemistry</t>
        </is>
      </c>
    </row>
    <row r="168">
      <c r="A168" s="7" t="inlineStr">
        <is>
          <t>I167</t>
        </is>
      </c>
      <c r="B168" s="7" t="inlineStr">
        <is>
          <t>co-vinyl</t>
        </is>
      </c>
      <c r="C168" s="7" t="inlineStr">
        <is>
          <t>C=C on the carbonyl carbon (enone, acrylate)</t>
        </is>
      </c>
      <c r="D168" s="7" t="inlineStr">
        <is>
          <t>carbonyl carbon</t>
        </is>
      </c>
      <c r="E168" s="7" t="inlineStr">
        <is>
          <t>electronic</t>
        </is>
      </c>
      <c r="F168" s="7" t="inlineStr">
        <is>
          <t>carbonyl C</t>
        </is>
      </c>
      <c r="G168" s="7" t="inlineStr">
        <is>
          <t>[C;X3;$(C=[O,N,S]);$(C-[C;X3;!$(C=O);!900*]=C)]</t>
        </is>
      </c>
      <c r="H168" s="7" t="inlineStr"/>
      <c r="I168" s="7" t="inlineStr"/>
      <c r="J168" s="7" t="inlineStr"/>
      <c r="K168" s="7" t="inlineStr"/>
      <c r="L168" s="7" t="inlineStr"/>
      <c r="M168" s="7" t="n"/>
      <c r="N168" s="7" t="inlineStr"/>
      <c r="O168" s="7" t="inlineStr">
        <is>
          <t>yes</t>
        </is>
      </c>
      <c r="P168" s="7" t="inlineStr"/>
      <c r="Q168" s="7" t="inlineStr">
        <is>
          <t>the retained carbonyl carbon is bonded to a C=C</t>
        </is>
      </c>
      <c r="R168" s="7" t="inlineStr">
        <is>
          <t>hard nucleophiles add 1,2; soft nucleophiles add 1,4 at the β carbon instead</t>
        </is>
      </c>
      <c r="S168" s="7" t="inlineStr">
        <is>
          <t>conjugation spreads the electrophilicity to the β carbon</t>
        </is>
      </c>
      <c r="T168" s="7" t="n"/>
      <c r="U168" s="10" t="n">
        <v>1.25</v>
      </c>
      <c r="V168" s="7" t="inlineStr">
        <is>
          <t>deprotection +3.03 (n=43; winner had it 74 % vs 45 % at random) · carbonyl addition +1.39 (n=118; winner had it 63 % vs 44 % at random) · acyl substitution +0.58 (n=405; winner had it 51 % vs 45 % at random)</t>
        </is>
      </c>
      <c r="W168" s="7" t="n">
        <v>643</v>
      </c>
      <c r="X168" s="7" t="n">
        <v>404</v>
      </c>
      <c r="Y168" s="9" t="n">
        <v>0.5568</v>
      </c>
      <c r="Z168" s="9" t="n">
        <v>0.445</v>
      </c>
      <c r="AA168" s="7" t="n"/>
      <c r="AB168" s="7" t="n"/>
      <c r="AC168" s="7" t="n"/>
      <c r="AD168" s="7" t="n"/>
      <c r="AE168" s="7" t="inlineStr">
        <is>
          <t>learned from the training patents (tools/int_train.py)</t>
        </is>
      </c>
      <c r="AF168" s="7" t="inlineStr">
        <is>
          <t>Clayden, Organic Chemistry</t>
        </is>
      </c>
    </row>
    <row r="169">
      <c r="A169" s="7" t="inlineStr">
        <is>
          <t>I168</t>
        </is>
      </c>
      <c r="B169" s="7" t="inlineStr">
        <is>
          <t>co-alpha-branched</t>
        </is>
      </c>
      <c r="C169" s="7" t="inlineStr">
        <is>
          <t>α-branched carbonyl (CHR2 next to C=O)</t>
        </is>
      </c>
      <c r="D169" s="7" t="inlineStr">
        <is>
          <t>carbonyl carbon</t>
        </is>
      </c>
      <c r="E169" s="7" t="inlineStr">
        <is>
          <t>hindrance</t>
        </is>
      </c>
      <c r="F169" s="7" t="inlineStr">
        <is>
          <t>carbonyl C</t>
        </is>
      </c>
      <c r="G169" s="7" t="inlineStr">
        <is>
          <t>[C;X3;$(C=[O,N,S]);$(C-[CX4;H1;!900*](-[#6])-[#6])]</t>
        </is>
      </c>
      <c r="H169" s="7" t="inlineStr"/>
      <c r="I169" s="7" t="inlineStr"/>
      <c r="J169" s="7" t="inlineStr"/>
      <c r="K169" s="7" t="inlineStr"/>
      <c r="L169" s="7" t="inlineStr"/>
      <c r="M169" s="7" t="n"/>
      <c r="N169" s="7" t="inlineStr"/>
      <c r="O169" s="7" t="inlineStr">
        <is>
          <t>yes</t>
        </is>
      </c>
      <c r="P169" s="7" t="inlineStr"/>
      <c r="Q169" s="7" t="inlineStr">
        <is>
          <t>the retained carbonyl carbon is bonded to a CH that carries two more carbons</t>
        </is>
      </c>
      <c r="R169" s="7" t="inlineStr">
        <is>
          <t>additions and acyl substitutions slower; the α C–H is more easily epimerised</t>
        </is>
      </c>
      <c r="S169" s="7" t="inlineStr">
        <is>
          <t>the branch crowds the approach to the carbonyl</t>
        </is>
      </c>
      <c r="T169" s="7" t="n"/>
      <c r="U169" s="10" t="n">
        <v>0.41</v>
      </c>
      <c r="V169" s="7" t="inlineStr">
        <is>
          <t>deprotection +1.05 (n=119; winner had it 66 % vs 44 % at random) · acyl substitution +1.03 (n=928; winner had it 76 % vs 49 % at random) · carbonyl addition +0.06 (n=154; winner had it 46 % vs 43 % at random)</t>
        </is>
      </c>
      <c r="W169" s="7" t="n">
        <v>1282</v>
      </c>
      <c r="X169" s="7" t="n">
        <v>721</v>
      </c>
      <c r="Y169" s="9" t="n">
        <v>0.7005</v>
      </c>
      <c r="Z169" s="9" t="n">
        <v>0.4734</v>
      </c>
      <c r="AA169" s="7" t="n"/>
      <c r="AB169" s="7" t="n"/>
      <c r="AC169" s="7" t="n"/>
      <c r="AD169" s="7" t="n"/>
      <c r="AE169" s="7" t="inlineStr">
        <is>
          <t>learned from the training patents (tools/int_train.py)</t>
        </is>
      </c>
      <c r="AF169" s="7" t="inlineStr">
        <is>
          <t>Clayden, Organic Chemistry</t>
        </is>
      </c>
    </row>
    <row r="170">
      <c r="A170" s="7" t="inlineStr">
        <is>
          <t>I169</t>
        </is>
      </c>
      <c r="B170" s="7" t="inlineStr">
        <is>
          <t>co-alpha-quaternary</t>
        </is>
      </c>
      <c r="C170" s="7" t="inlineStr">
        <is>
          <t>α-quaternary carbonyl (CR3 next to C=O)</t>
        </is>
      </c>
      <c r="D170" s="7" t="inlineStr">
        <is>
          <t>carbonyl carbon</t>
        </is>
      </c>
      <c r="E170" s="7" t="inlineStr">
        <is>
          <t>hindrance</t>
        </is>
      </c>
      <c r="F170" s="7" t="inlineStr">
        <is>
          <t>carbonyl C</t>
        </is>
      </c>
      <c r="G170" s="7" t="inlineStr">
        <is>
          <t>[C;X3;$(C=[O,N,S]);$(C-[CX4;H0;!900*](-[#6])-[#6])]</t>
        </is>
      </c>
      <c r="H170" s="7" t="inlineStr"/>
      <c r="I170" s="7" t="inlineStr"/>
      <c r="J170" s="7" t="inlineStr"/>
      <c r="K170" s="7" t="inlineStr"/>
      <c r="L170" s="7" t="inlineStr"/>
      <c r="M170" s="7" t="n"/>
      <c r="N170" s="7" t="inlineStr"/>
      <c r="O170" s="7" t="inlineStr">
        <is>
          <t>yes</t>
        </is>
      </c>
      <c r="P170" s="7" t="inlineStr"/>
      <c r="Q170" s="7" t="inlineStr">
        <is>
          <t>the retained carbonyl carbon is bonded to a carbon with no H and at least two further carbons (pivaloyl, Aib, α-hydroxyisobutyryl)</t>
        </is>
      </c>
      <c r="R170" s="7" t="inlineStr">
        <is>
          <t>strongly hindered: additions and hydrolysis are slow (pivalates survive conditions that cleave acetates); no α C–H, so no enolisation</t>
        </is>
      </c>
      <c r="S170" s="7" t="inlineStr">
        <is>
          <t>the tert-alkyl group shields the carbonyl carbon</t>
        </is>
      </c>
      <c r="T170" s="7" t="n"/>
      <c r="U170" s="10" t="n">
        <v>-0.18</v>
      </c>
      <c r="V170" s="7" t="inlineStr">
        <is>
          <t>deprotection -0.93 (n=118; winner had it 25 % vs 44 % at random)</t>
        </is>
      </c>
      <c r="W170" s="7" t="n">
        <v>1042</v>
      </c>
      <c r="X170" s="7" t="n">
        <v>598</v>
      </c>
      <c r="Y170" s="9" t="n">
        <v>0.6017</v>
      </c>
      <c r="Z170" s="9" t="n">
        <v>0.4628</v>
      </c>
      <c r="AA170" s="7" t="n"/>
      <c r="AB170" s="7" t="n"/>
      <c r="AC170" s="7" t="n"/>
      <c r="AD170" s="7" t="n"/>
      <c r="AE170" s="7" t="inlineStr">
        <is>
          <t>learned from the training patents (tools/int_train.py)</t>
        </is>
      </c>
      <c r="AF170" s="7" t="inlineStr">
        <is>
          <t>Clayden, Organic Chemistry; Taft Es t-Bu −1.54</t>
        </is>
      </c>
    </row>
    <row r="171">
      <c r="A171" s="7" t="inlineStr">
        <is>
          <t>I170</t>
        </is>
      </c>
      <c r="B171" s="7" t="inlineStr">
        <is>
          <t>co-alpha-hetero</t>
        </is>
      </c>
      <c r="C171" s="7" t="inlineStr">
        <is>
          <t>α-heteroatom (halogen, O, N) on the carbon next to the carbonyl</t>
        </is>
      </c>
      <c r="D171" s="7" t="inlineStr">
        <is>
          <t>carbonyl carbon</t>
        </is>
      </c>
      <c r="E171" s="7" t="inlineStr">
        <is>
          <t>electronic</t>
        </is>
      </c>
      <c r="F171" s="7" t="inlineStr">
        <is>
          <t>carbonyl C</t>
        </is>
      </c>
      <c r="G171" s="7" t="inlineStr">
        <is>
          <t>[C;X3;$(C=[O,N,S]);$(C-[CX4;$(C-[F,Cl,Br,I,O,N]);!$(C(F)(F)F);!900*])]</t>
        </is>
      </c>
      <c r="H171" s="7" t="inlineStr"/>
      <c r="I171" s="7" t="inlineStr"/>
      <c r="J171" s="7" t="inlineStr"/>
      <c r="K171" s="7" t="inlineStr"/>
      <c r="L171" s="7" t="inlineStr"/>
      <c r="M171" s="7" t="n"/>
      <c r="N171" s="7" t="inlineStr"/>
      <c r="O171" s="7" t="inlineStr">
        <is>
          <t>yes</t>
        </is>
      </c>
      <c r="P171" s="7" t="inlineStr"/>
      <c r="Q171" s="7" t="inlineStr">
        <is>
          <t>the carbon next to the retained carbonyl carbon carries a halogen, O or N (a CF3 has its own row)</t>
        </is>
      </c>
      <c r="R171" s="7" t="inlineStr">
        <is>
          <t>α-halo carbonyls are more electrophilic at C=O and far more reactive in SN2; α-alkoxy / α-amino groups chelate Lewis acids (chelation-controlled addition)</t>
        </is>
      </c>
      <c r="S171" s="7" t="inlineStr">
        <is>
          <t>induction withdraws electron density; the heteroatom can bind the metal</t>
        </is>
      </c>
      <c r="T171" s="7" t="n"/>
      <c r="U171" s="10" t="n">
        <v>0.13</v>
      </c>
      <c r="V171" s="7" t="inlineStr">
        <is>
          <t>acyl substitution +0.81 (n=3726; winner had it 86 % vs 48 % at random) · other -0.77 (n=85; winner had it 13 % vs 41 % at random) · aryl halide +0.76 (n=78; winner had it 60 % vs 48 % at random) · alkyl substitution +0.49 (n=30; winner had it 60 % vs 46 % at random)</t>
        </is>
      </c>
      <c r="W171" s="7" t="n">
        <v>4562</v>
      </c>
      <c r="X171" s="7" t="n">
        <v>2274</v>
      </c>
      <c r="Y171" s="9" t="n">
        <v>0.7902</v>
      </c>
      <c r="Z171" s="9" t="n">
        <v>0.4745</v>
      </c>
      <c r="AA171" s="7" t="n"/>
      <c r="AB171" s="7" t="n"/>
      <c r="AC171" s="7" t="n"/>
      <c r="AD171" s="7" t="n"/>
      <c r="AE171" s="7" t="inlineStr">
        <is>
          <t>learned from the training patents (tools/int_train.py)</t>
        </is>
      </c>
      <c r="AF171" s="7" t="inlineStr">
        <is>
          <t>Clayden, Organic Chemistry</t>
        </is>
      </c>
    </row>
    <row r="172">
      <c r="A172" s="7" t="inlineStr">
        <is>
          <t>I171</t>
        </is>
      </c>
      <c r="B172" s="7" t="inlineStr">
        <is>
          <t>co-alpha-CF3</t>
        </is>
      </c>
      <c r="C172" s="7" t="inlineStr">
        <is>
          <t>CF3 on the carbonyl carbon</t>
        </is>
      </c>
      <c r="D172" s="7" t="inlineStr">
        <is>
          <t>carbonyl carbon</t>
        </is>
      </c>
      <c r="E172" s="7" t="inlineStr">
        <is>
          <t>electronic</t>
        </is>
      </c>
      <c r="F172" s="7" t="inlineStr">
        <is>
          <t>carbonyl C</t>
        </is>
      </c>
      <c r="G172" s="7" t="inlineStr">
        <is>
          <t>[C;X3;$(C=[O,N,S]);$(C-[C;!900*](F)(F)F)]</t>
        </is>
      </c>
      <c r="H172" s="7" t="inlineStr"/>
      <c r="I172" s="7" t="inlineStr"/>
      <c r="J172" s="7" t="inlineStr"/>
      <c r="K172" s="7" t="inlineStr"/>
      <c r="L172" s="7" t="inlineStr"/>
      <c r="M172" s="7" t="n"/>
      <c r="N172" s="7" t="inlineStr"/>
      <c r="O172" s="7" t="inlineStr">
        <is>
          <t>yes</t>
        </is>
      </c>
      <c r="P172" s="7" t="inlineStr"/>
      <c r="Q172" s="7" t="inlineStr">
        <is>
          <t>the retained carbonyl carbon is bonded to a CF3 it already had (trifluoromethyl ketone, trifluoroacetamide)</t>
        </is>
      </c>
      <c r="R172" s="7" t="inlineStr">
        <is>
          <t>much more electrophilic: hydrates readily and adds nucleophiles without catalysts; trifluoroacetamides are cleaved easily</t>
        </is>
      </c>
      <c r="S172" s="7" t="inlineStr">
        <is>
          <t>the CF3 withdraws strongly (Taft σ* +2.61)</t>
        </is>
      </c>
      <c r="T172" s="7" t="n"/>
      <c r="U172" s="10" t="n">
        <v>-0.21</v>
      </c>
      <c r="V172" s="7" t="inlineStr">
        <is>
          <t>acyl substitution -0.60 (n=32; winner had it 50 % vs 57 % at random) · carbonyl addition +0.06 (n=42; winner had it 36 % vs 48 % at random)</t>
        </is>
      </c>
      <c r="W172" s="7" t="n">
        <v>90</v>
      </c>
      <c r="X172" s="7" t="n">
        <v>74</v>
      </c>
      <c r="Y172" s="9" t="n">
        <v>0.4111</v>
      </c>
      <c r="Z172" s="9" t="n">
        <v>0.5114</v>
      </c>
      <c r="AA172" s="7" t="n"/>
      <c r="AB172" s="7" t="n"/>
      <c r="AC172" s="7" t="n"/>
      <c r="AD172" s="7" t="n"/>
      <c r="AE172" s="7" t="inlineStr">
        <is>
          <t>learned from the training patents (tools/int_train.py)</t>
        </is>
      </c>
      <c r="AF172" s="7" t="inlineStr">
        <is>
          <t>Hansch, Leo, Taft; Taft σ* values</t>
        </is>
      </c>
    </row>
    <row r="173">
      <c r="A173" s="7" t="inlineStr">
        <is>
          <t>I172</t>
        </is>
      </c>
      <c r="B173" s="7" t="inlineStr">
        <is>
          <t>co-two-hetero</t>
        </is>
      </c>
      <c r="C173" s="7" t="inlineStr">
        <is>
          <t>two heteroatoms on the carbonyl carbon (carbamate, urea, carbonate)</t>
        </is>
      </c>
      <c r="D173" s="7" t="inlineStr">
        <is>
          <t>carbonyl carbon</t>
        </is>
      </c>
      <c r="E173" s="7" t="inlineStr">
        <is>
          <t>electronic</t>
        </is>
      </c>
      <c r="F173" s="7" t="inlineStr">
        <is>
          <t>carbonyl C</t>
        </is>
      </c>
      <c r="G173" s="7" t="inlineStr">
        <is>
          <t>[C;X3;$(C=O);$(C(-[O,N])-[O,N])]</t>
        </is>
      </c>
      <c r="H173" s="7" t="inlineStr"/>
      <c r="I173" s="7" t="inlineStr"/>
      <c r="J173" s="7" t="inlineStr"/>
      <c r="K173" s="7" t="inlineStr"/>
      <c r="L173" s="7" t="inlineStr"/>
      <c r="M173" s="7" t="n"/>
      <c r="N173" s="7" t="inlineStr"/>
      <c r="O173" s="7" t="inlineStr">
        <is>
          <t>yes</t>
        </is>
      </c>
      <c r="P173" s="7" t="inlineStr"/>
      <c r="Q173" s="7" t="inlineStr">
        <is>
          <t>the retained carbonyl carbon carries two O/N substituents</t>
        </is>
      </c>
      <c r="R173" s="7" t="inlineStr">
        <is>
          <t>poorly electrophilic: carbamates and ureas survive conditions that cleave amides and esters</t>
        </is>
      </c>
      <c r="S173" s="7" t="inlineStr">
        <is>
          <t>two lone pairs donate into the C=O</t>
        </is>
      </c>
      <c r="T173" s="7" t="n"/>
      <c r="U173" s="10" t="n">
        <v>-1.85</v>
      </c>
      <c r="V173" s="7" t="inlineStr">
        <is>
          <t>acyl substitution -5.04 (n=5511; winner had it 0 % vs 50 % at random) · deprotection -2.36 (n=160; winner had it 5 % vs 49 % at random) · n nucleophile -0.33 (n=27; winner had it 70 % vs 54 % at random)</t>
        </is>
      </c>
      <c r="W173" s="7" t="n">
        <v>5749</v>
      </c>
      <c r="X173" s="7" t="n">
        <v>2460</v>
      </c>
      <c r="Y173" s="9" t="n">
        <v>0.008500000000000001</v>
      </c>
      <c r="Z173" s="9" t="n">
        <v>0.496</v>
      </c>
      <c r="AA173" s="7" t="n"/>
      <c r="AB173" s="7" t="n"/>
      <c r="AC173" s="7" t="n"/>
      <c r="AD173" s="7" t="n"/>
      <c r="AE173" s="7" t="inlineStr">
        <is>
          <t>learned from the training patents (tools/int_train.py)</t>
        </is>
      </c>
      <c r="AF173" s="7" t="inlineStr">
        <is>
          <t>Clayden, Organic Chemistry</t>
        </is>
      </c>
    </row>
    <row r="174">
      <c r="A174" s="7" t="inlineStr">
        <is>
          <t>I173</t>
        </is>
      </c>
      <c r="B174" s="7" t="inlineStr">
        <is>
          <t>co-heteroaryl</t>
        </is>
      </c>
      <c r="C174" s="7" t="inlineStr">
        <is>
          <t>azinyl on the carbonyl carbon</t>
        </is>
      </c>
      <c r="D174" s="7" t="inlineStr">
        <is>
          <t>carbonyl carbon</t>
        </is>
      </c>
      <c r="E174" s="7" t="inlineStr">
        <is>
          <t>electronic</t>
        </is>
      </c>
      <c r="F174" s="7" t="inlineStr">
        <is>
          <t>carbonyl C</t>
        </is>
      </c>
      <c r="G174" s="7" t="inlineStr">
        <is>
          <t>[C;X3;$(C=[O,N,S]);$(C-[c;$(c:[nX2]);!900*])]</t>
        </is>
      </c>
      <c r="H174" s="7" t="inlineStr"/>
      <c r="I174" s="7" t="inlineStr"/>
      <c r="J174" s="7" t="inlineStr"/>
      <c r="K174" s="7" t="inlineStr"/>
      <c r="L174" s="7" t="inlineStr"/>
      <c r="M174" s="7" t="n"/>
      <c r="N174" s="7" t="inlineStr"/>
      <c r="O174" s="7" t="inlineStr">
        <is>
          <t>yes</t>
        </is>
      </c>
      <c r="P174" s="7" t="inlineStr"/>
      <c r="Q174" s="7" t="inlineStr">
        <is>
          <t>the retained carbonyl carbon is bonded to a ring carbon next to a pyridine-type ring N (picolinoyl-type; pyrrole-type N–H / N–R do not count)</t>
        </is>
      </c>
      <c r="R174" s="7" t="inlineStr">
        <is>
          <t>more electrophilic than a phenyl carbonyl; the ring N chelates metals and directs</t>
        </is>
      </c>
      <c r="S174" s="7" t="inlineStr">
        <is>
          <t>the azine is electron-poor and can bind</t>
        </is>
      </c>
      <c r="T174" s="7" t="n"/>
      <c r="U174" s="10" t="n">
        <v>0.33</v>
      </c>
      <c r="V174" s="7" t="inlineStr">
        <is>
          <t>aryl halide +1.29 (n=27; winner had it 74 % vs 48 % at random) · other +1.24 (n=91; winner had it 96 % vs 41 % at random) · acyl substitution +0.67 (n=471; winner had it 90 % vs 50 % at random) · deprotection -0.09 (n=82; winner had it 71 % vs 42 % at random)</t>
        </is>
      </c>
      <c r="W174" s="7" t="n">
        <v>789</v>
      </c>
      <c r="X174" s="7" t="n">
        <v>440</v>
      </c>
      <c r="Y174" s="9" t="n">
        <v>0.8378</v>
      </c>
      <c r="Z174" s="9" t="n">
        <v>0.4754</v>
      </c>
      <c r="AA174" s="7" t="n"/>
      <c r="AB174" s="7" t="n"/>
      <c r="AC174" s="7" t="n"/>
      <c r="AD174" s="7" t="n"/>
      <c r="AE174" s="7" t="inlineStr">
        <is>
          <t>learned from the training patents (tools/int_train.py)</t>
        </is>
      </c>
      <c r="AF174" s="7" t="inlineStr">
        <is>
          <t>Joule &amp; Mills, Heterocyclic Chemistry</t>
        </is>
      </c>
    </row>
    <row r="175">
      <c r="A175" s="7" t="inlineStr">
        <is>
          <t>I174</t>
        </is>
      </c>
      <c r="B175" s="7" t="inlineStr">
        <is>
          <t>co-ring4</t>
        </is>
      </c>
      <c r="C175" s="7" t="inlineStr">
        <is>
          <t>carbonyl in a 4-membered ring</t>
        </is>
      </c>
      <c r="D175" s="7" t="inlineStr">
        <is>
          <t>carbonyl carbon</t>
        </is>
      </c>
      <c r="E175" s="7" t="inlineStr">
        <is>
          <t>geometry</t>
        </is>
      </c>
      <c r="F175" s="7" t="inlineStr">
        <is>
          <t>carbonyl C</t>
        </is>
      </c>
      <c r="G175" s="7" t="inlineStr">
        <is>
          <t>[C;X3;$(C=[O,N,S]);r4]</t>
        </is>
      </c>
      <c r="H175" s="7" t="inlineStr"/>
      <c r="I175" s="7" t="inlineStr"/>
      <c r="J175" s="7" t="inlineStr"/>
      <c r="K175" s="7" t="inlineStr"/>
      <c r="L175" s="7" t="inlineStr"/>
      <c r="M175" s="7" t="n"/>
      <c r="N175" s="7" t="inlineStr"/>
      <c r="O175" s="7" t="inlineStr">
        <is>
          <t>yes</t>
        </is>
      </c>
      <c r="P175" s="7" t="inlineStr"/>
      <c r="Q175" s="7" t="inlineStr">
        <is>
          <t>the retained carbonyl carbon is in a ring of 4 atoms (lactam, lactone, cyclic ketone)</t>
        </is>
      </c>
      <c r="R175" s="7" t="inlineStr">
        <is>
          <t>strained ring carbonyl: β-lactams and cyclobutanones are very reactive to nucleophiles</t>
        </is>
      </c>
      <c r="S175" s="7" t="inlineStr">
        <is>
          <t>ring size sets strain and the face that is attacked</t>
        </is>
      </c>
      <c r="T175" s="7" t="n"/>
      <c r="U175" s="10" t="n">
        <v>-0.65</v>
      </c>
      <c r="V175" s="7" t="inlineStr"/>
      <c r="W175" s="7" t="n">
        <v>18</v>
      </c>
      <c r="X175" s="7" t="n">
        <v>14</v>
      </c>
      <c r="Y175" s="9" t="n">
        <v>0.2778</v>
      </c>
      <c r="Z175" s="9" t="n">
        <v>0.4343</v>
      </c>
      <c r="AA175" s="7" t="n"/>
      <c r="AB175" s="7" t="n"/>
      <c r="AC175" s="7" t="n"/>
      <c r="AD175" s="7" t="n"/>
      <c r="AE175" s="7" t="inlineStr">
        <is>
          <t>too few contests in the recorded reactions to learn a weight (the weight is shrunk to about zero): the textbook effect is advisory</t>
        </is>
      </c>
      <c r="AF175" s="7" t="inlineStr">
        <is>
          <t>Clayden, Organic Chemistry</t>
        </is>
      </c>
    </row>
    <row r="176">
      <c r="A176" s="7" t="inlineStr">
        <is>
          <t>I175</t>
        </is>
      </c>
      <c r="B176" s="7" t="inlineStr">
        <is>
          <t>co-ring5</t>
        </is>
      </c>
      <c r="C176" s="7" t="inlineStr">
        <is>
          <t>carbonyl in a 5-membered ring</t>
        </is>
      </c>
      <c r="D176" s="7" t="inlineStr">
        <is>
          <t>carbonyl carbon</t>
        </is>
      </c>
      <c r="E176" s="7" t="inlineStr">
        <is>
          <t>geometry</t>
        </is>
      </c>
      <c r="F176" s="7" t="inlineStr">
        <is>
          <t>carbonyl C</t>
        </is>
      </c>
      <c r="G176" s="7" t="inlineStr">
        <is>
          <t>[C;X3;$(C=[O,N,S]);r5]</t>
        </is>
      </c>
      <c r="H176" s="7" t="inlineStr"/>
      <c r="I176" s="7" t="inlineStr"/>
      <c r="J176" s="7" t="inlineStr"/>
      <c r="K176" s="7" t="inlineStr"/>
      <c r="L176" s="7" t="inlineStr"/>
      <c r="M176" s="7" t="n"/>
      <c r="N176" s="7" t="inlineStr"/>
      <c r="O176" s="7" t="inlineStr">
        <is>
          <t>yes</t>
        </is>
      </c>
      <c r="P176" s="7" t="inlineStr"/>
      <c r="Q176" s="7" t="inlineStr">
        <is>
          <t>the retained carbonyl carbon is in a ring of 5 atoms (lactam, lactone, cyclic ketone)</t>
        </is>
      </c>
      <c r="R176" s="7" t="inlineStr">
        <is>
          <t>γ-lactones and γ-lactams are the least strained and the most stable lactones and lactams; cyclopentanone adds nucleophiles more slowly than cyclohexanone (adding to the C=O increases eclipsing in the five-membered ring)</t>
        </is>
      </c>
      <c r="S176" s="7" t="inlineStr">
        <is>
          <t>ring size sets strain and the face that is attacked</t>
        </is>
      </c>
      <c r="T176" s="7" t="n"/>
      <c r="U176" s="10" t="n">
        <v>1.06</v>
      </c>
      <c r="V176" s="7" t="inlineStr">
        <is>
          <t>n nucleophile +2.19 (n=32; winner had it 94 % vs 50 % at random) · acyl substitution +1.05 (n=46; winner had it 54 % vs 42 % at random) · deprotection +0.82 (n=91; winner had it 56 % vs 42 % at random) · aryl halide +0.59 (n=51; winner had it 67 % vs 30 % at random) · carbonyl addition +0.53 (n=479; winner had it 77 % vs 32 % at random)</t>
        </is>
      </c>
      <c r="W176" s="7" t="n">
        <v>743</v>
      </c>
      <c r="X176" s="7" t="n">
        <v>305</v>
      </c>
      <c r="Y176" s="9" t="n">
        <v>0.7295</v>
      </c>
      <c r="Z176" s="9" t="n">
        <v>0.3474</v>
      </c>
      <c r="AA176" s="7" t="n"/>
      <c r="AB176" s="7" t="n"/>
      <c r="AC176" s="7" t="n"/>
      <c r="AD176" s="7" t="n"/>
      <c r="AE176" s="7" t="inlineStr">
        <is>
          <t>learned from the training patents (tools/int_train.py)</t>
        </is>
      </c>
      <c r="AF176" s="7" t="inlineStr">
        <is>
          <t>Clayden, Organic Chemistry</t>
        </is>
      </c>
    </row>
    <row r="177">
      <c r="A177" s="7" t="inlineStr">
        <is>
          <t>I176</t>
        </is>
      </c>
      <c r="B177" s="7" t="inlineStr">
        <is>
          <t>co-ring6</t>
        </is>
      </c>
      <c r="C177" s="7" t="inlineStr">
        <is>
          <t>carbonyl in a 6-membered ring</t>
        </is>
      </c>
      <c r="D177" s="7" t="inlineStr">
        <is>
          <t>carbonyl carbon</t>
        </is>
      </c>
      <c r="E177" s="7" t="inlineStr">
        <is>
          <t>geometry</t>
        </is>
      </c>
      <c r="F177" s="7" t="inlineStr">
        <is>
          <t>carbonyl C</t>
        </is>
      </c>
      <c r="G177" s="7" t="inlineStr">
        <is>
          <t>[C;X3;$(C=[O,N,S]);r6]</t>
        </is>
      </c>
      <c r="H177" s="7" t="inlineStr"/>
      <c r="I177" s="7" t="inlineStr"/>
      <c r="J177" s="7" t="inlineStr"/>
      <c r="K177" s="7" t="inlineStr"/>
      <c r="L177" s="7" t="inlineStr"/>
      <c r="M177" s="7" t="n"/>
      <c r="N177" s="7" t="inlineStr"/>
      <c r="O177" s="7" t="inlineStr">
        <is>
          <t>yes</t>
        </is>
      </c>
      <c r="P177" s="7" t="inlineStr"/>
      <c r="Q177" s="7" t="inlineStr">
        <is>
          <t>the retained carbonyl carbon is in a ring of 6 atoms (lactam, lactone, cyclic ketone)</t>
        </is>
      </c>
      <c r="R177" s="7" t="inlineStr">
        <is>
          <t>δ-valerolactone is strained and opens faster than γ-butyrolactone; cyclohexanone adds nucleophiles faster than cyclopentanone and acyclic ketones (the sp2 → sp3 change relieves torsional strain); axial or equatorial attack decides the diastereomer</t>
        </is>
      </c>
      <c r="S177" s="7" t="inlineStr">
        <is>
          <t>ring size sets strain and the face that is attacked</t>
        </is>
      </c>
      <c r="T177" s="7" t="n"/>
      <c r="U177" s="10" t="n">
        <v>0.61</v>
      </c>
      <c r="V177" s="7" t="inlineStr">
        <is>
          <t>deprotection +1.50 (n=156; winner had it 70 % vs 48 % at random) · acyl substitution +0.74 (n=90; winner had it 53 % vs 44 % at random)</t>
        </is>
      </c>
      <c r="W177" s="7" t="n">
        <v>614</v>
      </c>
      <c r="X177" s="7" t="n">
        <v>385</v>
      </c>
      <c r="Y177" s="9" t="n">
        <v>0.5993000000000001</v>
      </c>
      <c r="Z177" s="9" t="n">
        <v>0.4572</v>
      </c>
      <c r="AA177" s="7" t="n"/>
      <c r="AB177" s="7" t="n"/>
      <c r="AC177" s="7" t="n"/>
      <c r="AD177" s="7" t="n"/>
      <c r="AE177" s="7" t="inlineStr">
        <is>
          <t>learned from the training patents (tools/int_train.py)</t>
        </is>
      </c>
      <c r="AF177" s="7" t="inlineStr">
        <is>
          <t>Clayden, Organic Chemistry</t>
        </is>
      </c>
    </row>
    <row r="178">
      <c r="A178" s="7" t="inlineStr">
        <is>
          <t>I177</t>
        </is>
      </c>
      <c r="B178" s="7" t="inlineStr">
        <is>
          <t>n-aryl</t>
        </is>
      </c>
      <c r="C178" s="7" t="inlineStr">
        <is>
          <t>nitrogen on an aromatic ring</t>
        </is>
      </c>
      <c r="D178" s="7" t="inlineStr">
        <is>
          <t>nitrogen</t>
        </is>
      </c>
      <c r="E178" s="7" t="inlineStr">
        <is>
          <t>electronic</t>
        </is>
      </c>
      <c r="F178" s="7" t="inlineStr">
        <is>
          <t>nitrogen</t>
        </is>
      </c>
      <c r="G178" s="7" t="inlineStr">
        <is>
          <t>[N;$(N-[c;!900*])]</t>
        </is>
      </c>
      <c r="H178" s="7" t="inlineStr"/>
      <c r="I178" s="7" t="inlineStr"/>
      <c r="J178" s="7" t="inlineStr"/>
      <c r="K178" s="7" t="inlineStr"/>
      <c r="L178" s="7" t="inlineStr"/>
      <c r="M178" s="7" t="n"/>
      <c r="N178" s="7" t="inlineStr"/>
      <c r="O178" s="7" t="inlineStr">
        <is>
          <t>yes</t>
        </is>
      </c>
      <c r="P178" s="7" t="inlineStr"/>
      <c r="Q178" s="7" t="inlineStr">
        <is>
          <t>the reacting nitrogen was bonded to an aromatic carbon (aniline, N-aryl amide)</t>
        </is>
      </c>
      <c r="R178" s="7" t="inlineStr">
        <is>
          <t>a weaker nucleophile and base than an alkylamine (the lone pair is delocalised into the ring: aniline pKaH 4.6 against 10.6), but a stronger acid; in acylation it reacts after the alkylamine and before an alcohol</t>
        </is>
      </c>
      <c r="S178" s="7" t="inlineStr">
        <is>
          <t>conjugation of the lone pair with the ring</t>
        </is>
      </c>
      <c r="T178" s="7" t="n"/>
      <c r="U178" s="10" t="n">
        <v>0.04</v>
      </c>
      <c r="V178" s="7" t="inlineStr">
        <is>
          <t>deprotection +0.73 (n=248; winner had it 33 % vs 51 % at random) · n nucleophile -0.52 (n=628; winner had it 22 % vs 49 % at random) · carbonyl addition +0.36 (n=1389; winner had it 15 % vs 49 % at random) · acyl substitution +0.30 (n=5749; winner had it 27 % vs 49 % at random) · other -0.26 (n=30; winner had it 20 % vs 48 % at random)</t>
        </is>
      </c>
      <c r="W178" s="7" t="n">
        <v>11044</v>
      </c>
      <c r="X178" s="7" t="n">
        <v>3027</v>
      </c>
      <c r="Y178" s="9" t="n">
        <v>0.2616</v>
      </c>
      <c r="Z178" s="9" t="n">
        <v>0.4964</v>
      </c>
      <c r="AA178" s="7" t="n"/>
      <c r="AB178" s="7" t="n"/>
      <c r="AC178" s="7" t="n"/>
      <c r="AD178" s="7" t="n"/>
      <c r="AE178" s="7" t="inlineStr">
        <is>
          <t>learned from the training patents (tools/int_train.py)</t>
        </is>
      </c>
      <c r="AF178" s="7" t="inlineStr">
        <is>
          <t>Clayden, Organic Chemistry; Reactivity_Order: amine &gt; aniline &gt; alcohol &gt; phenol for acylation</t>
        </is>
      </c>
    </row>
    <row r="179">
      <c r="A179" s="7" t="inlineStr">
        <is>
          <t>I178</t>
        </is>
      </c>
      <c r="B179" s="7" t="inlineStr">
        <is>
          <t>n-heteroaryl</t>
        </is>
      </c>
      <c r="C179" s="7" t="inlineStr">
        <is>
          <t>nitrogen on an azine carbon</t>
        </is>
      </c>
      <c r="D179" s="7" t="inlineStr">
        <is>
          <t>nitrogen</t>
        </is>
      </c>
      <c r="E179" s="7" t="inlineStr">
        <is>
          <t>electronic</t>
        </is>
      </c>
      <c r="F179" s="7" t="inlineStr">
        <is>
          <t>nitrogen</t>
        </is>
      </c>
      <c r="G179" s="7" t="inlineStr">
        <is>
          <t>[N;$(N-[c;$(c:[nX2]);!900*])]</t>
        </is>
      </c>
      <c r="H179" s="7" t="inlineStr"/>
      <c r="I179" s="7" t="inlineStr"/>
      <c r="J179" s="7" t="inlineStr"/>
      <c r="K179" s="7" t="inlineStr"/>
      <c r="L179" s="7" t="inlineStr"/>
      <c r="M179" s="7" t="n"/>
      <c r="N179" s="7" t="inlineStr"/>
      <c r="O179" s="7" t="inlineStr">
        <is>
          <t>yes</t>
        </is>
      </c>
      <c r="P179" s="7" t="inlineStr"/>
      <c r="Q179" s="7" t="inlineStr">
        <is>
          <t>the reacting nitrogen was bonded to a ring carbon next to a pyridine-type ring N (2-aminopyridine, 2-aminopyrimidine, 2-aminothiazole)</t>
        </is>
      </c>
      <c r="R179" s="7" t="inlineStr">
        <is>
          <t>a much weaker nucleophile at the exocyclic N (amidine-like delocalisation); alkylation tends to go on the ring N instead</t>
        </is>
      </c>
      <c r="S179" s="7" t="inlineStr">
        <is>
          <t>the lone pair is shared with the C=N of the ring</t>
        </is>
      </c>
      <c r="T179" s="7" t="n"/>
      <c r="U179" s="10" t="n">
        <v>-1.89</v>
      </c>
      <c r="V179" s="7" t="inlineStr">
        <is>
          <t>carbonyl addition -3.33 (n=679; winner had it 1 % vs 46 % at random) · aryl halide -2.44 (n=573; winner had it 6 % vs 50 % at random) · acyl substitution -2.11 (n=2973; winner had it 10 % vs 49 % at random) · alkyl substitution -2.11 (n=557; winner had it 6 % vs 49 % at random) · unsaturated -1.90 (n=26; winner had it 4 % vs 49 % at random) · n nucleophile -1.73 (n=328; winner had it 8 % vs 48 % at random)</t>
        </is>
      </c>
      <c r="W179" s="7" t="n">
        <v>5283</v>
      </c>
      <c r="X179" s="7" t="n">
        <v>1379</v>
      </c>
      <c r="Y179" s="9" t="n">
        <v>0.081</v>
      </c>
      <c r="Z179" s="9" t="n">
        <v>0.4896</v>
      </c>
      <c r="AA179" s="7" t="n"/>
      <c r="AB179" s="7" t="n"/>
      <c r="AC179" s="7" t="n"/>
      <c r="AD179" s="7" t="n"/>
      <c r="AE179" s="7" t="inlineStr">
        <is>
          <t>learned from the training patents (tools/int_train.py)</t>
        </is>
      </c>
      <c r="AF179" s="7" t="inlineStr">
        <is>
          <t>Joule &amp; Mills, Heterocyclic Chemistry</t>
        </is>
      </c>
    </row>
    <row r="180">
      <c r="A180" s="7" t="inlineStr">
        <is>
          <t>I179</t>
        </is>
      </c>
      <c r="B180" s="7" t="inlineStr">
        <is>
          <t>n-alpha-branched</t>
        </is>
      </c>
      <c r="C180" s="7" t="inlineStr">
        <is>
          <t>nitrogen on a branched carbon</t>
        </is>
      </c>
      <c r="D180" s="7" t="inlineStr">
        <is>
          <t>nitrogen</t>
        </is>
      </c>
      <c r="E180" s="7" t="inlineStr">
        <is>
          <t>hindrance</t>
        </is>
      </c>
      <c r="F180" s="7" t="inlineStr">
        <is>
          <t>nitrogen</t>
        </is>
      </c>
      <c r="G180" s="7" t="inlineStr">
        <is>
          <t>[N;$(N-[CX4;D3,D4;!900*])]</t>
        </is>
      </c>
      <c r="H180" s="7" t="inlineStr"/>
      <c r="I180" s="7" t="inlineStr"/>
      <c r="J180" s="7" t="inlineStr"/>
      <c r="K180" s="7" t="inlineStr"/>
      <c r="L180" s="7" t="inlineStr"/>
      <c r="M180" s="7" t="n"/>
      <c r="N180" s="7" t="inlineStr"/>
      <c r="O180" s="7" t="inlineStr">
        <is>
          <t>yes</t>
        </is>
      </c>
      <c r="P180" s="7" t="inlineStr"/>
      <c r="Q180" s="7" t="inlineStr">
        <is>
          <t>the reacting nitrogen was bonded to a CH or quaternary carbon (isopropyl, tert-butyl)</t>
        </is>
      </c>
      <c r="R180" s="7" t="inlineStr">
        <is>
          <t>slower acylation, alkylation and coupling; tert-alkyl amines and alcohols are poor nucleophiles; the less hindered nucleophile of the molecule reacts first</t>
        </is>
      </c>
      <c r="S180" s="7" t="inlineStr">
        <is>
          <t>the branch crowds the lone pair</t>
        </is>
      </c>
      <c r="T180" s="7" t="n"/>
      <c r="U180" s="10" t="n">
        <v>-0.55</v>
      </c>
      <c r="V180" s="7" t="inlineStr">
        <is>
          <t>aryl halide -1.92 (n=1860; winner had it 14 % vs 50 % at random) · deprotection +1.49 (n=595; winner had it 76 % vs 50 % at random) · alkyl substitution -1.07 (n=1522; winner had it 17 % vs 49 % at random) · n nucleophile -0.81 (n=587; winner had it 40 % vs 49 % at random) · unsaturated -0.68 (n=43; winner had it 9 % vs 49 % at random) · carbonyl addition -0.67 (n=1114; winner had it 23 % vs 45 % at random)</t>
        </is>
      </c>
      <c r="W180" s="7" t="n">
        <v>10809</v>
      </c>
      <c r="X180" s="7" t="n">
        <v>3369</v>
      </c>
      <c r="Y180" s="9" t="n">
        <v>0.3696</v>
      </c>
      <c r="Z180" s="9" t="n">
        <v>0.4833</v>
      </c>
      <c r="AA180" s="7" t="n"/>
      <c r="AB180" s="7" t="n"/>
      <c r="AC180" s="7" t="n"/>
      <c r="AD180" s="7" t="n"/>
      <c r="AE180" s="7" t="inlineStr">
        <is>
          <t>learned from the training patents (tools/int_train.py)</t>
        </is>
      </c>
      <c r="AF180" s="7" t="inlineStr">
        <is>
          <t>Taft steric constants Es: i-Pr −0.47, t-Bu −1.54</t>
        </is>
      </c>
    </row>
    <row r="181">
      <c r="A181" s="7" t="inlineStr">
        <is>
          <t>I180</t>
        </is>
      </c>
      <c r="B181" s="7" t="inlineStr">
        <is>
          <t>n-benzylic</t>
        </is>
      </c>
      <c r="C181" s="7" t="inlineStr">
        <is>
          <t>nitrogen on a benzylic carbon</t>
        </is>
      </c>
      <c r="D181" s="7" t="inlineStr">
        <is>
          <t>nitrogen</t>
        </is>
      </c>
      <c r="E181" s="7" t="inlineStr">
        <is>
          <t>electronic</t>
        </is>
      </c>
      <c r="F181" s="7" t="inlineStr">
        <is>
          <t>nitrogen</t>
        </is>
      </c>
      <c r="G181" s="7" t="inlineStr">
        <is>
          <t>[N;$(N-[CX4;$(C-c);!900*])]</t>
        </is>
      </c>
      <c r="H181" s="7" t="inlineStr"/>
      <c r="I181" s="7" t="inlineStr"/>
      <c r="J181" s="7" t="inlineStr"/>
      <c r="K181" s="7" t="inlineStr"/>
      <c r="L181" s="7" t="inlineStr"/>
      <c r="M181" s="7" t="n"/>
      <c r="N181" s="7" t="inlineStr"/>
      <c r="O181" s="7" t="inlineStr">
        <is>
          <t>yes</t>
        </is>
      </c>
      <c r="P181" s="7" t="inlineStr"/>
      <c r="Q181" s="7" t="inlineStr">
        <is>
          <t>the reacting nitrogen was bonded to a CH2 or CH attached to an aromatic ring</t>
        </is>
      </c>
      <c r="R181" s="7" t="inlineStr">
        <is>
          <t>an ordinary nucleophile; the benzylic C–N bond is cleaved by hydrogenolysis (protecting group) and by acid for electron-rich rings</t>
        </is>
      </c>
      <c r="S181" s="7" t="inlineStr">
        <is>
          <t>the ring stabilises the benzylic cation and radical</t>
        </is>
      </c>
      <c r="T181" s="7" t="n"/>
      <c r="U181" s="10" t="n">
        <v>0.64</v>
      </c>
      <c r="V181" s="7" t="inlineStr">
        <is>
          <t>deprotection +2.02 (n=431; winner had it 83 % vs 50 % at random) · acyl substitution +1.04 (n=2177; winner had it 65 % vs 48 % at random) · unsaturated +0.82 (n=25; winner had it 76 % vs 48 % at random) · aryl halide +0.80 (n=454; winner had it 59 % vs 49 % at random) · carbonyl addition +0.73 (n=409; winner had it 59 % vs 46 % at random) · alkyl substitution +0.36 (n=489; winner had it 39 % vs 48 % at random)</t>
        </is>
      </c>
      <c r="W181" s="7" t="n">
        <v>4264</v>
      </c>
      <c r="X181" s="7" t="n">
        <v>1401</v>
      </c>
      <c r="Y181" s="9" t="n">
        <v>0.6227</v>
      </c>
      <c r="Z181" s="9" t="n">
        <v>0.4809</v>
      </c>
      <c r="AA181" s="7" t="n"/>
      <c r="AB181" s="7" t="n"/>
      <c r="AC181" s="7" t="n"/>
      <c r="AD181" s="7" t="n"/>
      <c r="AE181" s="7" t="inlineStr">
        <is>
          <t>learned from the training patents (tools/int_train.py)</t>
        </is>
      </c>
      <c r="AF181" s="7" t="inlineStr">
        <is>
          <t>Greene, Protective Groups in Organic Synthesis</t>
        </is>
      </c>
    </row>
    <row r="182">
      <c r="A182" s="7" t="inlineStr">
        <is>
          <t>I181</t>
        </is>
      </c>
      <c r="B182" s="7" t="inlineStr">
        <is>
          <t>n-alpha-ewg</t>
        </is>
      </c>
      <c r="C182" s="7" t="inlineStr">
        <is>
          <t>nitrogen next to an electron-withdrawing carbon</t>
        </is>
      </c>
      <c r="D182" s="7" t="inlineStr">
        <is>
          <t>nitrogen</t>
        </is>
      </c>
      <c r="E182" s="7" t="inlineStr">
        <is>
          <t>electronic</t>
        </is>
      </c>
      <c r="F182" s="7" t="inlineStr">
        <is>
          <t>nitrogen</t>
        </is>
      </c>
      <c r="G182" s="7" t="inlineStr">
        <is>
          <t>[N;$(N-[CX4;$(C-[$(C(F)(F)F),$(C#N),$(C=O)]);!900*])]</t>
        </is>
      </c>
      <c r="H182" s="7" t="inlineStr"/>
      <c r="I182" s="7" t="inlineStr"/>
      <c r="J182" s="7" t="inlineStr"/>
      <c r="K182" s="7" t="inlineStr"/>
      <c r="L182" s="7" t="inlineStr"/>
      <c r="M182" s="7" t="n"/>
      <c r="N182" s="7" t="inlineStr"/>
      <c r="O182" s="7" t="inlineStr">
        <is>
          <t>yes</t>
        </is>
      </c>
      <c r="P182" s="7" t="inlineStr"/>
      <c r="Q182" s="7" t="inlineStr">
        <is>
          <t>the reacting nitrogen was bonded to a carbon that carries CF3, CN or C=O</t>
        </is>
      </c>
      <c r="R182" s="7" t="inlineStr">
        <is>
          <t>weaker nucleophile and base (2,2,2-trifluoroethylamine pKaH 5.7 against 10.7 for ethylamine) and stronger acid (CF3CH2OH pKa 12.4 against 15.9 for ethanol)</t>
        </is>
      </c>
      <c r="S182" s="7" t="inlineStr">
        <is>
          <t>the withdrawing group pulls on the lone pair</t>
        </is>
      </c>
      <c r="T182" s="7" t="n"/>
      <c r="U182" s="10" t="n">
        <v>0.17</v>
      </c>
      <c r="V182" s="7" t="inlineStr">
        <is>
          <t>alkyl substitution -1.33 (n=769; winner had it 25 % vs 48 % at random) · deprotection +0.90 (n=256; winner had it 79 % vs 49 % at random) · carbonyl addition +0.70 (n=451; winner had it 35 % vs 40 % at random)</t>
        </is>
      </c>
      <c r="W182" s="7" t="n">
        <v>4624</v>
      </c>
      <c r="X182" s="7" t="n">
        <v>1656</v>
      </c>
      <c r="Y182" s="9" t="n">
        <v>0.5878</v>
      </c>
      <c r="Z182" s="9" t="n">
        <v>0.4696</v>
      </c>
      <c r="AA182" s="7" t="n"/>
      <c r="AB182" s="7" t="n"/>
      <c r="AC182" s="7" t="n"/>
      <c r="AD182" s="7" t="n"/>
      <c r="AE182" s="7" t="inlineStr">
        <is>
          <t>learned from the training patents (tools/int_train.py)</t>
        </is>
      </c>
      <c r="AF182" s="7" t="inlineStr">
        <is>
          <t>Taft σ*; Evans pKa table</t>
        </is>
      </c>
    </row>
    <row r="183">
      <c r="A183" s="7" t="inlineStr">
        <is>
          <t>I182</t>
        </is>
      </c>
      <c r="B183" s="7" t="inlineStr">
        <is>
          <t>n-in-ring</t>
        </is>
      </c>
      <c r="C183" s="7" t="inlineStr">
        <is>
          <t>nitrogen in a ring</t>
        </is>
      </c>
      <c r="D183" s="7" t="inlineStr">
        <is>
          <t>nitrogen</t>
        </is>
      </c>
      <c r="E183" s="7" t="inlineStr">
        <is>
          <t>steric</t>
        </is>
      </c>
      <c r="F183" s="7" t="inlineStr">
        <is>
          <t>nitrogen</t>
        </is>
      </c>
      <c r="G183" s="7" t="inlineStr">
        <is>
          <t>[N;R]</t>
        </is>
      </c>
      <c r="H183" s="7" t="inlineStr"/>
      <c r="I183" s="7" t="inlineStr"/>
      <c r="J183" s="7" t="inlineStr"/>
      <c r="K183" s="7" t="inlineStr"/>
      <c r="L183" s="7" t="inlineStr"/>
      <c r="M183" s="7" t="n"/>
      <c r="N183" s="7" t="inlineStr"/>
      <c r="O183" s="7" t="inlineStr">
        <is>
          <t>yes</t>
        </is>
      </c>
      <c r="P183" s="7" t="inlineStr"/>
      <c r="Q183" s="7" t="inlineStr">
        <is>
          <t>the reacting nitrogen is part of a ring (piperidine, pyrrolidine, morpholine, lactam)</t>
        </is>
      </c>
      <c r="R183" s="7" t="inlineStr">
        <is>
          <t>ring amines are more nucleophilic than acyclic ones of the same basicity (the alkyl groups are tied back)</t>
        </is>
      </c>
      <c r="S183" s="7" t="inlineStr">
        <is>
          <t>the substituents are held away from the lone pair</t>
        </is>
      </c>
      <c r="T183" s="7" t="n"/>
      <c r="U183" s="10" t="n">
        <v>2.55</v>
      </c>
      <c r="V183" s="7" t="inlineStr">
        <is>
          <t>carbonyl addition +3.49 (n=1682; winner had it 98 % vs 45 % at random) · alkyl substitution +3.24 (n=2141; winner had it 98 % vs 48 % at random) · deprotection +3.19 (n=383; winner had it 94 % vs 47 % at random) · aryl halide +3.00 (n=1965; winner had it 99 % vs 49 % at random) · acyl substitution +2.96 (n=5584; winner had it 97 % vs 48 % at random) · n nucleophile +2.82 (n=695; winner had it 95 % vs 46 % at random)</t>
        </is>
      </c>
      <c r="W183" s="7" t="n">
        <v>12569</v>
      </c>
      <c r="X183" s="7" t="n">
        <v>3375</v>
      </c>
      <c r="Y183" s="9" t="n">
        <v>0.9742</v>
      </c>
      <c r="Z183" s="9" t="n">
        <v>0.4765</v>
      </c>
      <c r="AA183" s="7" t="n"/>
      <c r="AB183" s="7" t="n"/>
      <c r="AC183" s="7" t="n"/>
      <c r="AD183" s="7" t="n"/>
      <c r="AE183" s="7" t="inlineStr">
        <is>
          <t>learned from the training patents (tools/int_train.py)</t>
        </is>
      </c>
      <c r="AF183" s="7" t="inlineStr">
        <is>
          <t>Clayden, Organic Chemistry</t>
        </is>
      </c>
    </row>
    <row r="184">
      <c r="A184" s="7" t="inlineStr">
        <is>
          <t>I183</t>
        </is>
      </c>
      <c r="B184" s="7" t="inlineStr">
        <is>
          <t>n-ring-small</t>
        </is>
      </c>
      <c r="C184" s="7" t="inlineStr">
        <is>
          <t>nitrogen in a three- or four-membered ring</t>
        </is>
      </c>
      <c r="D184" s="7" t="inlineStr">
        <is>
          <t>nitrogen</t>
        </is>
      </c>
      <c r="E184" s="7" t="inlineStr">
        <is>
          <t>geometry</t>
        </is>
      </c>
      <c r="F184" s="7" t="inlineStr">
        <is>
          <t>nitrogen</t>
        </is>
      </c>
      <c r="G184" s="7" t="inlineStr">
        <is>
          <t>[N;r3,r4]</t>
        </is>
      </c>
      <c r="H184" s="7" t="inlineStr"/>
      <c r="I184" s="7" t="inlineStr"/>
      <c r="J184" s="7" t="inlineStr"/>
      <c r="K184" s="7" t="inlineStr"/>
      <c r="L184" s="7" t="inlineStr"/>
      <c r="M184" s="7" t="n"/>
      <c r="N184" s="7" t="inlineStr"/>
      <c r="O184" s="7" t="inlineStr">
        <is>
          <t>yes</t>
        </is>
      </c>
      <c r="P184" s="7" t="inlineStr"/>
      <c r="Q184" s="7" t="inlineStr">
        <is>
          <t>the reacting nitrogen is in an epoxide / aziridine / oxetane / azetidine ring in the product</t>
        </is>
      </c>
      <c r="R184" s="7" t="inlineStr">
        <is>
          <t>a strained ring was formed or kept: forming it needs a reactive pair (intramolecular SN2, peracid, nitrene); the ring opens easily under acid or with nucleophiles</t>
        </is>
      </c>
      <c r="S184" s="7" t="inlineStr">
        <is>
          <t>ring strain of about 26 kcal/mol</t>
        </is>
      </c>
      <c r="T184" s="7" t="n"/>
      <c r="U184" s="10" t="n">
        <v>0.82</v>
      </c>
      <c r="V184" s="7" t="inlineStr">
        <is>
          <t>acyl substitution +1.67 (n=192; winner had it 98 % vs 47 % at random) · aryl halide +0.97 (n=98; winner had it 100 % vs 50 % at random) · carbonyl addition +0.91 (n=270; winner had it 100 % vs 35 % at random) · n nucleophile +0.83 (n=39; winner had it 97 % vs 49 % at random) · alkyl substitution +0.54 (n=34; winner had it 88 % vs 48 % at random)</t>
        </is>
      </c>
      <c r="W184" s="7" t="n">
        <v>658</v>
      </c>
      <c r="X184" s="7" t="n">
        <v>245</v>
      </c>
      <c r="Y184" s="9" t="n">
        <v>0.9818</v>
      </c>
      <c r="Z184" s="9" t="n">
        <v>0.4258</v>
      </c>
      <c r="AA184" s="7" t="n"/>
      <c r="AB184" s="7" t="n"/>
      <c r="AC184" s="7" t="n"/>
      <c r="AD184" s="7" t="n"/>
      <c r="AE184" s="7" t="inlineStr">
        <is>
          <t>learned from the training patents (tools/int_train.py)</t>
        </is>
      </c>
      <c r="AF184" s="7" t="inlineStr">
        <is>
          <t>Clayden, Organic Chemistry (ring strain)</t>
        </is>
      </c>
    </row>
    <row r="185">
      <c r="A185" s="7" t="inlineStr">
        <is>
          <t>I184</t>
        </is>
      </c>
      <c r="B185" s="7" t="inlineStr">
        <is>
          <t>n-ring-medium</t>
        </is>
      </c>
      <c r="C185" s="7" t="inlineStr">
        <is>
          <t>nitrogen in a seven- to nine-membered ring</t>
        </is>
      </c>
      <c r="D185" s="7" t="inlineStr">
        <is>
          <t>nitrogen</t>
        </is>
      </c>
      <c r="E185" s="7" t="inlineStr">
        <is>
          <t>geometry</t>
        </is>
      </c>
      <c r="F185" s="7" t="inlineStr">
        <is>
          <t>nitrogen</t>
        </is>
      </c>
      <c r="G185" s="7" t="inlineStr">
        <is>
          <t>[N;r7,r8,r9]</t>
        </is>
      </c>
      <c r="H185" s="7" t="inlineStr"/>
      <c r="I185" s="7" t="inlineStr"/>
      <c r="J185" s="7" t="inlineStr"/>
      <c r="K185" s="7" t="inlineStr"/>
      <c r="L185" s="7" t="inlineStr"/>
      <c r="M185" s="7" t="n"/>
      <c r="N185" s="7" t="inlineStr"/>
      <c r="O185" s="7" t="inlineStr">
        <is>
          <t>yes</t>
        </is>
      </c>
      <c r="P185" s="7" t="inlineStr"/>
      <c r="Q185" s="7" t="inlineStr">
        <is>
          <t>the reacting nitrogen is in a ring of seven to nine atoms in the product</t>
        </is>
      </c>
      <c r="R185" s="7" t="inlineStr">
        <is>
          <t>medium rings close slowly (entropy and transannular strain): seven- to nine-membered lactams and ethers need high dilution or templates</t>
        </is>
      </c>
      <c r="S185" s="7" t="inlineStr">
        <is>
          <t>transannular strain and a low effective molarity</t>
        </is>
      </c>
      <c r="T185" s="7" t="n"/>
      <c r="U185" s="10" t="n">
        <v>-1.17</v>
      </c>
      <c r="V185" s="7" t="inlineStr">
        <is>
          <t>alkyl substitution -1.96 (n=276; winner had it 84 % vs 48 % at random) · n nucleophile -1.53 (n=88; winner had it 40 % vs 46 % at random) · carbonyl addition -1.25 (n=75; winner had it 77 % vs 47 % at random) · acyl substitution -1.08 (n=275; winner had it 63 % vs 46 % at random) · aryl halide -0.83 (n=133; winner had it 29 % vs 50 % at random)</t>
        </is>
      </c>
      <c r="W185" s="7" t="n">
        <v>878</v>
      </c>
      <c r="X185" s="7" t="n">
        <v>306</v>
      </c>
      <c r="Y185" s="9" t="n">
        <v>0.6321</v>
      </c>
      <c r="Z185" s="9" t="n">
        <v>0.4744</v>
      </c>
      <c r="AA185" s="7" t="n"/>
      <c r="AB185" s="7" t="n"/>
      <c r="AC185" s="7" t="n"/>
      <c r="AD185" s="7" t="n"/>
      <c r="AE185" s="7" t="inlineStr">
        <is>
          <t>learned from the training patents (tools/int_train.py)</t>
        </is>
      </c>
      <c r="AF185" s="7" t="inlineStr">
        <is>
          <t>Clayden, Organic Chemistry</t>
        </is>
      </c>
    </row>
    <row r="186">
      <c r="A186" s="7" t="inlineStr">
        <is>
          <t>I262</t>
        </is>
      </c>
      <c r="B186" s="7" t="inlineStr">
        <is>
          <t>n-ring-macro</t>
        </is>
      </c>
      <c r="C186" s="7" t="inlineStr">
        <is>
          <t>nitrogen in a macrocycle</t>
        </is>
      </c>
      <c r="D186" s="7" t="inlineStr">
        <is>
          <t>nitrogen</t>
        </is>
      </c>
      <c r="E186" s="7" t="inlineStr">
        <is>
          <t>geometry</t>
        </is>
      </c>
      <c r="F186" s="7" t="inlineStr">
        <is>
          <t>nitrogen</t>
        </is>
      </c>
      <c r="G186" s="7" t="inlineStr">
        <is>
          <t>[N;R;!r3;!r4;!r5;!r6;!r7;!r8;!r9]</t>
        </is>
      </c>
      <c r="H186" s="7" t="inlineStr"/>
      <c r="I186" s="7" t="inlineStr"/>
      <c r="J186" s="7" t="inlineStr"/>
      <c r="K186" s="7" t="inlineStr"/>
      <c r="L186" s="7" t="inlineStr"/>
      <c r="M186" s="7" t="n"/>
      <c r="N186" s="7" t="inlineStr"/>
      <c r="O186" s="7" t="inlineStr">
        <is>
          <t>yes</t>
        </is>
      </c>
      <c r="P186" s="7" t="inlineStr"/>
      <c r="Q186" s="7" t="inlineStr">
        <is>
          <t>the reacting nitrogen is in a ring of ten or more atoms in the product (macrolactamisation, macrolactonisation, ring-closing)</t>
        </is>
      </c>
      <c r="R186" s="7" t="inlineStr">
        <is>
          <t>macrocycle closures need high dilution (0.001–0.01 M), slow addition or a template; competing oligomerisation is the usual failure</t>
        </is>
      </c>
      <c r="S186" s="7" t="inlineStr">
        <is>
          <t>entropy of ring closure against intermolecular reaction</t>
        </is>
      </c>
      <c r="T186" s="7" t="n"/>
      <c r="U186" s="10" t="n">
        <v>-0.73</v>
      </c>
      <c r="V186" s="7" t="inlineStr"/>
      <c r="W186" s="7" t="n">
        <v>29</v>
      </c>
      <c r="X186" s="7" t="n">
        <v>14</v>
      </c>
      <c r="Y186" s="9" t="n">
        <v>0.1724</v>
      </c>
      <c r="Z186" s="9" t="n">
        <v>0.4833</v>
      </c>
      <c r="AA186" s="7" t="n"/>
      <c r="AB186" s="7" t="n"/>
      <c r="AC186" s="7" t="n"/>
      <c r="AD186" s="7" t="n"/>
      <c r="AE186" s="7" t="inlineStr">
        <is>
          <t>too few contests in the recorded reactions to learn a weight (the weight is shrunk to about zero): the textbook effect is advisory</t>
        </is>
      </c>
      <c r="AF186" s="7" t="inlineStr">
        <is>
          <t>Clayden, Organic Chemistry</t>
        </is>
      </c>
    </row>
    <row r="187">
      <c r="A187" s="7" t="inlineStr">
        <is>
          <t>I185</t>
        </is>
      </c>
      <c r="B187" s="7" t="inlineStr">
        <is>
          <t>o-aryl</t>
        </is>
      </c>
      <c r="C187" s="7" t="inlineStr">
        <is>
          <t>oxygen on an aromatic ring</t>
        </is>
      </c>
      <c r="D187" s="7" t="inlineStr">
        <is>
          <t>oxygen</t>
        </is>
      </c>
      <c r="E187" s="7" t="inlineStr">
        <is>
          <t>electronic</t>
        </is>
      </c>
      <c r="F187" s="7" t="inlineStr">
        <is>
          <t>oxygen</t>
        </is>
      </c>
      <c r="G187" s="7" t="inlineStr">
        <is>
          <t>[O;$(O-[c;!900*])]</t>
        </is>
      </c>
      <c r="H187" s="7" t="inlineStr"/>
      <c r="I187" s="7" t="inlineStr"/>
      <c r="J187" s="7" t="inlineStr"/>
      <c r="K187" s="7" t="inlineStr"/>
      <c r="L187" s="7" t="inlineStr"/>
      <c r="M187" s="7" t="n"/>
      <c r="N187" s="7" t="inlineStr"/>
      <c r="O187" s="7" t="inlineStr">
        <is>
          <t>yes</t>
        </is>
      </c>
      <c r="P187" s="7" t="inlineStr"/>
      <c r="Q187" s="7" t="inlineStr">
        <is>
          <t>the reacting oxygen was bonded to an aromatic carbon (phenol, aryl ether)</t>
        </is>
      </c>
      <c r="R187" s="7" t="inlineStr">
        <is>
          <t>a weaker nucleophile than an alcohol but a much stronger acid (phenol pKa 10 against 16 for an alcohol): easily deprotonated, so alkylation with a mild base goes at a phenol before an alcohol; in acylation it reacts after an alcohol</t>
        </is>
      </c>
      <c r="S187" s="7" t="inlineStr">
        <is>
          <t>conjugation of the lone pair with the ring</t>
        </is>
      </c>
      <c r="T187" s="7" t="n"/>
      <c r="U187" s="10" t="n">
        <v>1.34</v>
      </c>
      <c r="V187" s="7" t="inlineStr">
        <is>
          <t>acyl substitution -3.51 (n=8126; winner had it 5 % vs 37 % at random) · aryl halide +3.33 (n=459; winner had it 95 % vs 50 % at random) · o nucleophile +3.17 (n=984; winner had it 64 % vs 50 % at random) · alkyl substitution +2.62 (n=1327; winner had it 92 % vs 49 % at random) · carbonyl addition +2.24 (n=27; winner had it 96 % vs 50 % at random) · deprotection +1.29 (n=1344; winner had it 78 % vs 42 % at random)</t>
        </is>
      </c>
      <c r="W187" s="7" t="n">
        <v>12315</v>
      </c>
      <c r="X187" s="7" t="n">
        <v>4652</v>
      </c>
      <c r="Y187" s="9" t="n">
        <v>0.3073</v>
      </c>
      <c r="Z187" s="9" t="n">
        <v>0.4046</v>
      </c>
      <c r="AA187" s="7" t="n"/>
      <c r="AB187" s="7" t="n"/>
      <c r="AC187" s="7" t="n"/>
      <c r="AD187" s="7" t="n"/>
      <c r="AE187" s="7" t="inlineStr">
        <is>
          <t>learned from the training patents (tools/int_train.py)</t>
        </is>
      </c>
      <c r="AF187" s="7" t="inlineStr">
        <is>
          <t>Clayden, Organic Chemistry; Reactivity_Order: amine &gt; aniline &gt; alcohol &gt; phenol for acylation</t>
        </is>
      </c>
    </row>
    <row r="188">
      <c r="A188" s="7" t="inlineStr">
        <is>
          <t>I186</t>
        </is>
      </c>
      <c r="B188" s="7" t="inlineStr">
        <is>
          <t>o-heteroaryl</t>
        </is>
      </c>
      <c r="C188" s="7" t="inlineStr">
        <is>
          <t>oxygen on an azine carbon</t>
        </is>
      </c>
      <c r="D188" s="7" t="inlineStr">
        <is>
          <t>oxygen</t>
        </is>
      </c>
      <c r="E188" s="7" t="inlineStr">
        <is>
          <t>electronic</t>
        </is>
      </c>
      <c r="F188" s="7" t="inlineStr">
        <is>
          <t>oxygen</t>
        </is>
      </c>
      <c r="G188" s="7" t="inlineStr">
        <is>
          <t>[O;$(O-[c;$(c:[nX2]);!900*])]</t>
        </is>
      </c>
      <c r="H188" s="7" t="inlineStr"/>
      <c r="I188" s="7" t="inlineStr"/>
      <c r="J188" s="7" t="inlineStr"/>
      <c r="K188" s="7" t="inlineStr"/>
      <c r="L188" s="7" t="inlineStr"/>
      <c r="M188" s="7" t="n"/>
      <c r="N188" s="7" t="inlineStr"/>
      <c r="O188" s="7" t="inlineStr">
        <is>
          <t>yes</t>
        </is>
      </c>
      <c r="P188" s="7" t="inlineStr"/>
      <c r="Q188" s="7" t="inlineStr">
        <is>
          <t>the reacting oxygen was bonded to a ring carbon next to a pyridine-type ring N (2-alkoxypyridine, 2-aryloxypyridine)</t>
        </is>
      </c>
      <c r="R188" s="7" t="inlineStr">
        <is>
          <t>a poorer donor than an alkoxy on benzene (the lone pair is shared with the C=N of the ring); the C–O bond is cleaved by acid, giving the pyridone</t>
        </is>
      </c>
      <c r="S188" s="7" t="inlineStr">
        <is>
          <t>the lone pair is shared with the C=N of the ring</t>
        </is>
      </c>
      <c r="T188" s="7" t="n"/>
      <c r="U188" s="10" t="n">
        <v>-1.07</v>
      </c>
      <c r="V188" s="7" t="inlineStr">
        <is>
          <t>acyl substitution -1.57 (n=723; winner had it 1 % vs 32 % at random) · deprotection -0.39 (n=151; winner had it 58 % vs 42 % at random) · o nucleophile -0.36 (n=41; winner had it 59 % vs 51 % at random)</t>
        </is>
      </c>
      <c r="W188" s="7" t="n">
        <v>957</v>
      </c>
      <c r="X188" s="7" t="n">
        <v>478</v>
      </c>
      <c r="Y188" s="9" t="n">
        <v>0.1338</v>
      </c>
      <c r="Z188" s="9" t="n">
        <v>0.3533</v>
      </c>
      <c r="AA188" s="7" t="n"/>
      <c r="AB188" s="7" t="n"/>
      <c r="AC188" s="7" t="n"/>
      <c r="AD188" s="7" t="n"/>
      <c r="AE188" s="7" t="inlineStr">
        <is>
          <t>learned from the training patents (tools/int_train.py)</t>
        </is>
      </c>
      <c r="AF188" s="7" t="inlineStr">
        <is>
          <t>Joule &amp; Mills, Heterocyclic Chemistry</t>
        </is>
      </c>
    </row>
    <row r="189">
      <c r="A189" s="7" t="inlineStr">
        <is>
          <t>I187</t>
        </is>
      </c>
      <c r="B189" s="7" t="inlineStr">
        <is>
          <t>o-alpha-branched</t>
        </is>
      </c>
      <c r="C189" s="7" t="inlineStr">
        <is>
          <t>oxygen on a branched carbon</t>
        </is>
      </c>
      <c r="D189" s="7" t="inlineStr">
        <is>
          <t>oxygen</t>
        </is>
      </c>
      <c r="E189" s="7" t="inlineStr">
        <is>
          <t>hindrance</t>
        </is>
      </c>
      <c r="F189" s="7" t="inlineStr">
        <is>
          <t>oxygen</t>
        </is>
      </c>
      <c r="G189" s="7" t="inlineStr">
        <is>
          <t>[O;$(O-[CX4;D3,D4;!900*])]</t>
        </is>
      </c>
      <c r="H189" s="7" t="inlineStr"/>
      <c r="I189" s="7" t="inlineStr"/>
      <c r="J189" s="7" t="inlineStr"/>
      <c r="K189" s="7" t="inlineStr"/>
      <c r="L189" s="7" t="inlineStr"/>
      <c r="M189" s="7" t="n"/>
      <c r="N189" s="7" t="inlineStr"/>
      <c r="O189" s="7" t="inlineStr">
        <is>
          <t>yes</t>
        </is>
      </c>
      <c r="P189" s="7" t="inlineStr"/>
      <c r="Q189" s="7" t="inlineStr">
        <is>
          <t>the reacting oxygen was bonded to a CH or quaternary carbon (isopropyl, tert-butyl)</t>
        </is>
      </c>
      <c r="R189" s="7" t="inlineStr">
        <is>
          <t>slower acylation, alkylation and coupling; tert-alkyl amines and alcohols are poor nucleophiles; the less hindered nucleophile of the molecule reacts first</t>
        </is>
      </c>
      <c r="S189" s="7" t="inlineStr">
        <is>
          <t>the branch crowds the lone pair</t>
        </is>
      </c>
      <c r="T189" s="7" t="n"/>
      <c r="U189" s="10" t="n">
        <v>-0.6</v>
      </c>
      <c r="V189" s="7" t="inlineStr">
        <is>
          <t>acyl substitution -4.40 (n=3525; winner had it 9 % vs 36 % at random) · o nucleophile +1.21 (n=594; winner had it 36 % vs 52 % at random) · deprotection -1.02 (n=614; winner had it 38 % vs 47 % at random) · alkyl substitution -0.88 (n=950; winner had it 14 % vs 51 % at random) · n nucleophile -0.65 (n=31; winner had it 19 % vs 56 % at random) · carbonyl addition +0.61 (n=43; winner had it 47 % vs 54 % at random)</t>
        </is>
      </c>
      <c r="W189" s="7" t="n">
        <v>6052</v>
      </c>
      <c r="X189" s="7" t="n">
        <v>3047</v>
      </c>
      <c r="Y189" s="9" t="n">
        <v>0.1642</v>
      </c>
      <c r="Z189" s="9" t="n">
        <v>0.4181</v>
      </c>
      <c r="AA189" s="7" t="n"/>
      <c r="AB189" s="7" t="n"/>
      <c r="AC189" s="7" t="n"/>
      <c r="AD189" s="7" t="n"/>
      <c r="AE189" s="7" t="inlineStr">
        <is>
          <t>learned from the training patents (tools/int_train.py)</t>
        </is>
      </c>
      <c r="AF189" s="7" t="inlineStr">
        <is>
          <t>Taft steric constants Es: i-Pr −0.47, t-Bu −1.54</t>
        </is>
      </c>
    </row>
    <row r="190">
      <c r="A190" s="7" t="inlineStr">
        <is>
          <t>I188</t>
        </is>
      </c>
      <c r="B190" s="7" t="inlineStr">
        <is>
          <t>o-benzylic</t>
        </is>
      </c>
      <c r="C190" s="7" t="inlineStr">
        <is>
          <t>oxygen on a benzylic carbon</t>
        </is>
      </c>
      <c r="D190" s="7" t="inlineStr">
        <is>
          <t>oxygen</t>
        </is>
      </c>
      <c r="E190" s="7" t="inlineStr">
        <is>
          <t>electronic</t>
        </is>
      </c>
      <c r="F190" s="7" t="inlineStr">
        <is>
          <t>oxygen</t>
        </is>
      </c>
      <c r="G190" s="7" t="inlineStr">
        <is>
          <t>[O;$(O-[CX4;$(C-c);!900*])]</t>
        </is>
      </c>
      <c r="H190" s="7" t="inlineStr"/>
      <c r="I190" s="7" t="inlineStr"/>
      <c r="J190" s="7" t="inlineStr"/>
      <c r="K190" s="7" t="inlineStr"/>
      <c r="L190" s="7" t="inlineStr"/>
      <c r="M190" s="7" t="n"/>
      <c r="N190" s="7" t="inlineStr"/>
      <c r="O190" s="7" t="inlineStr">
        <is>
          <t>yes</t>
        </is>
      </c>
      <c r="P190" s="7" t="inlineStr"/>
      <c r="Q190" s="7" t="inlineStr">
        <is>
          <t>the reacting oxygen was bonded to a CH2 or CH attached to an aromatic ring</t>
        </is>
      </c>
      <c r="R190" s="7" t="inlineStr">
        <is>
          <t>an ordinary nucleophile; the benzylic C–O bond is cleaved by hydrogenolysis (protecting group) and by acid for electron-rich rings</t>
        </is>
      </c>
      <c r="S190" s="7" t="inlineStr">
        <is>
          <t>the ring stabilises the benzylic cation and radical</t>
        </is>
      </c>
      <c r="T190" s="7" t="n"/>
      <c r="U190" s="10" t="n">
        <v>0.14</v>
      </c>
      <c r="V190" s="7" t="inlineStr">
        <is>
          <t>deprotection +1.11 (n=542; winner had it 47 % vs 46 % at random) · o nucleophile +0.86 (n=419; winner had it 51 % vs 48 % at random) · alkyl substitution -0.83 (n=761; winner had it 9 % vs 49 % at random) · aryl halide -0.44 (n=162; winner had it 18 % vs 50 % at random) · acyl substitution -0.13 (n=1540; winner had it 7 % vs 32 % at random)</t>
        </is>
      </c>
      <c r="W190" s="7" t="n">
        <v>3456</v>
      </c>
      <c r="X190" s="7" t="n">
        <v>1672</v>
      </c>
      <c r="Y190" s="9" t="n">
        <v>0.1962</v>
      </c>
      <c r="Z190" s="9" t="n">
        <v>0.4113</v>
      </c>
      <c r="AA190" s="7" t="n"/>
      <c r="AB190" s="7" t="n"/>
      <c r="AC190" s="7" t="n"/>
      <c r="AD190" s="7" t="n"/>
      <c r="AE190" s="7" t="inlineStr">
        <is>
          <t>learned from the training patents (tools/int_train.py)</t>
        </is>
      </c>
      <c r="AF190" s="7" t="inlineStr">
        <is>
          <t>Greene, Protective Groups in Organic Synthesis</t>
        </is>
      </c>
    </row>
    <row r="191">
      <c r="A191" s="7" t="inlineStr">
        <is>
          <t>I189</t>
        </is>
      </c>
      <c r="B191" s="7" t="inlineStr">
        <is>
          <t>o-alpha-ewg</t>
        </is>
      </c>
      <c r="C191" s="7" t="inlineStr">
        <is>
          <t>oxygen next to an electron-withdrawing carbon</t>
        </is>
      </c>
      <c r="D191" s="7" t="inlineStr">
        <is>
          <t>oxygen</t>
        </is>
      </c>
      <c r="E191" s="7" t="inlineStr">
        <is>
          <t>electronic</t>
        </is>
      </c>
      <c r="F191" s="7" t="inlineStr">
        <is>
          <t>oxygen</t>
        </is>
      </c>
      <c r="G191" s="7" t="inlineStr">
        <is>
          <t>[O;$(O-[CX4;$(C-[$(C(F)(F)F),$(C#N),$(C=O)]);!900*])]</t>
        </is>
      </c>
      <c r="H191" s="7" t="inlineStr"/>
      <c r="I191" s="7" t="inlineStr"/>
      <c r="J191" s="7" t="inlineStr"/>
      <c r="K191" s="7" t="inlineStr"/>
      <c r="L191" s="7" t="inlineStr"/>
      <c r="M191" s="7" t="n"/>
      <c r="N191" s="7" t="inlineStr"/>
      <c r="O191" s="7" t="inlineStr">
        <is>
          <t>yes</t>
        </is>
      </c>
      <c r="P191" s="7" t="inlineStr"/>
      <c r="Q191" s="7" t="inlineStr">
        <is>
          <t>the reacting oxygen was bonded to a carbon that carries CF3, CN or C=O</t>
        </is>
      </c>
      <c r="R191" s="7" t="inlineStr">
        <is>
          <t>weaker nucleophile and base (2,2,2-trifluoroethylamine pKaH 5.7 against 10.7 for ethylamine) and stronger acid (CF3CH2OH pKa 12.4 against 15.9 for ethanol)</t>
        </is>
      </c>
      <c r="S191" s="7" t="inlineStr">
        <is>
          <t>the withdrawing group pulls on the lone pair</t>
        </is>
      </c>
      <c r="T191" s="7" t="n"/>
      <c r="U191" s="10" t="n">
        <v>0.52</v>
      </c>
      <c r="V191" s="7" t="inlineStr">
        <is>
          <t>acyl substitution +1.68 (n=955; winner had it 15 % vs 31 % at random) · o nucleophile +0.60 (n=53; winner had it 49 % vs 45 % at random) · aryl halide +0.58 (n=97; winner had it 14 % vs 50 % at random) · deprotection +0.58 (n=115; winner had it 45 % vs 46 % at random) · alkyl substitution +0.03 (n=240; winner had it 15 % vs 46 % at random)</t>
        </is>
      </c>
      <c r="W191" s="7" t="n">
        <v>1476</v>
      </c>
      <c r="X191" s="7" t="n">
        <v>627</v>
      </c>
      <c r="Y191" s="9" t="n">
        <v>0.1904</v>
      </c>
      <c r="Z191" s="9" t="n">
        <v>0.3668</v>
      </c>
      <c r="AA191" s="7" t="n"/>
      <c r="AB191" s="7" t="n"/>
      <c r="AC191" s="7" t="n"/>
      <c r="AD191" s="7" t="n"/>
      <c r="AE191" s="7" t="inlineStr">
        <is>
          <t>learned from the training patents (tools/int_train.py)</t>
        </is>
      </c>
      <c r="AF191" s="7" t="inlineStr">
        <is>
          <t>Taft σ*; Evans pKa table</t>
        </is>
      </c>
    </row>
    <row r="192">
      <c r="A192" s="7" t="inlineStr">
        <is>
          <t>I190</t>
        </is>
      </c>
      <c r="B192" s="7" t="inlineStr">
        <is>
          <t>o-in-ring</t>
        </is>
      </c>
      <c r="C192" s="7" t="inlineStr">
        <is>
          <t>oxygen in a ring</t>
        </is>
      </c>
      <c r="D192" s="7" t="inlineStr">
        <is>
          <t>oxygen</t>
        </is>
      </c>
      <c r="E192" s="7" t="inlineStr">
        <is>
          <t>steric</t>
        </is>
      </c>
      <c r="F192" s="7" t="inlineStr">
        <is>
          <t>oxygen</t>
        </is>
      </c>
      <c r="G192" s="7" t="inlineStr">
        <is>
          <t>[O;R]</t>
        </is>
      </c>
      <c r="H192" s="7" t="inlineStr"/>
      <c r="I192" s="7" t="inlineStr"/>
      <c r="J192" s="7" t="inlineStr"/>
      <c r="K192" s="7" t="inlineStr"/>
      <c r="L192" s="7" t="inlineStr"/>
      <c r="M192" s="7" t="n"/>
      <c r="N192" s="7" t="inlineStr"/>
      <c r="O192" s="7" t="inlineStr">
        <is>
          <t>yes</t>
        </is>
      </c>
      <c r="P192" s="7" t="inlineStr"/>
      <c r="Q192" s="7" t="inlineStr">
        <is>
          <t>the reacting oxygen is part of a ring (THF, THP, dioxane, lactone, cyclic ether)</t>
        </is>
      </c>
      <c r="R192" s="7" t="inlineStr">
        <is>
          <t>ring ethers are better donors than acyclic ones (the alkyl groups are tied back) and open under acid</t>
        </is>
      </c>
      <c r="S192" s="7" t="inlineStr">
        <is>
          <t>the substituents are held away from the lone pair</t>
        </is>
      </c>
      <c r="T192" s="7" t="n"/>
      <c r="U192" s="10" t="n">
        <v>0.62</v>
      </c>
      <c r="V192" s="7" t="inlineStr"/>
      <c r="W192" s="7" t="n">
        <v>9</v>
      </c>
      <c r="X192" s="7" t="n">
        <v>7</v>
      </c>
      <c r="Y192" s="9" t="n">
        <v>0.8889</v>
      </c>
      <c r="Z192" s="9" t="n">
        <v>0.4815</v>
      </c>
      <c r="AA192" s="7" t="n"/>
      <c r="AB192" s="7" t="n"/>
      <c r="AC192" s="7" t="n"/>
      <c r="AD192" s="7" t="n"/>
      <c r="AE192" s="7" t="inlineStr">
        <is>
          <t>too few contests in the recorded reactions to learn a weight (the weight is shrunk to about zero): the textbook effect is advisory</t>
        </is>
      </c>
      <c r="AF192" s="7" t="inlineStr">
        <is>
          <t>Clayden, Organic Chemistry</t>
        </is>
      </c>
    </row>
    <row r="193">
      <c r="A193" s="7" t="inlineStr">
        <is>
          <t>I191</t>
        </is>
      </c>
      <c r="B193" s="7" t="inlineStr">
        <is>
          <t>o-ring-small</t>
        </is>
      </c>
      <c r="C193" s="7" t="inlineStr">
        <is>
          <t>oxygen in a three- or four-membered ring</t>
        </is>
      </c>
      <c r="D193" s="7" t="inlineStr">
        <is>
          <t>oxygen</t>
        </is>
      </c>
      <c r="E193" s="7" t="inlineStr">
        <is>
          <t>geometry</t>
        </is>
      </c>
      <c r="F193" s="7" t="inlineStr">
        <is>
          <t>oxygen</t>
        </is>
      </c>
      <c r="G193" s="7" t="inlineStr">
        <is>
          <t>[O;r3,r4]</t>
        </is>
      </c>
      <c r="H193" s="7" t="inlineStr"/>
      <c r="I193" s="7" t="inlineStr"/>
      <c r="J193" s="7" t="inlineStr"/>
      <c r="K193" s="7" t="inlineStr"/>
      <c r="L193" s="7" t="inlineStr"/>
      <c r="M193" s="7" t="n"/>
      <c r="N193" s="7" t="inlineStr"/>
      <c r="O193" s="7" t="inlineStr">
        <is>
          <t>yes</t>
        </is>
      </c>
      <c r="P193" s="7" t="inlineStr"/>
      <c r="Q193" s="7" t="inlineStr">
        <is>
          <t>the reacting oxygen is in an epoxide / aziridine / oxetane / azetidine ring in the product</t>
        </is>
      </c>
      <c r="R193" s="7" t="inlineStr">
        <is>
          <t>a strained ring was formed or kept: forming it needs a reactive pair (intramolecular SN2, peracid, nitrene); the ring opens easily under acid or with nucleophiles</t>
        </is>
      </c>
      <c r="S193" s="7" t="inlineStr">
        <is>
          <t>ring strain of about 26 kcal/mol</t>
        </is>
      </c>
      <c r="T193" s="7" t="n"/>
      <c r="U193" s="10" t="n">
        <v>-0.03</v>
      </c>
      <c r="V193" s="7" t="inlineStr"/>
      <c r="W193" s="7" t="n">
        <v>1</v>
      </c>
      <c r="X193" s="7" t="n">
        <v>1</v>
      </c>
      <c r="Y193" s="9" t="n">
        <v>0</v>
      </c>
      <c r="Z193" s="9" t="n">
        <v>0.5</v>
      </c>
      <c r="AA193" s="7" t="n"/>
      <c r="AB193" s="7" t="n"/>
      <c r="AC193" s="7" t="n"/>
      <c r="AD193" s="7" t="n"/>
      <c r="AE193" s="7" t="inlineStr">
        <is>
          <t>too few contests in the recorded reactions to learn a weight (the weight is shrunk to about zero): the textbook effect is advisory</t>
        </is>
      </c>
      <c r="AF193" s="7" t="inlineStr">
        <is>
          <t>Clayden, Organic Chemistry (ring strain)</t>
        </is>
      </c>
    </row>
    <row r="194">
      <c r="A194" s="7" t="inlineStr">
        <is>
          <t>I192</t>
        </is>
      </c>
      <c r="B194" s="7" t="inlineStr">
        <is>
          <t>o-ring-medium</t>
        </is>
      </c>
      <c r="C194" s="7" t="inlineStr">
        <is>
          <t>oxygen in a seven- to nine-membered ring</t>
        </is>
      </c>
      <c r="D194" s="7" t="inlineStr">
        <is>
          <t>oxygen</t>
        </is>
      </c>
      <c r="E194" s="7" t="inlineStr">
        <is>
          <t>geometry</t>
        </is>
      </c>
      <c r="F194" s="7" t="inlineStr">
        <is>
          <t>oxygen</t>
        </is>
      </c>
      <c r="G194" s="7" t="inlineStr">
        <is>
          <t>[O;r7,r8,r9]</t>
        </is>
      </c>
      <c r="H194" s="7" t="inlineStr"/>
      <c r="I194" s="7" t="inlineStr"/>
      <c r="J194" s="7" t="inlineStr"/>
      <c r="K194" s="7" t="inlineStr"/>
      <c r="L194" s="7" t="inlineStr"/>
      <c r="M194" s="7" t="n"/>
      <c r="N194" s="7" t="inlineStr"/>
      <c r="O194" s="7" t="inlineStr">
        <is>
          <t>yes</t>
        </is>
      </c>
      <c r="P194" s="7" t="inlineStr"/>
      <c r="Q194" s="7" t="inlineStr">
        <is>
          <t>the reacting oxygen is in a ring of seven to nine atoms in the product</t>
        </is>
      </c>
      <c r="R194" s="7" t="inlineStr">
        <is>
          <t>medium rings close slowly (entropy and transannular strain): seven- to nine-membered lactams and ethers need high dilution or templates</t>
        </is>
      </c>
      <c r="S194" s="7" t="inlineStr">
        <is>
          <t>transannular strain and a low effective molarity</t>
        </is>
      </c>
      <c r="T194" s="7" t="n"/>
      <c r="U194" s="10" t="n">
        <v>-0.1</v>
      </c>
      <c r="V194" s="7" t="inlineStr"/>
      <c r="W194" s="7" t="n">
        <v>5</v>
      </c>
      <c r="X194" s="7" t="n">
        <v>5</v>
      </c>
      <c r="Y194" s="9" t="n">
        <v>0.2</v>
      </c>
      <c r="Z194" s="9" t="n">
        <v>0.4333</v>
      </c>
      <c r="AA194" s="7" t="n"/>
      <c r="AB194" s="7" t="n"/>
      <c r="AC194" s="7" t="n"/>
      <c r="AD194" s="7" t="n"/>
      <c r="AE194" s="7" t="inlineStr">
        <is>
          <t>too few contests in the recorded reactions to learn a weight (the weight is shrunk to about zero): the textbook effect is advisory</t>
        </is>
      </c>
      <c r="AF194" s="7" t="inlineStr">
        <is>
          <t>Clayden, Organic Chemistry</t>
        </is>
      </c>
    </row>
    <row r="195">
      <c r="A195" s="7" t="inlineStr">
        <is>
          <t>I263</t>
        </is>
      </c>
      <c r="B195" s="7" t="inlineStr">
        <is>
          <t>o-ring-macro</t>
        </is>
      </c>
      <c r="C195" s="7" t="inlineStr">
        <is>
          <t>oxygen in a macrocycle</t>
        </is>
      </c>
      <c r="D195" s="7" t="inlineStr">
        <is>
          <t>oxygen</t>
        </is>
      </c>
      <c r="E195" s="7" t="inlineStr">
        <is>
          <t>geometry</t>
        </is>
      </c>
      <c r="F195" s="7" t="inlineStr">
        <is>
          <t>oxygen</t>
        </is>
      </c>
      <c r="G195" s="7" t="inlineStr">
        <is>
          <t>[O;R;!r3;!r4;!r5;!r6;!r7;!r8;!r9]</t>
        </is>
      </c>
      <c r="H195" s="7" t="inlineStr"/>
      <c r="I195" s="7" t="inlineStr"/>
      <c r="J195" s="7" t="inlineStr"/>
      <c r="K195" s="7" t="inlineStr"/>
      <c r="L195" s="7" t="inlineStr"/>
      <c r="M195" s="7" t="n"/>
      <c r="N195" s="7" t="inlineStr"/>
      <c r="O195" s="7" t="inlineStr">
        <is>
          <t>yes</t>
        </is>
      </c>
      <c r="P195" s="7" t="inlineStr"/>
      <c r="Q195" s="7" t="inlineStr">
        <is>
          <t>the reacting oxygen is in a ring of ten or more atoms in the product (macrolactamisation, macrolactonisation, ring-closing)</t>
        </is>
      </c>
      <c r="R195" s="7" t="inlineStr">
        <is>
          <t>macrocycle closures need high dilution (0.001–0.01 M), slow addition or a template; competing oligomerisation is the usual failure</t>
        </is>
      </c>
      <c r="S195" s="7" t="inlineStr">
        <is>
          <t>entropy of ring closure against intermolecular reaction</t>
        </is>
      </c>
      <c r="T195" s="7" t="n"/>
      <c r="U195" s="10" t="n">
        <v>0</v>
      </c>
      <c r="V195" s="7" t="inlineStr"/>
      <c r="W195" s="7" t="n"/>
      <c r="X195" s="7" t="n"/>
      <c r="Y195" s="7" t="n"/>
      <c r="Z195" s="7" t="n"/>
      <c r="AA195" s="7" t="n"/>
      <c r="AB195" s="7" t="n"/>
      <c r="AC195" s="7" t="n"/>
      <c r="AD195" s="7" t="n"/>
      <c r="AE195" s="7" t="inlineStr">
        <is>
          <t>too few contests in the recorded reactions to learn a weight (the weight is shrunk to about zero): the textbook effect is advisory</t>
        </is>
      </c>
      <c r="AF195" s="7" t="inlineStr">
        <is>
          <t>Clayden, Organic Chemistry</t>
        </is>
      </c>
    </row>
    <row r="196">
      <c r="A196" s="7" t="inlineStr">
        <is>
          <t>I193</t>
        </is>
      </c>
      <c r="B196" s="7" t="inlineStr">
        <is>
          <t>n-acyl-origin</t>
        </is>
      </c>
      <c r="C196" s="7" t="inlineStr">
        <is>
          <t>nitrogen that was an amide / carbamate / sulfonamide N</t>
        </is>
      </c>
      <c r="D196" s="7" t="inlineStr">
        <is>
          <t>nitrogen</t>
        </is>
      </c>
      <c r="E196" s="7" t="inlineStr">
        <is>
          <t>electronic</t>
        </is>
      </c>
      <c r="F196" s="7" t="inlineStr">
        <is>
          <t>nitrogen</t>
        </is>
      </c>
      <c r="G196" s="7" t="inlineStr">
        <is>
          <t>[N;X3;$(N-[C,S;X3,X4;!900*]=[O,S])]</t>
        </is>
      </c>
      <c r="H196" s="7" t="inlineStr"/>
      <c r="I196" s="7" t="inlineStr"/>
      <c r="J196" s="7" t="inlineStr"/>
      <c r="K196" s="7" t="inlineStr"/>
      <c r="L196" s="7" t="inlineStr"/>
      <c r="M196" s="7" t="n"/>
      <c r="N196" s="7" t="inlineStr"/>
      <c r="O196" s="7" t="inlineStr">
        <is>
          <t>yes</t>
        </is>
      </c>
      <c r="P196" s="7" t="inlineStr"/>
      <c r="Q196" s="7" t="inlineStr">
        <is>
          <t>the reacting N was bonded to a C=O, C=S or S=O (amide, carbamate, sulfonamide, imide)</t>
        </is>
      </c>
      <c r="R196" s="7" t="inlineStr">
        <is>
          <t>a poor nucleophile (lone pair delocalised) but an acid: reacts after deprotonation (NaH, Cs2CO3) or under Mitsunobu / Buchwald / Chan–Lam conditions</t>
        </is>
      </c>
      <c r="S196" s="7" t="inlineStr">
        <is>
          <t>the lone pair is shared with the carbonyl or sulfonyl group</t>
        </is>
      </c>
      <c r="T196" s="7" t="n"/>
      <c r="U196" s="10" t="n">
        <v>-2.36</v>
      </c>
      <c r="V196" s="7" t="inlineStr">
        <is>
          <t>carbonyl addition -4.44 (n=1805; winner had it 0 % vs 51 % at random) · acyl substitution -3.49 (n=7542; winner had it 3 % vs 51 % at random) · aryl halide -3.39 (n=2333; winner had it 2 % vs 50 % at random) · alkyl substitution -3.15 (n=1906; winner had it 7 % vs 51 % at random) · unsaturated -2.95 (n=88; winner had it 0 % vs 51 % at random) · n nucleophile -2.46 (n=720; winner had it 8 % vs 50 % at random)</t>
        </is>
      </c>
      <c r="W196" s="7" t="n">
        <v>14820</v>
      </c>
      <c r="X196" s="7" t="n">
        <v>4364</v>
      </c>
      <c r="Y196" s="9" t="n">
        <v>0.0374</v>
      </c>
      <c r="Z196" s="9" t="n">
        <v>0.5079</v>
      </c>
      <c r="AA196" s="7" t="n"/>
      <c r="AB196" s="7" t="n"/>
      <c r="AC196" s="7" t="n"/>
      <c r="AD196" s="7" t="n"/>
      <c r="AE196" s="7" t="inlineStr">
        <is>
          <t>learned from the training patents (tools/int_train.py)</t>
        </is>
      </c>
      <c r="AF196" s="7" t="inlineStr">
        <is>
          <t>Clayden, Organic Chemistry</t>
        </is>
      </c>
    </row>
    <row r="197">
      <c r="A197" s="7" t="inlineStr">
        <is>
          <t>I194</t>
        </is>
      </c>
      <c r="B197" s="7" t="inlineStr">
        <is>
          <t>n-adjacent-hetero</t>
        </is>
      </c>
      <c r="C197" s="7" t="inlineStr">
        <is>
          <t>nitrogen next to another heteroatom (hydrazine, hydroxylamine)</t>
        </is>
      </c>
      <c r="D197" s="7" t="inlineStr">
        <is>
          <t>nitrogen</t>
        </is>
      </c>
      <c r="E197" s="7" t="inlineStr">
        <is>
          <t>electronic</t>
        </is>
      </c>
      <c r="F197" s="7" t="inlineStr">
        <is>
          <t>nitrogen</t>
        </is>
      </c>
      <c r="G197" s="7" t="inlineStr">
        <is>
          <t>[N;X3;$(N-[N,O,n;!900*])]</t>
        </is>
      </c>
      <c r="H197" s="7" t="inlineStr"/>
      <c r="I197" s="7" t="inlineStr"/>
      <c r="J197" s="7" t="inlineStr"/>
      <c r="K197" s="7" t="inlineStr"/>
      <c r="L197" s="7" t="inlineStr"/>
      <c r="M197" s="7" t="n"/>
      <c r="N197" s="7" t="inlineStr"/>
      <c r="O197" s="7" t="inlineStr">
        <is>
          <t>yes</t>
        </is>
      </c>
      <c r="P197" s="7" t="inlineStr"/>
      <c r="Q197" s="7" t="inlineStr">
        <is>
          <t>the reacting N is bonded to another N or O (α-effect nucleophile)</t>
        </is>
      </c>
      <c r="R197" s="7" t="inlineStr">
        <is>
          <t>more nucleophilic than its pKaH suggests (the α-effect): hydrazines and hydroxylamines react at the terminal N</t>
        </is>
      </c>
      <c r="S197" s="7" t="inlineStr">
        <is>
          <t>repulsion between adjacent lone pairs raises the HOMO</t>
        </is>
      </c>
      <c r="T197" s="7" t="n"/>
      <c r="U197" s="10" t="n">
        <v>-0.86</v>
      </c>
      <c r="V197" s="7" t="inlineStr">
        <is>
          <t>alkyl substitution -1.67 (n=110; winner had it 29 % vs 48 % at random) · n nucleophile -1.11 (n=29; winner had it 41 % vs 47 % at random) · carbonyl addition -0.96 (n=55; winner had it 44 % vs 48 % at random) · acyl substitution -0.29 (n=329; winner had it 58 % vs 49 % at random)</t>
        </is>
      </c>
      <c r="W197" s="7" t="n">
        <v>558</v>
      </c>
      <c r="X197" s="7" t="n">
        <v>289</v>
      </c>
      <c r="Y197" s="9" t="n">
        <v>0.4892</v>
      </c>
      <c r="Z197" s="9" t="n">
        <v>0.4873</v>
      </c>
      <c r="AA197" s="7" t="n"/>
      <c r="AB197" s="7" t="n"/>
      <c r="AC197" s="7" t="n"/>
      <c r="AD197" s="7" t="n"/>
      <c r="AE197" s="7" t="inlineStr">
        <is>
          <t>learned from the training patents (tools/int_train.py)</t>
        </is>
      </c>
      <c r="AF197" s="7" t="inlineStr">
        <is>
          <t>Clayden, Organic Chemistry</t>
        </is>
      </c>
    </row>
    <row r="198">
      <c r="A198" s="7" t="inlineStr">
        <is>
          <t>I195</t>
        </is>
      </c>
      <c r="B198" s="7" t="inlineStr">
        <is>
          <t>n-primary-origin</t>
        </is>
      </c>
      <c r="C198" s="7" t="inlineStr">
        <is>
          <t>nitrogen with one carbon substituent (primary amine before)</t>
        </is>
      </c>
      <c r="D198" s="7" t="inlineStr">
        <is>
          <t>nitrogen</t>
        </is>
      </c>
      <c r="E198" s="7" t="inlineStr">
        <is>
          <t>steric</t>
        </is>
      </c>
      <c r="F198" s="7" t="inlineStr">
        <is>
          <t>nitrogen</t>
        </is>
      </c>
      <c r="G198" s="7" t="inlineStr">
        <is>
          <t>[N;X3;$(N-[#6;!900*]);!$(N(-[#6;!900*])-[#6;!900*])]</t>
        </is>
      </c>
      <c r="H198" s="7" t="inlineStr"/>
      <c r="I198" s="7" t="inlineStr"/>
      <c r="J198" s="7" t="inlineStr"/>
      <c r="K198" s="7" t="inlineStr"/>
      <c r="L198" s="7" t="inlineStr"/>
      <c r="M198" s="7" t="n"/>
      <c r="N198" s="7" t="inlineStr"/>
      <c r="O198" s="7" t="inlineStr">
        <is>
          <t>yes</t>
        </is>
      </c>
      <c r="P198" s="7" t="inlineStr"/>
      <c r="Q198" s="7" t="inlineStr">
        <is>
          <t>the reacting N had one carbon substituent (primary amine)</t>
        </is>
      </c>
      <c r="R198" s="7" t="inlineStr">
        <is>
          <t>the least hindered amine: acylation, alkylation and reductive amination are fastest; over-alkylation is the usual problem</t>
        </is>
      </c>
      <c r="S198" s="7" t="inlineStr">
        <is>
          <t>two N–H bonds: little steric hindrance</t>
        </is>
      </c>
      <c r="T198" s="7" t="n"/>
      <c r="U198" s="10" t="n">
        <v>0.41</v>
      </c>
      <c r="V198" s="7" t="inlineStr">
        <is>
          <t>alkyl substitution +1.91 (n=310; winner had it 62 % vs 48 % at random) · n nucleophile +0.57 (n=170; winner had it 57 % vs 47 % at random) · carbonyl addition -0.06 (n=131; winner had it 20 % vs 47 % at random)</t>
        </is>
      </c>
      <c r="W198" s="7" t="n">
        <v>1798</v>
      </c>
      <c r="X198" s="7" t="n">
        <v>831</v>
      </c>
      <c r="Y198" s="9" t="n">
        <v>0.4922</v>
      </c>
      <c r="Z198" s="9" t="n">
        <v>0.4835</v>
      </c>
      <c r="AA198" s="7" t="n"/>
      <c r="AB198" s="7" t="n"/>
      <c r="AC198" s="7" t="n"/>
      <c r="AD198" s="7" t="n"/>
      <c r="AE198" s="7" t="inlineStr">
        <is>
          <t>learned from the training patents (tools/int_train.py)</t>
        </is>
      </c>
      <c r="AF198" s="7" t="inlineStr">
        <is>
          <t>Clayden, Organic Chemistry</t>
        </is>
      </c>
    </row>
    <row r="199">
      <c r="A199" s="7" t="inlineStr">
        <is>
          <t>I196</t>
        </is>
      </c>
      <c r="B199" s="7" t="inlineStr">
        <is>
          <t>n-secondary-origin</t>
        </is>
      </c>
      <c r="C199" s="7" t="inlineStr">
        <is>
          <t>nitrogen with two carbon substituents (secondary amine before)</t>
        </is>
      </c>
      <c r="D199" s="7" t="inlineStr">
        <is>
          <t>nitrogen</t>
        </is>
      </c>
      <c r="E199" s="7" t="inlineStr">
        <is>
          <t>steric</t>
        </is>
      </c>
      <c r="F199" s="7" t="inlineStr">
        <is>
          <t>nitrogen</t>
        </is>
      </c>
      <c r="G199" s="7" t="inlineStr">
        <is>
          <t>[N;X3;$(N(-[#6;!900*])-[#6;!900*]);!$(N(-[#6;!900*])(-[#6;!900*])-[#6;!900*])]</t>
        </is>
      </c>
      <c r="H199" s="7" t="inlineStr"/>
      <c r="I199" s="7" t="inlineStr"/>
      <c r="J199" s="7" t="inlineStr"/>
      <c r="K199" s="7" t="inlineStr"/>
      <c r="L199" s="7" t="inlineStr"/>
      <c r="M199" s="7" t="n"/>
      <c r="N199" s="7" t="inlineStr"/>
      <c r="O199" s="7" t="inlineStr">
        <is>
          <t>yes</t>
        </is>
      </c>
      <c r="P199" s="7" t="inlineStr"/>
      <c r="Q199" s="7" t="inlineStr">
        <is>
          <t>the reacting N had two carbon substituents (secondary amine)</t>
        </is>
      </c>
      <c r="R199" s="7" t="inlineStr">
        <is>
          <t>more nucleophilic than primary (more electron-rich) but more hindered: acylates well, alkylates cleanly once</t>
        </is>
      </c>
      <c r="S199" s="7" t="inlineStr">
        <is>
          <t>two alkyl groups push electrons in but add bulk</t>
        </is>
      </c>
      <c r="T199" s="7" t="n"/>
      <c r="U199" s="10" t="n">
        <v>-1.21</v>
      </c>
      <c r="V199" s="7" t="inlineStr">
        <is>
          <t>aryl halide -2.51 (n=121; winner had it 59 % vs 50 % at random) · n nucleophile -2.43 (n=150; winner had it 44 % vs 53 % at random) · alkyl substitution -1.31 (n=247; winner had it 49 % vs 53 % at random) · carbonyl addition -1.10 (n=111; winner had it 93 % vs 53 % at random) · acyl substitution +0.09 (n=516; winner had it 83 % vs 53 % at random)</t>
        </is>
      </c>
      <c r="W199" s="7" t="n">
        <v>1183</v>
      </c>
      <c r="X199" s="7" t="n">
        <v>525</v>
      </c>
      <c r="Y199" s="9" t="n">
        <v>0.6855</v>
      </c>
      <c r="Z199" s="9" t="n">
        <v>0.5279</v>
      </c>
      <c r="AA199" s="7" t="n"/>
      <c r="AB199" s="7" t="n"/>
      <c r="AC199" s="7" t="n"/>
      <c r="AD199" s="7" t="n"/>
      <c r="AE199" s="7" t="inlineStr">
        <is>
          <t>learned from the training patents (tools/int_train.py)</t>
        </is>
      </c>
      <c r="AF199" s="7" t="inlineStr">
        <is>
          <t>Clayden, Organic Chemistry</t>
        </is>
      </c>
    </row>
    <row r="200">
      <c r="A200" s="7" t="inlineStr">
        <is>
          <t>I197</t>
        </is>
      </c>
      <c r="B200" s="7" t="inlineStr">
        <is>
          <t>n-tertiary-origin</t>
        </is>
      </c>
      <c r="C200" s="7" t="inlineStr">
        <is>
          <t>nitrogen with three carbon substituents (tertiary amine before)</t>
        </is>
      </c>
      <c r="D200" s="7" t="inlineStr">
        <is>
          <t>nitrogen</t>
        </is>
      </c>
      <c r="E200" s="7" t="inlineStr">
        <is>
          <t>steric</t>
        </is>
      </c>
      <c r="F200" s="7" t="inlineStr">
        <is>
          <t>nitrogen</t>
        </is>
      </c>
      <c r="G200" s="7" t="inlineStr">
        <is>
          <t>[N;X3,X4;$(N(-[#6;!900*])(-[#6;!900*])-[#6;!900*])]</t>
        </is>
      </c>
      <c r="H200" s="7" t="inlineStr"/>
      <c r="I200" s="7" t="inlineStr"/>
      <c r="J200" s="7" t="inlineStr"/>
      <c r="K200" s="7" t="inlineStr"/>
      <c r="L200" s="7" t="inlineStr"/>
      <c r="M200" s="7" t="n"/>
      <c r="N200" s="7" t="inlineStr"/>
      <c r="O200" s="7" t="inlineStr">
        <is>
          <t>yes</t>
        </is>
      </c>
      <c r="P200" s="7" t="inlineStr"/>
      <c r="Q200" s="7" t="inlineStr">
        <is>
          <t>the reacting N had three carbon substituents (tertiary amine)</t>
        </is>
      </c>
      <c r="R200" s="7" t="inlineStr">
        <is>
          <t>a base and nucleophilic catalyst; quaternises with alkyl halides; hindered tertiary amines (DIPEA) only deprotonate</t>
        </is>
      </c>
      <c r="S200" s="7" t="inlineStr">
        <is>
          <t>three alkyl groups: strongest base, most hindered</t>
        </is>
      </c>
      <c r="T200" s="7" t="n"/>
      <c r="U200" s="10" t="n">
        <v>0.24</v>
      </c>
      <c r="V200" s="7" t="inlineStr"/>
      <c r="W200" s="7" t="n">
        <v>5</v>
      </c>
      <c r="X200" s="7" t="n">
        <v>5</v>
      </c>
      <c r="Y200" s="9" t="n">
        <v>0.6</v>
      </c>
      <c r="Z200" s="9" t="n">
        <v>0.4667</v>
      </c>
      <c r="AA200" s="7" t="n"/>
      <c r="AB200" s="7" t="n"/>
      <c r="AC200" s="7" t="n"/>
      <c r="AD200" s="7" t="n"/>
      <c r="AE200" s="7" t="inlineStr">
        <is>
          <t>too few contests in the recorded reactions to learn a weight (the weight is shrunk to about zero): the textbook effect is advisory</t>
        </is>
      </c>
      <c r="AF200" s="7" t="inlineStr">
        <is>
          <t>Clayden, Organic Chemistry</t>
        </is>
      </c>
    </row>
    <row r="201">
      <c r="A201" s="7" t="inlineStr">
        <is>
          <t>I198</t>
        </is>
      </c>
      <c r="B201" s="7" t="inlineStr">
        <is>
          <t>o-primary-origin</t>
        </is>
      </c>
      <c r="C201" s="7" t="inlineStr">
        <is>
          <t>oxygen on a primary carbinol carbon (R–CH2–O or CH3–O)</t>
        </is>
      </c>
      <c r="D201" s="7" t="inlineStr">
        <is>
          <t>oxygen</t>
        </is>
      </c>
      <c r="E201" s="7" t="inlineStr">
        <is>
          <t>steric</t>
        </is>
      </c>
      <c r="F201" s="7" t="inlineStr">
        <is>
          <t>oxygen</t>
        </is>
      </c>
      <c r="G201" s="7" t="inlineStr">
        <is>
          <t>[O;X2;$(O-[CX4;H2,H3;!900*]);!$(O(-[#6;!900*])-[#6;!900*])]</t>
        </is>
      </c>
      <c r="H201" s="7" t="inlineStr"/>
      <c r="I201" s="7" t="inlineStr"/>
      <c r="J201" s="7" t="inlineStr"/>
      <c r="K201" s="7" t="inlineStr"/>
      <c r="L201" s="7" t="inlineStr"/>
      <c r="M201" s="7" t="n"/>
      <c r="N201" s="7" t="inlineStr"/>
      <c r="O201" s="7" t="inlineStr">
        <is>
          <t>yes</t>
        </is>
      </c>
      <c r="P201" s="7" t="inlineStr"/>
      <c r="Q201" s="7" t="inlineStr">
        <is>
          <t>the reacting O is bonded to a CH2 or CH3 and to nothing but the new bond (a primary alcohol or methanol before; ethers are excluded)</t>
        </is>
      </c>
      <c r="R201" s="7" t="inlineStr">
        <is>
          <t>esterifies, oxidises, substitutes and alkylates faster at a primary carbinol than at a secondary or tertiary one</t>
        </is>
      </c>
      <c r="S201" s="7" t="inlineStr">
        <is>
          <t>primary alcohols are the least hindered</t>
        </is>
      </c>
      <c r="T201" s="7" t="n"/>
      <c r="U201" s="10" t="n">
        <v>0.33</v>
      </c>
      <c r="V201" s="7" t="inlineStr">
        <is>
          <t>acyl substitution -4.04 (n=20479; winner had it 3 % vs 43 % at random) · o nucleophile +2.63 (n=1174; winner had it 55 % vs 48 % at random) · aryl halide +1.93 (n=215; winner had it 53 % vs 49 % at random) · carbonyl addition +1.56 (n=63; winner had it 73 % vs 47 % at random) · deprotection -1.30 (n=1543; winner had it 19 % vs 44 % at random) · n nucleophile +1.25 (n=36; winner had it 83 % vs 45 % at random)</t>
        </is>
      </c>
      <c r="W201" s="7" t="n">
        <v>24543</v>
      </c>
      <c r="X201" s="7" t="n">
        <v>8986</v>
      </c>
      <c r="Y201" s="9" t="n">
        <v>0.09130000000000001</v>
      </c>
      <c r="Z201" s="9" t="n">
        <v>0.4316</v>
      </c>
      <c r="AA201" s="7" t="n"/>
      <c r="AB201" s="7" t="n"/>
      <c r="AC201" s="7" t="n"/>
      <c r="AD201" s="7" t="n"/>
      <c r="AE201" s="7" t="inlineStr">
        <is>
          <t>learned from the training patents (tools/int_train.py)</t>
        </is>
      </c>
      <c r="AF201" s="7" t="inlineStr">
        <is>
          <t>Reactivity_Order: esterification, oxidation, substitution</t>
        </is>
      </c>
    </row>
    <row r="202">
      <c r="A202" s="7" t="inlineStr">
        <is>
          <t>I199</t>
        </is>
      </c>
      <c r="B202" s="7" t="inlineStr">
        <is>
          <t>s-aryl</t>
        </is>
      </c>
      <c r="C202" s="7" t="inlineStr">
        <is>
          <t>sulfur on an aromatic ring</t>
        </is>
      </c>
      <c r="D202" s="7" t="inlineStr">
        <is>
          <t>sulfur</t>
        </is>
      </c>
      <c r="E202" s="7" t="inlineStr">
        <is>
          <t>electronic</t>
        </is>
      </c>
      <c r="F202" s="7" t="inlineStr">
        <is>
          <t>sulfur</t>
        </is>
      </c>
      <c r="G202" s="7" t="inlineStr">
        <is>
          <t>[S;$(S-[c;!900*])]</t>
        </is>
      </c>
      <c r="H202" s="7" t="inlineStr"/>
      <c r="I202" s="7" t="inlineStr"/>
      <c r="J202" s="7" t="inlineStr"/>
      <c r="K202" s="7" t="inlineStr"/>
      <c r="L202" s="7" t="inlineStr"/>
      <c r="M202" s="7" t="n"/>
      <c r="N202" s="7" t="inlineStr"/>
      <c r="O202" s="7" t="inlineStr">
        <is>
          <t>yes</t>
        </is>
      </c>
      <c r="P202" s="7" t="inlineStr"/>
      <c r="Q202" s="7" t="inlineStr">
        <is>
          <t>the reacting S was bonded to an aromatic carbon (thiophenol, aryl sulfide)</t>
        </is>
      </c>
      <c r="R202" s="7" t="inlineStr">
        <is>
          <t>arylthiolates (thiophenol pKa 6.6) are weaker bases than alkylthiolates (pKa about 10.5) and still soft nucleophiles: they do SNAr and Pd / Cu couplings; aryl sulfides oxidise more slowly</t>
        </is>
      </c>
      <c r="S202" s="7" t="inlineStr">
        <is>
          <t>conjugation of the S lone pair with the ring</t>
        </is>
      </c>
      <c r="T202" s="7" t="n"/>
      <c r="U202" s="10" t="n">
        <v>1.35</v>
      </c>
      <c r="V202" s="7" t="inlineStr">
        <is>
          <t>acyl substitution +2.52 (n=53; winner had it 100 % vs 50 % at random)</t>
        </is>
      </c>
      <c r="W202" s="7" t="n">
        <v>85</v>
      </c>
      <c r="X202" s="7" t="n">
        <v>63</v>
      </c>
      <c r="Y202" s="9" t="n">
        <v>0.9412</v>
      </c>
      <c r="Z202" s="9" t="n">
        <v>0.4983</v>
      </c>
      <c r="AA202" s="7" t="n"/>
      <c r="AB202" s="7" t="n"/>
      <c r="AC202" s="7" t="n"/>
      <c r="AD202" s="7" t="n"/>
      <c r="AE202" s="7" t="inlineStr">
        <is>
          <t>learned from the training patents (tools/int_train.py)</t>
        </is>
      </c>
      <c r="AF202" s="7" t="inlineStr">
        <is>
          <t>Clayden, Organic Chemistry</t>
        </is>
      </c>
    </row>
    <row r="203">
      <c r="A203" s="7" t="inlineStr">
        <is>
          <t>I200</t>
        </is>
      </c>
      <c r="B203" s="7" t="inlineStr">
        <is>
          <t>s-alkyl</t>
        </is>
      </c>
      <c r="C203" s="7" t="inlineStr">
        <is>
          <t>sulfur on an alkyl carbon</t>
        </is>
      </c>
      <c r="D203" s="7" t="inlineStr">
        <is>
          <t>sulfur</t>
        </is>
      </c>
      <c r="E203" s="7" t="inlineStr">
        <is>
          <t>electronic</t>
        </is>
      </c>
      <c r="F203" s="7" t="inlineStr">
        <is>
          <t>sulfur</t>
        </is>
      </c>
      <c r="G203" s="7" t="inlineStr">
        <is>
          <t>[S;$(S-[CX4;!900*])]</t>
        </is>
      </c>
      <c r="H203" s="7" t="inlineStr"/>
      <c r="I203" s="7" t="inlineStr"/>
      <c r="J203" s="7" t="inlineStr"/>
      <c r="K203" s="7" t="inlineStr"/>
      <c r="L203" s="7" t="inlineStr"/>
      <c r="M203" s="7" t="n"/>
      <c r="N203" s="7" t="inlineStr"/>
      <c r="O203" s="7" t="inlineStr">
        <is>
          <t>yes</t>
        </is>
      </c>
      <c r="P203" s="7" t="inlineStr"/>
      <c r="Q203" s="7" t="inlineStr">
        <is>
          <t>the reacting S was bonded to an sp3 carbon (thiol, dialkyl sulfide)</t>
        </is>
      </c>
      <c r="R203" s="7" t="inlineStr">
        <is>
          <t>soft and strongly nucleophilic: alkylates, adds to Michael acceptors, oxidises to sulfoxide and sulfone</t>
        </is>
      </c>
      <c r="S203" s="7" t="inlineStr">
        <is>
          <t>a large polarisable lone pair</t>
        </is>
      </c>
      <c r="T203" s="7" t="n"/>
      <c r="U203" s="10" t="n">
        <v>0.35</v>
      </c>
      <c r="V203" s="7" t="inlineStr"/>
      <c r="W203" s="7" t="n">
        <v>48</v>
      </c>
      <c r="X203" s="7" t="n">
        <v>33</v>
      </c>
      <c r="Y203" s="9" t="n">
        <v>0.6042</v>
      </c>
      <c r="Z203" s="9" t="n">
        <v>0.5</v>
      </c>
      <c r="AA203" s="7" t="n"/>
      <c r="AB203" s="7" t="n"/>
      <c r="AC203" s="7" t="n"/>
      <c r="AD203" s="7" t="n"/>
      <c r="AE203" s="7" t="inlineStr">
        <is>
          <t>learned from the training patents (tools/int_train.py)</t>
        </is>
      </c>
      <c r="AF203" s="7" t="inlineStr">
        <is>
          <t>Clayden, Organic Chemistry</t>
        </is>
      </c>
    </row>
    <row r="204">
      <c r="A204" s="7" t="inlineStr">
        <is>
          <t>I201</t>
        </is>
      </c>
      <c r="B204" s="7" t="inlineStr">
        <is>
          <t>n-aryl-ortho2</t>
        </is>
      </c>
      <c r="C204" s="7" t="inlineStr">
        <is>
          <t>nitrogen on an aromatic ring with two ortho substituents</t>
        </is>
      </c>
      <c r="D204" s="7" t="inlineStr">
        <is>
          <t>nitrogen</t>
        </is>
      </c>
      <c r="E204" s="7" t="inlineStr">
        <is>
          <t>hindrance</t>
        </is>
      </c>
      <c r="F204" s="7" t="inlineStr">
        <is>
          <t>nitrogen</t>
        </is>
      </c>
      <c r="G204" s="7" t="inlineStr">
        <is>
          <t>[N;$(N-c(:c-[!#1;!900*]):c-[!#1;!900*])]</t>
        </is>
      </c>
      <c r="H204" s="7" t="inlineStr"/>
      <c r="I204" s="7" t="inlineStr"/>
      <c r="J204" s="7" t="inlineStr"/>
      <c r="K204" s="7" t="inlineStr"/>
      <c r="L204" s="7" t="inlineStr"/>
      <c r="M204" s="7" t="n"/>
      <c r="N204" s="7" t="inlineStr"/>
      <c r="O204" s="7" t="inlineStr">
        <is>
          <t>yes</t>
        </is>
      </c>
      <c r="P204" s="7" t="inlineStr"/>
      <c r="Q204" s="7" t="inlineStr">
        <is>
          <t>the reacting nitrogen was bonded to a ring carbon whose both neighbours carry substituents (2,6-disubstituted aniline, phenol or thiophenol)</t>
        </is>
      </c>
      <c r="R204" s="7" t="inlineStr">
        <is>
          <t>strongly hindered: acylation, alkylation and coupling are slow (2,6-dimethylaniline acylates far more slowly than aniline; Buchwald needs bulky ligands)</t>
        </is>
      </c>
      <c r="S204" s="7" t="inlineStr">
        <is>
          <t>the two ortho groups flank the lone pair</t>
        </is>
      </c>
      <c r="T204" s="7" t="n"/>
      <c r="U204" s="10" t="n">
        <v>-0.09</v>
      </c>
      <c r="V204" s="7" t="inlineStr">
        <is>
          <t>aryl halide +2.00 (n=955; winner had it 70 % vs 46 % at random) · arene ch -0.90 (n=871; winner had it 12 % vs 31 % at random) · carbonyl addition -0.59 (n=36; winner had it 28 % vs 44 % at random) · acyl substitution -0.39 (n=236; winner had it 33 % vs 47 % at random)</t>
        </is>
      </c>
      <c r="W204" s="7" t="n">
        <v>2366</v>
      </c>
      <c r="X204" s="7" t="n">
        <v>1291</v>
      </c>
      <c r="Y204" s="9" t="n">
        <v>0.3998</v>
      </c>
      <c r="Z204" s="9" t="n">
        <v>0.3942</v>
      </c>
      <c r="AA204" s="7" t="n"/>
      <c r="AB204" s="7" t="n"/>
      <c r="AC204" s="7" t="n"/>
      <c r="AD204" s="7" t="n"/>
      <c r="AE204" s="7" t="inlineStr">
        <is>
          <t>learned from the training patents (tools/int_train.py)</t>
        </is>
      </c>
      <c r="AF204" s="7" t="inlineStr">
        <is>
          <t>Clayden, Organic Chemistry</t>
        </is>
      </c>
    </row>
    <row r="205">
      <c r="A205" s="7" t="inlineStr">
        <is>
          <t>I202</t>
        </is>
      </c>
      <c r="B205" s="7" t="inlineStr">
        <is>
          <t>o-aryl-ortho2</t>
        </is>
      </c>
      <c r="C205" s="7" t="inlineStr">
        <is>
          <t>oxygen on an aromatic ring with two ortho substituents</t>
        </is>
      </c>
      <c r="D205" s="7" t="inlineStr">
        <is>
          <t>oxygen</t>
        </is>
      </c>
      <c r="E205" s="7" t="inlineStr">
        <is>
          <t>hindrance</t>
        </is>
      </c>
      <c r="F205" s="7" t="inlineStr">
        <is>
          <t>oxygen</t>
        </is>
      </c>
      <c r="G205" s="7" t="inlineStr">
        <is>
          <t>[O;$(O-c(:c-[!#1;!900*]):c-[!#1;!900*])]</t>
        </is>
      </c>
      <c r="H205" s="7" t="inlineStr"/>
      <c r="I205" s="7" t="inlineStr"/>
      <c r="J205" s="7" t="inlineStr"/>
      <c r="K205" s="7" t="inlineStr"/>
      <c r="L205" s="7" t="inlineStr"/>
      <c r="M205" s="7" t="n"/>
      <c r="N205" s="7" t="inlineStr"/>
      <c r="O205" s="7" t="inlineStr">
        <is>
          <t>yes</t>
        </is>
      </c>
      <c r="P205" s="7" t="inlineStr"/>
      <c r="Q205" s="7" t="inlineStr">
        <is>
          <t>the reacting oxygen was bonded to a ring carbon whose both neighbours carry substituents (2,6-disubstituted aniline, phenol or thiophenol)</t>
        </is>
      </c>
      <c r="R205" s="7" t="inlineStr">
        <is>
          <t>strongly hindered: acylation, alkylation and coupling are slow (2,6-dimethylaniline acylates far more slowly than aniline; Buchwald needs bulky ligands)</t>
        </is>
      </c>
      <c r="S205" s="7" t="inlineStr">
        <is>
          <t>the two ortho groups flank the lone pair</t>
        </is>
      </c>
      <c r="T205" s="7" t="n"/>
      <c r="U205" s="10" t="n">
        <v>-0.07000000000000001</v>
      </c>
      <c r="V205" s="7" t="inlineStr">
        <is>
          <t>aryl halide +0.50 (n=258; winner had it 54 % vs 47 % at random)</t>
        </is>
      </c>
      <c r="W205" s="7" t="n">
        <v>1881</v>
      </c>
      <c r="X205" s="7" t="n">
        <v>984</v>
      </c>
      <c r="Y205" s="9" t="n">
        <v>0.2722</v>
      </c>
      <c r="Z205" s="9" t="n">
        <v>0.3982</v>
      </c>
      <c r="AA205" s="7" t="n"/>
      <c r="AB205" s="7" t="n"/>
      <c r="AC205" s="7" t="n"/>
      <c r="AD205" s="7" t="n"/>
      <c r="AE205" s="7" t="inlineStr">
        <is>
          <t>learned from the training patents (tools/int_train.py)</t>
        </is>
      </c>
      <c r="AF205" s="7" t="inlineStr">
        <is>
          <t>Clayden, Organic Chemistry</t>
        </is>
      </c>
    </row>
    <row r="206">
      <c r="A206" s="7" t="inlineStr">
        <is>
          <t>I203</t>
        </is>
      </c>
      <c r="B206" s="7" t="inlineStr">
        <is>
          <t>s-aryl-ortho2</t>
        </is>
      </c>
      <c r="C206" s="7" t="inlineStr">
        <is>
          <t>sulfur on an aromatic ring with two ortho substituents</t>
        </is>
      </c>
      <c r="D206" s="7" t="inlineStr">
        <is>
          <t>sulfur</t>
        </is>
      </c>
      <c r="E206" s="7" t="inlineStr">
        <is>
          <t>hindrance</t>
        </is>
      </c>
      <c r="F206" s="7" t="inlineStr">
        <is>
          <t>sulfur</t>
        </is>
      </c>
      <c r="G206" s="7" t="inlineStr">
        <is>
          <t>[S;$(S-c(:c-[!#1;!900*]):c-[!#1;!900*])]</t>
        </is>
      </c>
      <c r="H206" s="7" t="inlineStr"/>
      <c r="I206" s="7" t="inlineStr"/>
      <c r="J206" s="7" t="inlineStr"/>
      <c r="K206" s="7" t="inlineStr"/>
      <c r="L206" s="7" t="inlineStr"/>
      <c r="M206" s="7" t="n"/>
      <c r="N206" s="7" t="inlineStr"/>
      <c r="O206" s="7" t="inlineStr">
        <is>
          <t>yes</t>
        </is>
      </c>
      <c r="P206" s="7" t="inlineStr"/>
      <c r="Q206" s="7" t="inlineStr">
        <is>
          <t>the reacting sulfur was bonded to a ring carbon whose both neighbours carry substituents (2,6-disubstituted aniline, phenol or thiophenol)</t>
        </is>
      </c>
      <c r="R206" s="7" t="inlineStr">
        <is>
          <t>strongly hindered: acylation, alkylation and coupling are slow (2,6-dimethylaniline acylates far more slowly than aniline; Buchwald needs bulky ligands)</t>
        </is>
      </c>
      <c r="S206" s="7" t="inlineStr">
        <is>
          <t>the two ortho groups flank the lone pair</t>
        </is>
      </c>
      <c r="T206" s="7" t="n"/>
      <c r="U206" s="10" t="n">
        <v>-0.5600000000000001</v>
      </c>
      <c r="V206" s="7" t="inlineStr">
        <is>
          <t>arene ch -1.15 (n=198; winner had it 7 % vs 28 % at random) · aryl halide +0.06 (n=67; winner had it 48 % vs 48 % at random)</t>
        </is>
      </c>
      <c r="W206" s="7" t="n">
        <v>324</v>
      </c>
      <c r="X206" s="7" t="n">
        <v>226</v>
      </c>
      <c r="Y206" s="9" t="n">
        <v>0.1821</v>
      </c>
      <c r="Z206" s="9" t="n">
        <v>0.3319</v>
      </c>
      <c r="AA206" s="7" t="n"/>
      <c r="AB206" s="7" t="n"/>
      <c r="AC206" s="7" t="n"/>
      <c r="AD206" s="7" t="n"/>
      <c r="AE206" s="7" t="inlineStr">
        <is>
          <t>learned from the training patents (tools/int_train.py)</t>
        </is>
      </c>
      <c r="AF206" s="7" t="inlineStr">
        <is>
          <t>Clayden, Organic Chemistry</t>
        </is>
      </c>
    </row>
    <row r="207">
      <c r="A207" s="7" t="inlineStr">
        <is>
          <t>I204</t>
        </is>
      </c>
      <c r="B207" s="7" t="inlineStr">
        <is>
          <t>n-aryl-p-ewg</t>
        </is>
      </c>
      <c r="C207" s="7" t="inlineStr">
        <is>
          <t>nitrogen on an aryl ring with a para electron-withdrawing group</t>
        </is>
      </c>
      <c r="D207" s="7" t="inlineStr">
        <is>
          <t>aryl ring on the reacting atom</t>
        </is>
      </c>
      <c r="E207" s="7" t="inlineStr">
        <is>
          <t>electronic</t>
        </is>
      </c>
      <c r="F207" s="7" t="inlineStr">
        <is>
          <t>nitrogen</t>
        </is>
      </c>
      <c r="G207" s="7" t="inlineStr">
        <is>
          <t>[N;$(N-[c;!900*]1:a:a:c(-[N+;!900*](=O)[O-]):a:a:1),$(N-[c;!900*]1:a:a:c(-[C;!900*]#N):a:a:1),$(N-[c;!900*]1:a:a:c(-[C;!900*](F)(F)F):a:a:1),$(N-[c;!900*]1:a:a:c(-[SX4;!900*](=O)=O):a:a:1),$(N-[c;!900*]1:a:a:c(-[CH1;!900*]=O):a:a:1),$(N-[c;!900*]1:a:a:c(-[CX3;!900*](=O)[#6]):a:a:1),$(N-[c;!900*]1:a:a:c(-[CX3;!900*](=O)[OX2]):a:a:1),$(N-[c;!900*]1:a:a:c(-[CX3;!900*](=O)[NX3]):a:a:1),$(N-[c;!900*]1:a:a:c(-[OX2;!900*]C(F)(F)F):a:a:1),$(N-[c;!900*]1:a:a:c(-[OX2;!900*][SX4](=O)=O):a:a:1),$(N-[c;!900*]1:a:a:c(-[OX2;!900*]C(=O)):a:a:1),$(N-[c;!900*]1:a:a:c(-[NX4+;!900*]):a:a:1)]</t>
        </is>
      </c>
      <c r="H207" s="7" t="inlineStr"/>
      <c r="I207" s="7" t="inlineStr"/>
      <c r="J207" s="7" t="inlineStr"/>
      <c r="K207" s="7" t="inlineStr"/>
      <c r="L207" s="7" t="inlineStr"/>
      <c r="M207" s="7" t="n"/>
      <c r="N207" s="7" t="inlineStr"/>
      <c r="O207" s="7" t="inlineStr">
        <is>
          <t>yes</t>
        </is>
      </c>
      <c r="P207" s="7" t="inlineStr"/>
      <c r="Q207" s="7" t="inlineStr">
        <is>
          <t>the reacting atom is bonded to an aromatic carbon (unchanged) whose para position carries nitro, cyano, CF3, a carbonyl, a sulfonyl, an ammonium, an acyloxy, OCF3 or a sulfonyloxy group</t>
        </is>
      </c>
      <c r="R207" s="7" t="inlineStr">
        <is>
          <t>weaker nucleophile and base (p-nitroaniline pKaH 1.0 against 4.6 for aniline) and stronger acid: reacts after the more electron-rich amine of the molecule; needs a stronger base or a more reactive electrophile</t>
        </is>
      </c>
      <c r="S207" s="7" t="inlineStr">
        <is>
          <t>Hammett effect through the ring (σ values of the substituent)</t>
        </is>
      </c>
      <c r="T207" s="7" t="n"/>
      <c r="U207" s="10" t="n">
        <v>-0.33</v>
      </c>
      <c r="V207" s="7" t="inlineStr">
        <is>
          <t>carbonyl addition -1.03 (n=134; winner had it 25 % vs 44 % at random) · acyl substitution -0.75 (n=604; winner had it 28 % vs 47 % at random) · aryl halide -0.67 (n=209; winner had it 39 % vs 49 % at random) · n nucleophile -0.04 (n=102; winner had it 19 % vs 46 % at random)</t>
        </is>
      </c>
      <c r="W207" s="7" t="n">
        <v>1209</v>
      </c>
      <c r="X207" s="7" t="n">
        <v>490</v>
      </c>
      <c r="Y207" s="9" t="n">
        <v>0.2936</v>
      </c>
      <c r="Z207" s="9" t="n">
        <v>0.4689</v>
      </c>
      <c r="AA207" s="7" t="n"/>
      <c r="AB207" s="7" t="n"/>
      <c r="AC207" s="7" t="n"/>
      <c r="AD207" s="7" t="n"/>
      <c r="AE207" s="7" t="inlineStr">
        <is>
          <t>learned from the training patents (tools/int_train.py)</t>
        </is>
      </c>
      <c r="AF207" s="7" t="inlineStr">
        <is>
          <t>Hansch, Leo, Taft, Chem. Rev. 91, 165 (1991); Clayden, Organic Chemistry (aromatic substitution)</t>
        </is>
      </c>
    </row>
    <row r="208">
      <c r="A208" s="7" t="inlineStr">
        <is>
          <t>I205</t>
        </is>
      </c>
      <c r="B208" s="7" t="inlineStr">
        <is>
          <t>n-aryl-o-ewg</t>
        </is>
      </c>
      <c r="C208" s="7" t="inlineStr">
        <is>
          <t>nitrogen on an aryl ring with a ortho electron-withdrawing group</t>
        </is>
      </c>
      <c r="D208" s="7" t="inlineStr">
        <is>
          <t>aryl ring on the reacting atom</t>
        </is>
      </c>
      <c r="E208" s="7" t="inlineStr">
        <is>
          <t>electronic</t>
        </is>
      </c>
      <c r="F208" s="7" t="inlineStr">
        <is>
          <t>nitrogen</t>
        </is>
      </c>
      <c r="G208" s="7" t="inlineStr">
        <is>
          <t>[N;$(N-[c;!900*]:c-[N+;!900*](=O)[O-]),$(N-[c;!900*]:c-[C;!900*]#N),$(N-[c;!900*]:c-[C;!900*](F)(F)F),$(N-[c;!900*]:c-[SX4;!900*](=O)=O),$(N-[c;!900*]:c-[CH1;!900*]=O),$(N-[c;!900*]:c-[CX3;!900*](=O)[#6]),$(N-[c;!900*]:c-[CX3;!900*](=O)[OX2]),$(N-[c;!900*]:c-[CX3;!900*](=O)[NX3]),$(N-[c;!900*]:c-[OX2;!900*]C(F)(F)F),$(N-[c;!900*]:c-[OX2;!900*][SX4](=O)=O),$(N-[c;!900*]:c-[OX2;!900*]C(=O)),$(N-[c;!900*]:c-[NX4+;!900*])]</t>
        </is>
      </c>
      <c r="H208" s="7" t="inlineStr"/>
      <c r="I208" s="7" t="inlineStr"/>
      <c r="J208" s="7" t="inlineStr"/>
      <c r="K208" s="7" t="inlineStr"/>
      <c r="L208" s="7" t="inlineStr"/>
      <c r="M208" s="7" t="n"/>
      <c r="N208" s="7" t="inlineStr"/>
      <c r="O208" s="7" t="inlineStr">
        <is>
          <t>yes</t>
        </is>
      </c>
      <c r="P208" s="7" t="inlineStr"/>
      <c r="Q208" s="7" t="inlineStr">
        <is>
          <t>the reacting atom is bonded to an aromatic carbon (unchanged) whose ortho position carries nitro, cyano, CF3, a carbonyl, a sulfonyl, an ammonium, an acyloxy, OCF3 or a sulfonyloxy group</t>
        </is>
      </c>
      <c r="R208" s="7" t="inlineStr">
        <is>
          <t>a far weaker nucleophile and base (o-nitroaniline pKaH −0.3 against 4.6 for aniline; the nitro group also hydrogen-bonds to the N–H and crowds it): needs a stronger base or a more reactive electrophile; reacts after other amines</t>
        </is>
      </c>
      <c r="S208" s="7" t="inlineStr">
        <is>
          <t>Hammett effect through the ring (σ values of the substituent)</t>
        </is>
      </c>
      <c r="T208" s="7" t="n"/>
      <c r="U208" s="10" t="n">
        <v>-0.51</v>
      </c>
      <c r="V208" s="7" t="inlineStr">
        <is>
          <t>alkyl substitution -1.45 (n=161; winner had it 21 % vs 44 % at random) · acyl substitution -1.37 (n=905; winner had it 45 % vs 47 % at random) · deprotection -0.87 (n=32; winner had it 38 % vs 43 % at random) · n nucleophile -0.67 (n=85; winner had it 19 % vs 42 % at random) · carbonyl addition +0.20 (n=194; winner had it 43 % vs 43 % at random) · aryl halide -0.20 (n=236; winner had it 58 % vs 48 % at random)</t>
        </is>
      </c>
      <c r="W208" s="7" t="n">
        <v>1627</v>
      </c>
      <c r="X208" s="7" t="n">
        <v>598</v>
      </c>
      <c r="Y208" s="9" t="n">
        <v>0.4253</v>
      </c>
      <c r="Z208" s="9" t="n">
        <v>0.4601</v>
      </c>
      <c r="AA208" s="7" t="n"/>
      <c r="AB208" s="7" t="n"/>
      <c r="AC208" s="7" t="n"/>
      <c r="AD208" s="7" t="n"/>
      <c r="AE208" s="7" t="inlineStr">
        <is>
          <t>learned from the training patents (tools/int_train.py)</t>
        </is>
      </c>
      <c r="AF208" s="7" t="inlineStr">
        <is>
          <t>Hansch, Leo, Taft, Chem. Rev. 91, 165 (1991); Clayden, Organic Chemistry (aromatic substitution)</t>
        </is>
      </c>
    </row>
    <row r="209">
      <c r="A209" s="7" t="inlineStr">
        <is>
          <t>I206</t>
        </is>
      </c>
      <c r="B209" s="7" t="inlineStr">
        <is>
          <t>n-aryl-p-edg</t>
        </is>
      </c>
      <c r="C209" s="7" t="inlineStr">
        <is>
          <t>nitrogen on an aryl ring with a para electron-donating group</t>
        </is>
      </c>
      <c r="D209" s="7" t="inlineStr">
        <is>
          <t>aryl ring on the reacting atom</t>
        </is>
      </c>
      <c r="E209" s="7" t="inlineStr">
        <is>
          <t>electronic</t>
        </is>
      </c>
      <c r="F209" s="7" t="inlineStr">
        <is>
          <t>nitrogen</t>
        </is>
      </c>
      <c r="G209" s="7" t="inlineStr">
        <is>
          <t>[N;$(N-[c;!900*]1:a:a:c(-[NX3;H0;+0;!$(N-C=O);!$(N-S=O);!$(N(-c)-c);!900*]([#6])[#6]):a:a:1),$(N-[c;!900*]1:a:a:c(-[NX3;H2,H1;+0;!$(N-[C,S,P]=[O,S,N]);!$(N-[#7,#8]);!900*]):a:a:1),$(N-[c;!900*]1:a:a:c(-[OX2H1;!900*]):a:a:1),$(N-[c;!900*]1:a:a:c(-[OX2;!900*][CX4;!$(C(F)(F)F)]):a:a:1),$(N-[c;!900*]1:a:a:c(-[CH3;!900*]):a:a:1),$(N-[c;!900*]1:a:a:c(-[CX4;!H3;!$(C-[F,Cl,Br,I,$(C#N)]);!900*]):a:a:1),$(N-[c;!900*]1:a:a:c(-[OX1-;!900*]):a:a:1)]</t>
        </is>
      </c>
      <c r="H209" s="7" t="inlineStr"/>
      <c r="I209" s="7" t="inlineStr"/>
      <c r="J209" s="7" t="inlineStr"/>
      <c r="K209" s="7" t="inlineStr"/>
      <c r="L209" s="7" t="inlineStr"/>
      <c r="M209" s="7" t="n"/>
      <c r="N209" s="7" t="inlineStr"/>
      <c r="O209" s="7" t="inlineStr">
        <is>
          <t>yes</t>
        </is>
      </c>
      <c r="P209" s="7" t="inlineStr"/>
      <c r="Q209" s="7" t="inlineStr">
        <is>
          <t>the reacting atom is bonded to an aromatic carbon (unchanged) whose para position carries an alkoxy, hydroxy, phenoxide, amino or alkyl group</t>
        </is>
      </c>
      <c r="R209" s="7" t="inlineStr">
        <is>
          <t>stronger nucleophile and base (p-anisidine pKaH 5.3, p-toluidine 5.1 against 4.6 for aniline): reacts before less electron-rich anilines</t>
        </is>
      </c>
      <c r="S209" s="7" t="inlineStr">
        <is>
          <t>Hammett effect through the ring (σ values of the substituent)</t>
        </is>
      </c>
      <c r="T209" s="7" t="n"/>
      <c r="U209" s="10" t="n">
        <v>-0.03</v>
      </c>
      <c r="V209" s="7" t="inlineStr">
        <is>
          <t>redox other -0.75 (n=42; winner had it 19 % vs 50 % at random) · alkyl substitution -0.60 (n=362; winner had it 11 % vs 46 % at random) · deprotection +0.45 (n=74; winner had it 28 % vs 46 % at random)</t>
        </is>
      </c>
      <c r="W209" s="7" t="n">
        <v>2455</v>
      </c>
      <c r="X209" s="7" t="n">
        <v>781</v>
      </c>
      <c r="Y209" s="9" t="n">
        <v>0.2037</v>
      </c>
      <c r="Z209" s="9" t="n">
        <v>0.4644</v>
      </c>
      <c r="AA209" s="7" t="n"/>
      <c r="AB209" s="7" t="n"/>
      <c r="AC209" s="7" t="n"/>
      <c r="AD209" s="7" t="n"/>
      <c r="AE209" s="7" t="inlineStr">
        <is>
          <t>learned from the training patents (tools/int_train.py)</t>
        </is>
      </c>
      <c r="AF209" s="7" t="inlineStr">
        <is>
          <t>Hansch, Leo, Taft, Chem. Rev. 91, 165 (1991); Clayden, Organic Chemistry (aromatic substitution)</t>
        </is>
      </c>
    </row>
    <row r="210">
      <c r="A210" s="7" t="inlineStr">
        <is>
          <t>I207</t>
        </is>
      </c>
      <c r="B210" s="7" t="inlineStr">
        <is>
          <t>n-aryl-o-edg</t>
        </is>
      </c>
      <c r="C210" s="7" t="inlineStr">
        <is>
          <t>nitrogen on an aryl ring with a ortho electron-donating group</t>
        </is>
      </c>
      <c r="D210" s="7" t="inlineStr">
        <is>
          <t>aryl ring on the reacting atom</t>
        </is>
      </c>
      <c r="E210" s="7" t="inlineStr">
        <is>
          <t>electronic</t>
        </is>
      </c>
      <c r="F210" s="7" t="inlineStr">
        <is>
          <t>nitrogen</t>
        </is>
      </c>
      <c r="G210" s="7" t="inlineStr">
        <is>
          <t>[N;$(N-[c;!900*]:c-[NX3;H0;+0;!$(N-C=O);!$(N-S=O);!$(N(-c)-c);!900*]([#6])[#6]),$(N-[c;!900*]:c-[NX3;H2,H1;+0;!$(N-[C,S,P]=[O,S,N]);!$(N-[#7,#8]);!900*]),$(N-[c;!900*]:c-[OX2H1;!900*]),$(N-[c;!900*]:c-[OX2;!900*][CX4;!$(C(F)(F)F)]),$(N-[c;!900*]:c-[CH3;!900*]),$(N-[c;!900*]:c-[CX4;!H3;!$(C-[F,Cl,Br,I,$(C#N)]);!900*]),$(N-[c;!900*]:c-[OX1-;!900*])]</t>
        </is>
      </c>
      <c r="H210" s="7" t="inlineStr"/>
      <c r="I210" s="7" t="inlineStr"/>
      <c r="J210" s="7" t="inlineStr"/>
      <c r="K210" s="7" t="inlineStr"/>
      <c r="L210" s="7" t="inlineStr"/>
      <c r="M210" s="7" t="n"/>
      <c r="N210" s="7" t="inlineStr"/>
      <c r="O210" s="7" t="inlineStr">
        <is>
          <t>yes</t>
        </is>
      </c>
      <c r="P210" s="7" t="inlineStr"/>
      <c r="Q210" s="7" t="inlineStr">
        <is>
          <t>the reacting atom is bonded to an aromatic carbon (unchanged) whose ortho position carries an alkoxy, hydroxy, phenoxide, amino or alkyl group</t>
        </is>
      </c>
      <c r="R210" s="7" t="inlineStr">
        <is>
          <t>about as basic as aniline (o-toluidine pKaH 4.4, o-anisidine 4.5 against 4.6) and more hindered: the ortho group crowds the N and twists it out of conjugation, so acylation and coupling are slower than for the para isomer</t>
        </is>
      </c>
      <c r="S210" s="7" t="inlineStr">
        <is>
          <t>Hammett effect through the ring (σ values of the substituent)</t>
        </is>
      </c>
      <c r="T210" s="7" t="n"/>
      <c r="U210" s="10" t="n">
        <v>0.16</v>
      </c>
      <c r="V210" s="7" t="inlineStr">
        <is>
          <t>alkyl substitution +1.39 (n=471; winner had it 51 % vs 46 % at random) · redox other +0.68 (n=33; winner had it 82 % vs 50 % at random) · unsaturated -0.64 (n=33; winner had it 15 % vs 47 % at random) · carbonyl addition -0.29 (n=221; winner had it 21 % vs 46 % at random) · aryl halide -0.12 (n=399; winner had it 37 % vs 50 % at random)</t>
        </is>
      </c>
      <c r="W210" s="7" t="n">
        <v>2645</v>
      </c>
      <c r="X210" s="7" t="n">
        <v>876</v>
      </c>
      <c r="Y210" s="9" t="n">
        <v>0.3773</v>
      </c>
      <c r="Z210" s="9" t="n">
        <v>0.475</v>
      </c>
      <c r="AA210" s="7" t="n"/>
      <c r="AB210" s="7" t="n"/>
      <c r="AC210" s="7" t="n"/>
      <c r="AD210" s="7" t="n"/>
      <c r="AE210" s="7" t="inlineStr">
        <is>
          <t>learned from the training patents (tools/int_train.py)</t>
        </is>
      </c>
      <c r="AF210" s="7" t="inlineStr">
        <is>
          <t>Hansch, Leo, Taft, Chem. Rev. 91, 165 (1991); Clayden, Organic Chemistry (aromatic substitution)</t>
        </is>
      </c>
    </row>
    <row r="211">
      <c r="A211" s="7" t="inlineStr">
        <is>
          <t>I208</t>
        </is>
      </c>
      <c r="B211" s="7" t="inlineStr">
        <is>
          <t>o-aryl-p-ewg</t>
        </is>
      </c>
      <c r="C211" s="7" t="inlineStr">
        <is>
          <t>oxygen on an aryl ring with a para electron-withdrawing group</t>
        </is>
      </c>
      <c r="D211" s="7" t="inlineStr">
        <is>
          <t>aryl ring on the reacting atom</t>
        </is>
      </c>
      <c r="E211" s="7" t="inlineStr">
        <is>
          <t>electronic</t>
        </is>
      </c>
      <c r="F211" s="7" t="inlineStr">
        <is>
          <t>oxygen</t>
        </is>
      </c>
      <c r="G211" s="7" t="inlineStr">
        <is>
          <t>[O;$(O-[c;!900*]1:a:a:c(-[N+;!900*](=O)[O-]):a:a:1),$(O-[c;!900*]1:a:a:c(-[C;!900*]#N):a:a:1),$(O-[c;!900*]1:a:a:c(-[C;!900*](F)(F)F):a:a:1),$(O-[c;!900*]1:a:a:c(-[SX4;!900*](=O)=O):a:a:1),$(O-[c;!900*]1:a:a:c(-[CH1;!900*]=O):a:a:1),$(O-[c;!900*]1:a:a:c(-[CX3;!900*](=O)[#6]):a:a:1),$(O-[c;!900*]1:a:a:c(-[CX3;!900*](=O)[OX2]):a:a:1),$(O-[c;!900*]1:a:a:c(-[CX3;!900*](=O)[NX3]):a:a:1),$(O-[c;!900*]1:a:a:c(-[OX2;!900*]C(F)(F)F):a:a:1),$(O-[c;!900*]1:a:a:c(-[OX2;!900*][SX4](=O)=O):a:a:1),$(O-[c;!900*]1:a:a:c(-[OX2;!900*]C(=O)):a:a:1),$(O-[c;!900*]1:a:a:c(-[NX4+;!900*]):a:a:1)]</t>
        </is>
      </c>
      <c r="H211" s="7" t="inlineStr"/>
      <c r="I211" s="7" t="inlineStr"/>
      <c r="J211" s="7" t="inlineStr"/>
      <c r="K211" s="7" t="inlineStr"/>
      <c r="L211" s="7" t="inlineStr"/>
      <c r="M211" s="7" t="n"/>
      <c r="N211" s="7" t="inlineStr"/>
      <c r="O211" s="7" t="inlineStr">
        <is>
          <t>yes</t>
        </is>
      </c>
      <c r="P211" s="7" t="inlineStr"/>
      <c r="Q211" s="7" t="inlineStr">
        <is>
          <t>the reacting atom is bonded to an aromatic carbon (unchanged) whose para position carries nitro, cyano, CF3, a carbonyl, a sulfonyl, an ammonium, an acyloxy, OCF3 or a sulfonyloxy group</t>
        </is>
      </c>
      <c r="R211" s="7" t="inlineStr">
        <is>
          <t>a weaker nucleophile and a stronger acid (p-nitrophenol pKa 7.2 against 10.0 for phenol): easily deprotonated (K2CO3 is enough) but a poorer nucleophile; a better leaving group</t>
        </is>
      </c>
      <c r="S211" s="7" t="inlineStr">
        <is>
          <t>Hammett effect through the ring (σ values of the substituent)</t>
        </is>
      </c>
      <c r="T211" s="7" t="n"/>
      <c r="U211" s="10" t="n">
        <v>0.51</v>
      </c>
      <c r="V211" s="7" t="inlineStr">
        <is>
          <t>alkyl substitution +0.99 (n=373; winner had it 91 % vs 49 % at random) · acyl substitution +0.87 (n=1145; winner had it 9 % vs 34 % at random) · o nucleophile +0.13 (n=142; winner had it 56 % vs 49 % at random) · deprotection -0.07 (n=327; winner had it 56 % vs 44 % at random)</t>
        </is>
      </c>
      <c r="W211" s="7" t="n">
        <v>2038</v>
      </c>
      <c r="X211" s="7" t="n">
        <v>1092</v>
      </c>
      <c r="Y211" s="9" t="n">
        <v>0.367</v>
      </c>
      <c r="Z211" s="9" t="n">
        <v>0.3998</v>
      </c>
      <c r="AA211" s="7" t="n"/>
      <c r="AB211" s="7" t="n"/>
      <c r="AC211" s="7" t="n"/>
      <c r="AD211" s="7" t="n"/>
      <c r="AE211" s="7" t="inlineStr">
        <is>
          <t>learned from the training patents (tools/int_train.py)</t>
        </is>
      </c>
      <c r="AF211" s="7" t="inlineStr">
        <is>
          <t>Hansch, Leo, Taft, Chem. Rev. 91, 165 (1991); Clayden, Organic Chemistry (aromatic substitution)</t>
        </is>
      </c>
    </row>
    <row r="212">
      <c r="A212" s="7" t="inlineStr">
        <is>
          <t>I209</t>
        </is>
      </c>
      <c r="B212" s="7" t="inlineStr">
        <is>
          <t>o-aryl-o-ewg</t>
        </is>
      </c>
      <c r="C212" s="7" t="inlineStr">
        <is>
          <t>oxygen on an aryl ring with a ortho electron-withdrawing group</t>
        </is>
      </c>
      <c r="D212" s="7" t="inlineStr">
        <is>
          <t>aryl ring on the reacting atom</t>
        </is>
      </c>
      <c r="E212" s="7" t="inlineStr">
        <is>
          <t>electronic</t>
        </is>
      </c>
      <c r="F212" s="7" t="inlineStr">
        <is>
          <t>oxygen</t>
        </is>
      </c>
      <c r="G212" s="7" t="inlineStr">
        <is>
          <t>[O;$(O-[c;!900*]:c-[N+;!900*](=O)[O-]),$(O-[c;!900*]:c-[C;!900*]#N),$(O-[c;!900*]:c-[C;!900*](F)(F)F),$(O-[c;!900*]:c-[SX4;!900*](=O)=O),$(O-[c;!900*]:c-[CH1;!900*]=O),$(O-[c;!900*]:c-[CX3;!900*](=O)[#6]),$(O-[c;!900*]:c-[CX3;!900*](=O)[OX2]),$(O-[c;!900*]:c-[CX3;!900*](=O)[NX3]),$(O-[c;!900*]:c-[OX2;!900*]C(F)(F)F),$(O-[c;!900*]:c-[OX2;!900*][SX4](=O)=O),$(O-[c;!900*]:c-[OX2;!900*]C(=O)),$(O-[c;!900*]:c-[NX4+;!900*])]</t>
        </is>
      </c>
      <c r="H212" s="7" t="inlineStr"/>
      <c r="I212" s="7" t="inlineStr"/>
      <c r="J212" s="7" t="inlineStr"/>
      <c r="K212" s="7" t="inlineStr"/>
      <c r="L212" s="7" t="inlineStr"/>
      <c r="M212" s="7" t="n"/>
      <c r="N212" s="7" t="inlineStr"/>
      <c r="O212" s="7" t="inlineStr">
        <is>
          <t>yes</t>
        </is>
      </c>
      <c r="P212" s="7" t="inlineStr"/>
      <c r="Q212" s="7" t="inlineStr">
        <is>
          <t>the reacting atom is bonded to an aromatic carbon (unchanged) whose ortho position carries nitro, cyano, CF3, a carbonyl, a sulfonyl, an ammonium, an acyloxy, OCF3 or a sulfonyloxy group</t>
        </is>
      </c>
      <c r="R212" s="7" t="inlineStr">
        <is>
          <t>a stronger acid and a weaker nucleophile (o-nitrophenol pKa 7.2 against 10.0 for phenol; the nitro group hydrogen-bonds to the O–H and crowds the O)</t>
        </is>
      </c>
      <c r="S212" s="7" t="inlineStr">
        <is>
          <t>Hammett effect through the ring (σ values of the substituent)</t>
        </is>
      </c>
      <c r="T212" s="7" t="n"/>
      <c r="U212" s="10" t="n">
        <v>-0.75</v>
      </c>
      <c r="V212" s="7" t="inlineStr">
        <is>
          <t>alkyl substitution -1.76 (n=358; winner had it 23 % vs 49 % at random) · o nucleophile -0.95 (n=109; winner had it 39 % vs 49 % at random) · acyl substitution +0.48 (n=1161; winner had it 7 % vs 36 % at random) · deprotection +0.23 (n=338; winner had it 73 % vs 43 % at random)</t>
        </is>
      </c>
      <c r="W212" s="7" t="n">
        <v>2018</v>
      </c>
      <c r="X212" s="7" t="n">
        <v>1031</v>
      </c>
      <c r="Y212" s="9" t="n">
        <v>0.2294</v>
      </c>
      <c r="Z212" s="9" t="n">
        <v>0.4038</v>
      </c>
      <c r="AA212" s="7" t="n"/>
      <c r="AB212" s="7" t="n"/>
      <c r="AC212" s="7" t="n"/>
      <c r="AD212" s="7" t="n"/>
      <c r="AE212" s="7" t="inlineStr">
        <is>
          <t>learned from the training patents (tools/int_train.py)</t>
        </is>
      </c>
      <c r="AF212" s="7" t="inlineStr">
        <is>
          <t>Hansch, Leo, Taft, Chem. Rev. 91, 165 (1991); Clayden, Organic Chemistry (aromatic substitution)</t>
        </is>
      </c>
    </row>
    <row r="213">
      <c r="A213" s="7" t="inlineStr">
        <is>
          <t>I210</t>
        </is>
      </c>
      <c r="B213" s="7" t="inlineStr">
        <is>
          <t>o-aryl-p-edg</t>
        </is>
      </c>
      <c r="C213" s="7" t="inlineStr">
        <is>
          <t>oxygen on an aryl ring with a para electron-donating group</t>
        </is>
      </c>
      <c r="D213" s="7" t="inlineStr">
        <is>
          <t>aryl ring on the reacting atom</t>
        </is>
      </c>
      <c r="E213" s="7" t="inlineStr">
        <is>
          <t>electronic</t>
        </is>
      </c>
      <c r="F213" s="7" t="inlineStr">
        <is>
          <t>oxygen</t>
        </is>
      </c>
      <c r="G213" s="7" t="inlineStr">
        <is>
          <t>[O;$(O-[c;!900*]1:a:a:c(-[NX3;H0;+0;!$(N-C=O);!$(N-S=O);!$(N(-c)-c);!900*]([#6])[#6]):a:a:1),$(O-[c;!900*]1:a:a:c(-[NX3;H2,H1;+0;!$(N-[C,S,P]=[O,S,N]);!$(N-[#7,#8]);!900*]):a:a:1),$(O-[c;!900*]1:a:a:c(-[OX2H1;!900*]):a:a:1),$(O-[c;!900*]1:a:a:c(-[OX2;!900*][CX4;!$(C(F)(F)F)]):a:a:1),$(O-[c;!900*]1:a:a:c(-[CH3;!900*]):a:a:1),$(O-[c;!900*]1:a:a:c(-[CX4;!H3;!$(C-[F,Cl,Br,I,$(C#N)]);!900*]):a:a:1),$(O-[c;!900*]1:a:a:c(-[OX1-;!900*]):a:a:1)]</t>
        </is>
      </c>
      <c r="H213" s="7" t="inlineStr"/>
      <c r="I213" s="7" t="inlineStr"/>
      <c r="J213" s="7" t="inlineStr"/>
      <c r="K213" s="7" t="inlineStr"/>
      <c r="L213" s="7" t="inlineStr"/>
      <c r="M213" s="7" t="n"/>
      <c r="N213" s="7" t="inlineStr"/>
      <c r="O213" s="7" t="inlineStr">
        <is>
          <t>yes</t>
        </is>
      </c>
      <c r="P213" s="7" t="inlineStr"/>
      <c r="Q213" s="7" t="inlineStr">
        <is>
          <t>the reacting atom is bonded to an aromatic carbon (unchanged) whose para position carries an alkoxy, hydroxy, phenoxide, amino or alkyl group</t>
        </is>
      </c>
      <c r="R213" s="7" t="inlineStr">
        <is>
          <t>a more nucleophilic, less acidic phenol (p-methoxyphenol pKa 10.2)</t>
        </is>
      </c>
      <c r="S213" s="7" t="inlineStr">
        <is>
          <t>Hammett effect through the ring (σ values of the substituent)</t>
        </is>
      </c>
      <c r="T213" s="7" t="n"/>
      <c r="U213" s="10" t="n">
        <v>0.28</v>
      </c>
      <c r="V213" s="7" t="inlineStr">
        <is>
          <t>aryl halide +1.26 (n=181; winner had it 98 % vs 50 % at random) · deprotection -0.08 (n=553; winner had it 68 % vs 45 % at random)</t>
        </is>
      </c>
      <c r="W213" s="7" t="n">
        <v>3692</v>
      </c>
      <c r="X213" s="7" t="n">
        <v>1545</v>
      </c>
      <c r="Y213" s="9" t="n">
        <v>0.4038</v>
      </c>
      <c r="Z213" s="9" t="n">
        <v>0.3963</v>
      </c>
      <c r="AA213" s="7" t="n"/>
      <c r="AB213" s="7" t="n"/>
      <c r="AC213" s="7" t="n"/>
      <c r="AD213" s="7" t="n"/>
      <c r="AE213" s="7" t="inlineStr">
        <is>
          <t>learned from the training patents (tools/int_train.py)</t>
        </is>
      </c>
      <c r="AF213" s="7" t="inlineStr">
        <is>
          <t>Hansch, Leo, Taft, Chem. Rev. 91, 165 (1991); Clayden, Organic Chemistry (aromatic substitution)</t>
        </is>
      </c>
    </row>
    <row r="214">
      <c r="A214" s="7" t="inlineStr">
        <is>
          <t>I211</t>
        </is>
      </c>
      <c r="B214" s="7" t="inlineStr">
        <is>
          <t>o-aryl-o-edg</t>
        </is>
      </c>
      <c r="C214" s="7" t="inlineStr">
        <is>
          <t>oxygen on an aryl ring with a ortho electron-donating group</t>
        </is>
      </c>
      <c r="D214" s="7" t="inlineStr">
        <is>
          <t>aryl ring on the reacting atom</t>
        </is>
      </c>
      <c r="E214" s="7" t="inlineStr">
        <is>
          <t>electronic</t>
        </is>
      </c>
      <c r="F214" s="7" t="inlineStr">
        <is>
          <t>oxygen</t>
        </is>
      </c>
      <c r="G214" s="7" t="inlineStr">
        <is>
          <t>[O;$(O-[c;!900*]:c-[NX3;H0;+0;!$(N-C=O);!$(N-S=O);!$(N(-c)-c);!900*]([#6])[#6]),$(O-[c;!900*]:c-[NX3;H2,H1;+0;!$(N-[C,S,P]=[O,S,N]);!$(N-[#7,#8]);!900*]),$(O-[c;!900*]:c-[OX2H1;!900*]),$(O-[c;!900*]:c-[OX2;!900*][CX4;!$(C(F)(F)F)]),$(O-[c;!900*]:c-[CH3;!900*]),$(O-[c;!900*]:c-[CX4;!H3;!$(C-[F,Cl,Br,I,$(C#N)]);!900*]),$(O-[c;!900*]:c-[OX1-;!900*])]</t>
        </is>
      </c>
      <c r="H214" s="7" t="inlineStr"/>
      <c r="I214" s="7" t="inlineStr"/>
      <c r="J214" s="7" t="inlineStr"/>
      <c r="K214" s="7" t="inlineStr"/>
      <c r="L214" s="7" t="inlineStr"/>
      <c r="M214" s="7" t="n"/>
      <c r="N214" s="7" t="inlineStr"/>
      <c r="O214" s="7" t="inlineStr">
        <is>
          <t>yes</t>
        </is>
      </c>
      <c r="P214" s="7" t="inlineStr"/>
      <c r="Q214" s="7" t="inlineStr">
        <is>
          <t>the reacting atom is bonded to an aromatic carbon (unchanged) whose ortho position carries an alkoxy, hydroxy, phenoxide, amino or alkyl group</t>
        </is>
      </c>
      <c r="R214" s="7" t="inlineStr">
        <is>
          <t>about as acidic as phenol (o-cresol pKa 10.3, guaiacol 10.0) and more hindered; an ortho alkoxy group can chelate a metal or a Lewis acid</t>
        </is>
      </c>
      <c r="S214" s="7" t="inlineStr">
        <is>
          <t>Hammett effect through the ring (σ values of the substituent)</t>
        </is>
      </c>
      <c r="T214" s="7" t="n"/>
      <c r="U214" s="10" t="n">
        <v>-0.24</v>
      </c>
      <c r="V214" s="7" t="inlineStr">
        <is>
          <t>deprotection -0.66 (n=469; winner had it 55 % vs 46 % at random) · alkyl substitution -0.59 (n=476; winner had it 82 % vs 49 % at random) · o nucleophile +0.35 (n=178; winner had it 70 % vs 48 % at random)</t>
        </is>
      </c>
      <c r="W214" s="7" t="n">
        <v>3462</v>
      </c>
      <c r="X214" s="7" t="n">
        <v>1584</v>
      </c>
      <c r="Y214" s="9" t="n">
        <v>0.2683</v>
      </c>
      <c r="Z214" s="9" t="n">
        <v>0.4011</v>
      </c>
      <c r="AA214" s="7" t="n"/>
      <c r="AB214" s="7" t="n"/>
      <c r="AC214" s="7" t="n"/>
      <c r="AD214" s="7" t="n"/>
      <c r="AE214" s="7" t="inlineStr">
        <is>
          <t>learned from the training patents (tools/int_train.py)</t>
        </is>
      </c>
      <c r="AF214" s="7" t="inlineStr">
        <is>
          <t>Hansch, Leo, Taft, Chem. Rev. 91, 165 (1991); Clayden, Organic Chemistry (aromatic substitution)</t>
        </is>
      </c>
    </row>
    <row r="215">
      <c r="A215" s="7" t="inlineStr">
        <is>
          <t>I212</t>
        </is>
      </c>
      <c r="B215" s="7" t="inlineStr">
        <is>
          <t>s-aryl-p-ewg</t>
        </is>
      </c>
      <c r="C215" s="7" t="inlineStr">
        <is>
          <t>sulfur on an aryl ring with a para electron-withdrawing group</t>
        </is>
      </c>
      <c r="D215" s="7" t="inlineStr">
        <is>
          <t>aryl ring on the reacting atom</t>
        </is>
      </c>
      <c r="E215" s="7" t="inlineStr">
        <is>
          <t>electronic</t>
        </is>
      </c>
      <c r="F215" s="7" t="inlineStr">
        <is>
          <t>sulfur</t>
        </is>
      </c>
      <c r="G215" s="7" t="inlineStr">
        <is>
          <t>[S;$(S-[c;!900*]1:a:a:c(-[N+;!900*](=O)[O-]):a:a:1),$(S-[c;!900*]1:a:a:c(-[C;!900*]#N):a:a:1),$(S-[c;!900*]1:a:a:c(-[C;!900*](F)(F)F):a:a:1),$(S-[c;!900*]1:a:a:c(-[SX4;!900*](=O)=O):a:a:1),$(S-[c;!900*]1:a:a:c(-[CH1;!900*]=O):a:a:1),$(S-[c;!900*]1:a:a:c(-[CX3;!900*](=O)[#6]):a:a:1),$(S-[c;!900*]1:a:a:c(-[CX3;!900*](=O)[OX2]):a:a:1),$(S-[c;!900*]1:a:a:c(-[CX3;!900*](=O)[NX3]):a:a:1),$(S-[c;!900*]1:a:a:c(-[OX2;!900*]C(F)(F)F):a:a:1),$(S-[c;!900*]1:a:a:c(-[OX2;!900*][SX4](=O)=O):a:a:1),$(S-[c;!900*]1:a:a:c(-[OX2;!900*]C(=O)):a:a:1),$(S-[c;!900*]1:a:a:c(-[NX4+;!900*]):a:a:1)]</t>
        </is>
      </c>
      <c r="H215" s="7" t="inlineStr"/>
      <c r="I215" s="7" t="inlineStr"/>
      <c r="J215" s="7" t="inlineStr"/>
      <c r="K215" s="7" t="inlineStr"/>
      <c r="L215" s="7" t="inlineStr"/>
      <c r="M215" s="7" t="n"/>
      <c r="N215" s="7" t="inlineStr"/>
      <c r="O215" s="7" t="inlineStr">
        <is>
          <t>yes</t>
        </is>
      </c>
      <c r="P215" s="7" t="inlineStr"/>
      <c r="Q215" s="7" t="inlineStr">
        <is>
          <t>the reacting atom is bonded to an aromatic carbon (unchanged) whose para position carries nitro, cyano, CF3, a carbonyl, a sulfonyl, an ammonium, an acyloxy, OCF3 or a sulfonyloxy group</t>
        </is>
      </c>
      <c r="R215" s="7" t="inlineStr">
        <is>
          <t>a weaker, less basic thiolate nucleophile; stronger acid</t>
        </is>
      </c>
      <c r="S215" s="7" t="inlineStr">
        <is>
          <t>Hammett effect through the ring (σ values of the substituent)</t>
        </is>
      </c>
      <c r="T215" s="7" t="n"/>
      <c r="U215" s="10" t="n">
        <v>0.43</v>
      </c>
      <c r="V215" s="7" t="inlineStr"/>
      <c r="W215" s="7" t="n">
        <v>11</v>
      </c>
      <c r="X215" s="7" t="n">
        <v>10</v>
      </c>
      <c r="Y215" s="9" t="n">
        <v>0.9091</v>
      </c>
      <c r="Z215" s="9" t="n">
        <v>0.5</v>
      </c>
      <c r="AA215" s="7" t="n"/>
      <c r="AB215" s="7" t="n"/>
      <c r="AC215" s="7" t="n"/>
      <c r="AD215" s="7" t="n"/>
      <c r="AE215" s="7" t="inlineStr">
        <is>
          <t>too few contests in the recorded reactions to learn a weight (the weight is shrunk to about zero): the textbook effect is advisory</t>
        </is>
      </c>
      <c r="AF215" s="7" t="inlineStr">
        <is>
          <t>Hansch, Leo, Taft, Chem. Rev. 91, 165 (1991); Clayden, Organic Chemistry (aromatic substitution)</t>
        </is>
      </c>
    </row>
    <row r="216">
      <c r="A216" s="7" t="inlineStr">
        <is>
          <t>I213</t>
        </is>
      </c>
      <c r="B216" s="7" t="inlineStr">
        <is>
          <t>s-aryl-o-ewg</t>
        </is>
      </c>
      <c r="C216" s="7" t="inlineStr">
        <is>
          <t>sulfur on an aryl ring with a ortho electron-withdrawing group</t>
        </is>
      </c>
      <c r="D216" s="7" t="inlineStr">
        <is>
          <t>aryl ring on the reacting atom</t>
        </is>
      </c>
      <c r="E216" s="7" t="inlineStr">
        <is>
          <t>electronic</t>
        </is>
      </c>
      <c r="F216" s="7" t="inlineStr">
        <is>
          <t>sulfur</t>
        </is>
      </c>
      <c r="G216" s="7" t="inlineStr">
        <is>
          <t>[S;$(S-[c;!900*]:c-[N+;!900*](=O)[O-]),$(S-[c;!900*]:c-[C;!900*]#N),$(S-[c;!900*]:c-[C;!900*](F)(F)F),$(S-[c;!900*]:c-[SX4;!900*](=O)=O),$(S-[c;!900*]:c-[CH1;!900*]=O),$(S-[c;!900*]:c-[CX3;!900*](=O)[#6]),$(S-[c;!900*]:c-[CX3;!900*](=O)[OX2]),$(S-[c;!900*]:c-[CX3;!900*](=O)[NX3]),$(S-[c;!900*]:c-[OX2;!900*]C(F)(F)F),$(S-[c;!900*]:c-[OX2;!900*][SX4](=O)=O),$(S-[c;!900*]:c-[OX2;!900*]C(=O)),$(S-[c;!900*]:c-[NX4+;!900*])]</t>
        </is>
      </c>
      <c r="H216" s="7" t="inlineStr"/>
      <c r="I216" s="7" t="inlineStr"/>
      <c r="J216" s="7" t="inlineStr"/>
      <c r="K216" s="7" t="inlineStr"/>
      <c r="L216" s="7" t="inlineStr"/>
      <c r="M216" s="7" t="n"/>
      <c r="N216" s="7" t="inlineStr"/>
      <c r="O216" s="7" t="inlineStr">
        <is>
          <t>yes</t>
        </is>
      </c>
      <c r="P216" s="7" t="inlineStr"/>
      <c r="Q216" s="7" t="inlineStr">
        <is>
          <t>the reacting atom is bonded to an aromatic carbon (unchanged) whose ortho position carries nitro, cyano, CF3, a carbonyl, a sulfonyl, an ammonium, an acyloxy, OCF3 or a sulfonyloxy group</t>
        </is>
      </c>
      <c r="R216" s="7" t="inlineStr">
        <is>
          <t>a weaker, less basic thiolate nucleophile and a stronger acid; the ortho group also crowds the S</t>
        </is>
      </c>
      <c r="S216" s="7" t="inlineStr">
        <is>
          <t>Hammett effect through the ring (σ values of the substituent)</t>
        </is>
      </c>
      <c r="T216" s="7" t="n"/>
      <c r="U216" s="10" t="n">
        <v>0.05</v>
      </c>
      <c r="V216" s="7" t="inlineStr"/>
      <c r="W216" s="7" t="n">
        <v>8</v>
      </c>
      <c r="X216" s="7" t="n">
        <v>8</v>
      </c>
      <c r="Y216" s="9" t="n">
        <v>0.75</v>
      </c>
      <c r="Z216" s="9" t="n">
        <v>0.5</v>
      </c>
      <c r="AA216" s="7" t="n"/>
      <c r="AB216" s="7" t="n"/>
      <c r="AC216" s="7" t="n"/>
      <c r="AD216" s="7" t="n"/>
      <c r="AE216" s="7" t="inlineStr">
        <is>
          <t>too few contests in the recorded reactions to learn a weight (the weight is shrunk to about zero): the textbook effect is advisory</t>
        </is>
      </c>
      <c r="AF216" s="7" t="inlineStr">
        <is>
          <t>Hansch, Leo, Taft, Chem. Rev. 91, 165 (1991); Clayden, Organic Chemistry (aromatic substitution)</t>
        </is>
      </c>
    </row>
    <row r="217">
      <c r="A217" s="7" t="inlineStr">
        <is>
          <t>I214</t>
        </is>
      </c>
      <c r="B217" s="7" t="inlineStr">
        <is>
          <t>s-aryl-p-edg</t>
        </is>
      </c>
      <c r="C217" s="7" t="inlineStr">
        <is>
          <t>sulfur on an aryl ring with a para electron-donating group</t>
        </is>
      </c>
      <c r="D217" s="7" t="inlineStr">
        <is>
          <t>aryl ring on the reacting atom</t>
        </is>
      </c>
      <c r="E217" s="7" t="inlineStr">
        <is>
          <t>electronic</t>
        </is>
      </c>
      <c r="F217" s="7" t="inlineStr">
        <is>
          <t>sulfur</t>
        </is>
      </c>
      <c r="G217" s="7" t="inlineStr">
        <is>
          <t>[S;$(S-[c;!900*]1:a:a:c(-[NX3;H0;+0;!$(N-C=O);!$(N-S=O);!$(N(-c)-c);!900*]([#6])[#6]):a:a:1),$(S-[c;!900*]1:a:a:c(-[NX3;H2,H1;+0;!$(N-[C,S,P]=[O,S,N]);!$(N-[#7,#8]);!900*]):a:a:1),$(S-[c;!900*]1:a:a:c(-[OX2H1;!900*]):a:a:1),$(S-[c;!900*]1:a:a:c(-[OX2;!900*][CX4;!$(C(F)(F)F)]):a:a:1),$(S-[c;!900*]1:a:a:c(-[CH3;!900*]):a:a:1),$(S-[c;!900*]1:a:a:c(-[CX4;!H3;!$(C-[F,Cl,Br,I,$(C#N)]);!900*]):a:a:1),$(S-[c;!900*]1:a:a:c(-[OX1-;!900*]):a:a:1)]</t>
        </is>
      </c>
      <c r="H217" s="7" t="inlineStr"/>
      <c r="I217" s="7" t="inlineStr"/>
      <c r="J217" s="7" t="inlineStr"/>
      <c r="K217" s="7" t="inlineStr"/>
      <c r="L217" s="7" t="inlineStr"/>
      <c r="M217" s="7" t="n"/>
      <c r="N217" s="7" t="inlineStr"/>
      <c r="O217" s="7" t="inlineStr">
        <is>
          <t>yes</t>
        </is>
      </c>
      <c r="P217" s="7" t="inlineStr"/>
      <c r="Q217" s="7" t="inlineStr">
        <is>
          <t>the reacting atom is bonded to an aromatic carbon (unchanged) whose para position carries an alkoxy, hydroxy, phenoxide, amino or alkyl group</t>
        </is>
      </c>
      <c r="R217" s="7" t="inlineStr">
        <is>
          <t>a more basic, more nucleophilic thiolate</t>
        </is>
      </c>
      <c r="S217" s="7" t="inlineStr">
        <is>
          <t>Hammett effect through the ring (σ values of the substituent)</t>
        </is>
      </c>
      <c r="T217" s="7" t="n"/>
      <c r="U217" s="10" t="n">
        <v>0.07000000000000001</v>
      </c>
      <c r="V217" s="7" t="inlineStr"/>
      <c r="W217" s="7" t="n">
        <v>24</v>
      </c>
      <c r="X217" s="7" t="n">
        <v>23</v>
      </c>
      <c r="Y217" s="9" t="n">
        <v>0.8333</v>
      </c>
      <c r="Z217" s="9" t="n">
        <v>0.4958</v>
      </c>
      <c r="AA217" s="7" t="n"/>
      <c r="AB217" s="7" t="n"/>
      <c r="AC217" s="7" t="n"/>
      <c r="AD217" s="7" t="n"/>
      <c r="AE217" s="7" t="inlineStr">
        <is>
          <t>too few contests in the recorded reactions to learn a weight (the weight is shrunk to about zero): the textbook effect is advisory</t>
        </is>
      </c>
      <c r="AF217" s="7" t="inlineStr">
        <is>
          <t>Hansch, Leo, Taft, Chem. Rev. 91, 165 (1991); Clayden, Organic Chemistry (aromatic substitution)</t>
        </is>
      </c>
    </row>
    <row r="218">
      <c r="A218" s="7" t="inlineStr">
        <is>
          <t>I215</t>
        </is>
      </c>
      <c r="B218" s="7" t="inlineStr">
        <is>
          <t>s-aryl-o-edg</t>
        </is>
      </c>
      <c r="C218" s="7" t="inlineStr">
        <is>
          <t>sulfur on an aryl ring with a ortho electron-donating group</t>
        </is>
      </c>
      <c r="D218" s="7" t="inlineStr">
        <is>
          <t>aryl ring on the reacting atom</t>
        </is>
      </c>
      <c r="E218" s="7" t="inlineStr">
        <is>
          <t>electronic</t>
        </is>
      </c>
      <c r="F218" s="7" t="inlineStr">
        <is>
          <t>sulfur</t>
        </is>
      </c>
      <c r="G218" s="7" t="inlineStr">
        <is>
          <t>[S;$(S-[c;!900*]:c-[NX3;H0;+0;!$(N-C=O);!$(N-S=O);!$(N(-c)-c);!900*]([#6])[#6]),$(S-[c;!900*]:c-[NX3;H2,H1;+0;!$(N-[C,S,P]=[O,S,N]);!$(N-[#7,#8]);!900*]),$(S-[c;!900*]:c-[OX2H1;!900*]),$(S-[c;!900*]:c-[OX2;!900*][CX4;!$(C(F)(F)F)]),$(S-[c;!900*]:c-[CH3;!900*]),$(S-[c;!900*]:c-[CX4;!H3;!$(C-[F,Cl,Br,I,$(C#N)]);!900*]),$(S-[c;!900*]:c-[OX1-;!900*])]</t>
        </is>
      </c>
      <c r="H218" s="7" t="inlineStr"/>
      <c r="I218" s="7" t="inlineStr"/>
      <c r="J218" s="7" t="inlineStr"/>
      <c r="K218" s="7" t="inlineStr"/>
      <c r="L218" s="7" t="inlineStr"/>
      <c r="M218" s="7" t="n"/>
      <c r="N218" s="7" t="inlineStr"/>
      <c r="O218" s="7" t="inlineStr">
        <is>
          <t>yes</t>
        </is>
      </c>
      <c r="P218" s="7" t="inlineStr"/>
      <c r="Q218" s="7" t="inlineStr">
        <is>
          <t>the reacting atom is bonded to an aromatic carbon (unchanged) whose ortho position carries an alkoxy, hydroxy, phenoxide, amino or alkyl group</t>
        </is>
      </c>
      <c r="R218" s="7" t="inlineStr">
        <is>
          <t>a thiolate about as nucleophilic as thiophenolate, more hindered by the ortho group</t>
        </is>
      </c>
      <c r="S218" s="7" t="inlineStr">
        <is>
          <t>Hammett effect through the ring (σ values of the substituent)</t>
        </is>
      </c>
      <c r="T218" s="7" t="n"/>
      <c r="U218" s="10" t="n">
        <v>0.04</v>
      </c>
      <c r="V218" s="7" t="inlineStr"/>
      <c r="W218" s="7" t="n">
        <v>20</v>
      </c>
      <c r="X218" s="7" t="n">
        <v>18</v>
      </c>
      <c r="Y218" s="9" t="n">
        <v>0.75</v>
      </c>
      <c r="Z218" s="9" t="n">
        <v>0.5083</v>
      </c>
      <c r="AA218" s="7" t="n"/>
      <c r="AB218" s="7" t="n"/>
      <c r="AC218" s="7" t="n"/>
      <c r="AD218" s="7" t="n"/>
      <c r="AE218" s="7" t="inlineStr">
        <is>
          <t>too few contests in the recorded reactions to learn a weight (the weight is shrunk to about zero): the textbook effect is advisory</t>
        </is>
      </c>
      <c r="AF218" s="7" t="inlineStr">
        <is>
          <t>Hansch, Leo, Taft, Chem. Rev. 91, 165 (1991); Clayden, Organic Chemistry (aromatic substitution)</t>
        </is>
      </c>
    </row>
    <row r="219">
      <c r="A219" s="7" t="inlineStr">
        <is>
          <t>I216</t>
        </is>
      </c>
      <c r="B219" s="7" t="inlineStr">
        <is>
          <t>co-aryl-p-ewg</t>
        </is>
      </c>
      <c r="C219" s="7" t="inlineStr">
        <is>
          <t>the retained carbonyl carbon on an aryl ring with a para electron-withdrawing group</t>
        </is>
      </c>
      <c r="D219" s="7" t="inlineStr">
        <is>
          <t>aryl ring on the reacting atom</t>
        </is>
      </c>
      <c r="E219" s="7" t="inlineStr">
        <is>
          <t>electronic</t>
        </is>
      </c>
      <c r="F219" s="7" t="inlineStr">
        <is>
          <t>carbonyl C</t>
        </is>
      </c>
      <c r="G219" s="7" t="inlineStr">
        <is>
          <t>[C;X3;$(C=[O,N,S]);$(C-[c;!900*]1:a:a:c(-[N+;!900*](=O)[O-]):a:a:1),$(C-[c;!900*]1:a:a:c(-[C;!900*]#N):a:a:1),$(C-[c;!900*]1:a:a:c(-[C;!900*](F)(F)F):a:a:1),$(C-[c;!900*]1:a:a:c(-[SX4;!900*](=O)=O):a:a:1),$(C-[c;!900*]1:a:a:c(-[CH1;!900*]=O):a:a:1),$(C-[c;!900*]1:a:a:c(-[CX3;!900*](=O)[#6]):a:a:1),$(C-[c;!900*]1:a:a:c(-[CX3;!900*](=O)[OX2]):a:a:1),$(C-[c;!900*]1:a:a:c(-[CX3;!900*](=O)[NX3]):a:a:1),$(C-[c;!900*]1:a:a:c(-[OX2;!900*]C(F)(F)F):a:a:1),$(C-[c;!900*]1:a:a:c(-[OX2;!900*][SX4](=O)=O):a:a:1),$(C-[c;!900*]1:a:a:c(-[OX2;!900*]C(=O)):a:a:1),$(C-[c;!900*]1:a:a:c(-[NX4+;!900*]):a:a:1)]</t>
        </is>
      </c>
      <c r="H219" s="7" t="inlineStr"/>
      <c r="I219" s="7" t="inlineStr"/>
      <c r="J219" s="7" t="inlineStr"/>
      <c r="K219" s="7" t="inlineStr"/>
      <c r="L219" s="7" t="inlineStr"/>
      <c r="M219" s="7" t="n"/>
      <c r="N219" s="7" t="inlineStr"/>
      <c r="O219" s="7" t="inlineStr">
        <is>
          <t>yes</t>
        </is>
      </c>
      <c r="P219" s="7" t="inlineStr"/>
      <c r="Q219" s="7" t="inlineStr">
        <is>
          <t>the reacting atom is bonded to an aromatic carbon (unchanged) whose para position carries nitro, cyano, CF3, a carbonyl, a sulfonyl, an ammonium, an acyloxy, OCF3 or a sulfonyloxy group</t>
        </is>
      </c>
      <c r="R219" s="7" t="inlineStr">
        <is>
          <t>more electrophilic carbonyl: acyl substitution and addition are faster (p-nitrobenzoyl chloride reacts much faster than benzoyl chloride)</t>
        </is>
      </c>
      <c r="S219" s="7" t="inlineStr">
        <is>
          <t>Hammett effect through the ring (σ values of the substituent)</t>
        </is>
      </c>
      <c r="T219" s="7" t="n"/>
      <c r="U219" s="10" t="n">
        <v>0.33</v>
      </c>
      <c r="V219" s="7" t="inlineStr">
        <is>
          <t>acyl substitution +1.37 (n=111; winner had it 91 % vs 48 % at random) · carbonyl addition -0.20 (n=35; winner had it 57 % vs 46 % at random)</t>
        </is>
      </c>
      <c r="W219" s="7" t="n">
        <v>192</v>
      </c>
      <c r="X219" s="7" t="n">
        <v>150</v>
      </c>
      <c r="Y219" s="9" t="n">
        <v>0.8073</v>
      </c>
      <c r="Z219" s="9" t="n">
        <v>0.4676</v>
      </c>
      <c r="AA219" s="7" t="n"/>
      <c r="AB219" s="7" t="n"/>
      <c r="AC219" s="7" t="n"/>
      <c r="AD219" s="7" t="n"/>
      <c r="AE219" s="7" t="inlineStr">
        <is>
          <t>learned from the training patents (tools/int_train.py)</t>
        </is>
      </c>
      <c r="AF219" s="7" t="inlineStr">
        <is>
          <t>Hansch, Leo, Taft, Chem. Rev. 91, 165 (1991); Clayden, Organic Chemistry (aromatic substitution)</t>
        </is>
      </c>
    </row>
    <row r="220">
      <c r="A220" s="7" t="inlineStr">
        <is>
          <t>I217</t>
        </is>
      </c>
      <c r="B220" s="7" t="inlineStr">
        <is>
          <t>co-aryl-o-ewg</t>
        </is>
      </c>
      <c r="C220" s="7" t="inlineStr">
        <is>
          <t>the retained carbonyl carbon on an aryl ring with a ortho electron-withdrawing group</t>
        </is>
      </c>
      <c r="D220" s="7" t="inlineStr">
        <is>
          <t>aryl ring on the reacting atom</t>
        </is>
      </c>
      <c r="E220" s="7" t="inlineStr">
        <is>
          <t>electronic</t>
        </is>
      </c>
      <c r="F220" s="7" t="inlineStr">
        <is>
          <t>carbonyl C</t>
        </is>
      </c>
      <c r="G220" s="7" t="inlineStr">
        <is>
          <t>[C;X3;$(C=[O,N,S]);$(C-[c;!900*]:c-[N+;!900*](=O)[O-]),$(C-[c;!900*]:c-[C;!900*]#N),$(C-[c;!900*]:c-[C;!900*](F)(F)F),$(C-[c;!900*]:c-[SX4;!900*](=O)=O),$(C-[c;!900*]:c-[CH1;!900*]=O),$(C-[c;!900*]:c-[CX3;!900*](=O)[#6]),$(C-[c;!900*]:c-[CX3;!900*](=O)[OX2]),$(C-[c;!900*]:c-[CX3;!900*](=O)[NX3]),$(C-[c;!900*]:c-[OX2;!900*]C(F)(F)F),$(C-[c;!900*]:c-[OX2;!900*][SX4](=O)=O),$(C-[c;!900*]:c-[OX2;!900*]C(=O)),$(C-[c;!900*]:c-[NX4+;!900*])]</t>
        </is>
      </c>
      <c r="H220" s="7" t="inlineStr"/>
      <c r="I220" s="7" t="inlineStr"/>
      <c r="J220" s="7" t="inlineStr"/>
      <c r="K220" s="7" t="inlineStr"/>
      <c r="L220" s="7" t="inlineStr"/>
      <c r="M220" s="7" t="n"/>
      <c r="N220" s="7" t="inlineStr"/>
      <c r="O220" s="7" t="inlineStr">
        <is>
          <t>yes</t>
        </is>
      </c>
      <c r="P220" s="7" t="inlineStr"/>
      <c r="Q220" s="7" t="inlineStr">
        <is>
          <t>the reacting atom is bonded to an aromatic carbon (unchanged) whose ortho position carries nitro, cyano, CF3, a carbonyl, a sulfonyl, an ammonium, an acyloxy, OCF3 or a sulfonyloxy group</t>
        </is>
      </c>
      <c r="R220" s="7" t="inlineStr">
        <is>
          <t>more electrophilic carbonyl: acyl substitution and addition are faster (p-nitrobenzoyl chloride reacts much faster than benzoyl chloride) An ortho group also crowds the atom.</t>
        </is>
      </c>
      <c r="S220" s="7" t="inlineStr">
        <is>
          <t>Hammett effect through the ring (σ values of the substituent)</t>
        </is>
      </c>
      <c r="T220" s="7" t="n"/>
      <c r="U220" s="10" t="n">
        <v>-0.39</v>
      </c>
      <c r="V220" s="7" t="inlineStr">
        <is>
          <t>carbonyl addition -2.35 (n=59; winner had it 19 % vs 46 % at random) · deprotection +0.22 (n=34; winner had it 76 % vs 40 % at random)</t>
        </is>
      </c>
      <c r="W220" s="7" t="n">
        <v>206</v>
      </c>
      <c r="X220" s="7" t="n">
        <v>138</v>
      </c>
      <c r="Y220" s="9" t="n">
        <v>0.534</v>
      </c>
      <c r="Z220" s="9" t="n">
        <v>0.4516</v>
      </c>
      <c r="AA220" s="7" t="n"/>
      <c r="AB220" s="7" t="n"/>
      <c r="AC220" s="7" t="n"/>
      <c r="AD220" s="7" t="n"/>
      <c r="AE220" s="7" t="inlineStr">
        <is>
          <t>learned from the training patents (tools/int_train.py)</t>
        </is>
      </c>
      <c r="AF220" s="7" t="inlineStr">
        <is>
          <t>Hansch, Leo, Taft, Chem. Rev. 91, 165 (1991); Clayden, Organic Chemistry (aromatic substitution)</t>
        </is>
      </c>
    </row>
    <row r="221">
      <c r="A221" s="7" t="inlineStr">
        <is>
          <t>I218</t>
        </is>
      </c>
      <c r="B221" s="7" t="inlineStr">
        <is>
          <t>co-aryl-p-edg</t>
        </is>
      </c>
      <c r="C221" s="7" t="inlineStr">
        <is>
          <t>the retained carbonyl carbon on an aryl ring with a para electron-donating group</t>
        </is>
      </c>
      <c r="D221" s="7" t="inlineStr">
        <is>
          <t>aryl ring on the reacting atom</t>
        </is>
      </c>
      <c r="E221" s="7" t="inlineStr">
        <is>
          <t>electronic</t>
        </is>
      </c>
      <c r="F221" s="7" t="inlineStr">
        <is>
          <t>carbonyl C</t>
        </is>
      </c>
      <c r="G221" s="7" t="inlineStr">
        <is>
          <t>[C;X3;$(C=[O,N,S]);$(C-[c;!900*]1:a:a:c(-[NX3;H0;+0;!$(N-C=O);!$(N-S=O);!$(N(-c)-c);!900*]([#6])[#6]):a:a:1),$(C-[c;!900*]1:a:a:c(-[NX3;H2,H1;+0;!$(N-[C,S,P]=[O,S,N]);!$(N-[#7,#8]);!900*]):a:a:1),$(C-[c;!900*]1:a:a:c(-[OX2H1;!900*]):a:a:1),$(C-[c;!900*]1:a:a:c(-[OX2;!900*][CX4;!$(C(F)(F)F)]):a:a:1),$(C-[c;!900*]1:a:a:c(-[CH3;!900*]):a:a:1),$(C-[c;!900*]1:a:a:c(-[CX4;!H3;!$(C-[F,Cl,Br,I,$(C#N)]);!900*]):a:a:1),$(C-[c;!900*]1:a:a:c(-[OX1-;!900*]):a:a:1)]</t>
        </is>
      </c>
      <c r="H221" s="7" t="inlineStr"/>
      <c r="I221" s="7" t="inlineStr"/>
      <c r="J221" s="7" t="inlineStr"/>
      <c r="K221" s="7" t="inlineStr"/>
      <c r="L221" s="7" t="inlineStr"/>
      <c r="M221" s="7" t="n"/>
      <c r="N221" s="7" t="inlineStr"/>
      <c r="O221" s="7" t="inlineStr">
        <is>
          <t>yes</t>
        </is>
      </c>
      <c r="P221" s="7" t="inlineStr"/>
      <c r="Q221" s="7" t="inlineStr">
        <is>
          <t>the reacting atom is bonded to an aromatic carbon (unchanged) whose para position carries an alkoxy, hydroxy, phenoxide, amino or alkyl group</t>
        </is>
      </c>
      <c r="R221" s="7" t="inlineStr">
        <is>
          <t>less electrophilic carbonyl (the ring donates into the C=O): slower acyl substitution and addition</t>
        </is>
      </c>
      <c r="S221" s="7" t="inlineStr">
        <is>
          <t>Hammett effect through the ring (σ values of the substituent)</t>
        </is>
      </c>
      <c r="T221" s="7" t="n"/>
      <c r="U221" s="10" t="n">
        <v>0.4</v>
      </c>
      <c r="V221" s="7" t="inlineStr">
        <is>
          <t>alkyl substitution +1.42 (n=30; winner had it 90 % vs 49 % at random) · deprotection +0.69 (n=72; winner had it 79 % vs 41 % at random) · aryl halide +0.65 (n=43; winner had it 79 % vs 45 % at random) · acyl substitution -0.47 (n=765; winner had it 68 % vs 48 % at random) · carbonyl addition -0.37 (n=242; winner had it 57 % vs 41 % at random)</t>
        </is>
      </c>
      <c r="W221" s="7" t="n">
        <v>1203</v>
      </c>
      <c r="X221" s="7" t="n">
        <v>662</v>
      </c>
      <c r="Y221" s="9" t="n">
        <v>0.6808</v>
      </c>
      <c r="Z221" s="9" t="n">
        <v>0.4583</v>
      </c>
      <c r="AA221" s="7" t="n"/>
      <c r="AB221" s="7" t="n"/>
      <c r="AC221" s="7" t="n"/>
      <c r="AD221" s="7" t="n"/>
      <c r="AE221" s="7" t="inlineStr">
        <is>
          <t>learned from the training patents (tools/int_train.py)</t>
        </is>
      </c>
      <c r="AF221" s="7" t="inlineStr">
        <is>
          <t>Hansch, Leo, Taft, Chem. Rev. 91, 165 (1991); Clayden, Organic Chemistry (aromatic substitution)</t>
        </is>
      </c>
    </row>
    <row r="222">
      <c r="A222" s="7" t="inlineStr">
        <is>
          <t>I219</t>
        </is>
      </c>
      <c r="B222" s="7" t="inlineStr">
        <is>
          <t>co-aryl-o-edg</t>
        </is>
      </c>
      <c r="C222" s="7" t="inlineStr">
        <is>
          <t>the retained carbonyl carbon on an aryl ring with a ortho electron-donating group</t>
        </is>
      </c>
      <c r="D222" s="7" t="inlineStr">
        <is>
          <t>aryl ring on the reacting atom</t>
        </is>
      </c>
      <c r="E222" s="7" t="inlineStr">
        <is>
          <t>electronic</t>
        </is>
      </c>
      <c r="F222" s="7" t="inlineStr">
        <is>
          <t>carbonyl C</t>
        </is>
      </c>
      <c r="G222" s="7" t="inlineStr">
        <is>
          <t>[C;X3;$(C=[O,N,S]);$(C-[c;!900*]:c-[NX3;H0;+0;!$(N-C=O);!$(N-S=O);!$(N(-c)-c);!900*]([#6])[#6]),$(C-[c;!900*]:c-[NX3;H2,H1;+0;!$(N-[C,S,P]=[O,S,N]);!$(N-[#7,#8]);!900*]),$(C-[c;!900*]:c-[OX2H1;!900*]),$(C-[c;!900*]:c-[OX2;!900*][CX4;!$(C(F)(F)F)]),$(C-[c;!900*]:c-[CH3;!900*]),$(C-[c;!900*]:c-[CX4;!H3;!$(C-[F,Cl,Br,I,$(C#N)]);!900*]),$(C-[c;!900*]:c-[OX1-;!900*])]</t>
        </is>
      </c>
      <c r="H222" s="7" t="inlineStr"/>
      <c r="I222" s="7" t="inlineStr"/>
      <c r="J222" s="7" t="inlineStr"/>
      <c r="K222" s="7" t="inlineStr"/>
      <c r="L222" s="7" t="inlineStr"/>
      <c r="M222" s="7" t="n"/>
      <c r="N222" s="7" t="inlineStr"/>
      <c r="O222" s="7" t="inlineStr">
        <is>
          <t>yes</t>
        </is>
      </c>
      <c r="P222" s="7" t="inlineStr"/>
      <c r="Q222" s="7" t="inlineStr">
        <is>
          <t>the reacting atom is bonded to an aromatic carbon (unchanged) whose ortho position carries an alkoxy, hydroxy, phenoxide, amino or alkyl group</t>
        </is>
      </c>
      <c r="R222" s="7" t="inlineStr">
        <is>
          <t>less electrophilic carbonyl (the ring donates into the C=O): slower acyl substitution and addition An ortho group also crowds the atom.</t>
        </is>
      </c>
      <c r="S222" s="7" t="inlineStr">
        <is>
          <t>Hammett effect through the ring (σ values of the substituent)</t>
        </is>
      </c>
      <c r="T222" s="7" t="n"/>
      <c r="U222" s="10" t="n">
        <v>-0.35</v>
      </c>
      <c r="V222" s="7" t="inlineStr">
        <is>
          <t>acyl substitution -1.23 (n=620; winner had it 62 % vs 48 % at random) · carbonyl addition -0.64 (n=278; winner had it 51 % vs 44 % at random) · deprotection -0.60 (n=119; winner had it 70 % vs 46 % at random) · other +0.15 (n=52; winner had it 88 % vs 43 % at random)</t>
        </is>
      </c>
      <c r="W222" s="7" t="n">
        <v>1148</v>
      </c>
      <c r="X222" s="7" t="n">
        <v>665</v>
      </c>
      <c r="Y222" s="9" t="n">
        <v>0.6159</v>
      </c>
      <c r="Z222" s="9" t="n">
        <v>0.4642</v>
      </c>
      <c r="AA222" s="7" t="n"/>
      <c r="AB222" s="7" t="n"/>
      <c r="AC222" s="7" t="n"/>
      <c r="AD222" s="7" t="n"/>
      <c r="AE222" s="7" t="inlineStr">
        <is>
          <t>learned from the training patents (tools/int_train.py)</t>
        </is>
      </c>
      <c r="AF222" s="7" t="inlineStr">
        <is>
          <t>Hansch, Leo, Taft, Chem. Rev. 91, 165 (1991); Clayden, Organic Chemistry (aromatic substitution)</t>
        </is>
      </c>
    </row>
    <row r="223">
      <c r="A223" s="7" t="inlineStr">
        <is>
          <t>I220</t>
        </is>
      </c>
      <c r="B223" s="7" t="inlineStr">
        <is>
          <t>bz-aryl-p-ewg</t>
        </is>
      </c>
      <c r="C223" s="7" t="inlineStr">
        <is>
          <t>the reacting sp3 carbon on an aryl ring with a para electron-withdrawing group</t>
        </is>
      </c>
      <c r="D223" s="7" t="inlineStr">
        <is>
          <t>aryl ring on the reacting atom</t>
        </is>
      </c>
      <c r="E223" s="7" t="inlineStr">
        <is>
          <t>electronic</t>
        </is>
      </c>
      <c r="F223" s="7" t="inlineStr">
        <is>
          <t>sp3 C</t>
        </is>
      </c>
      <c r="G223" s="7" t="inlineStr">
        <is>
          <t>[C;X4;$(C-[c;!900*]1:a:a:c(-[N+;!900*](=O)[O-]):a:a:1),$(C-[c;!900*]1:a:a:c(-[C;!900*]#N):a:a:1),$(C-[c;!900*]1:a:a:c(-[C;!900*](F)(F)F):a:a:1),$(C-[c;!900*]1:a:a:c(-[SX4;!900*](=O)=O):a:a:1),$(C-[c;!900*]1:a:a:c(-[CH1;!900*]=O):a:a:1),$(C-[c;!900*]1:a:a:c(-[CX3;!900*](=O)[#6]):a:a:1),$(C-[c;!900*]1:a:a:c(-[CX3;!900*](=O)[OX2]):a:a:1),$(C-[c;!900*]1:a:a:c(-[CX3;!900*](=O)[NX3]):a:a:1),$(C-[c;!900*]1:a:a:c(-[OX2;!900*]C(F)(F)F):a:a:1),$(C-[c;!900*]1:a:a:c(-[OX2;!900*][SX4](=O)=O):a:a:1),$(C-[c;!900*]1:a:a:c(-[OX2;!900*]C(=O)):a:a:1),$(C-[c;!900*]1:a:a:c(-[NX4+;!900*]):a:a:1)]</t>
        </is>
      </c>
      <c r="H223" s="7" t="inlineStr"/>
      <c r="I223" s="7" t="inlineStr"/>
      <c r="J223" s="7" t="inlineStr"/>
      <c r="K223" s="7" t="inlineStr"/>
      <c r="L223" s="7" t="inlineStr"/>
      <c r="M223" s="7" t="n"/>
      <c r="N223" s="7" t="inlineStr"/>
      <c r="O223" s="7" t="inlineStr">
        <is>
          <t>yes</t>
        </is>
      </c>
      <c r="P223" s="7" t="inlineStr"/>
      <c r="Q223" s="7" t="inlineStr">
        <is>
          <t>the reacting atom is bonded to an aromatic carbon (unchanged) whose para position carries nitro, cyano, CF3, a carbonyl, a sulfonyl, an ammonium, an acyloxy, OCF3 or a sulfonyloxy group</t>
        </is>
      </c>
      <c r="R223" s="7" t="inlineStr">
        <is>
          <t>SN2 slightly faster, SN1 much slower (the benzylic cation is destabilised)</t>
        </is>
      </c>
      <c r="S223" s="7" t="inlineStr">
        <is>
          <t>Hammett effect through the ring (σ values of the substituent)</t>
        </is>
      </c>
      <c r="T223" s="7" t="n"/>
      <c r="U223" s="10" t="n">
        <v>0.64</v>
      </c>
      <c r="V223" s="7" t="inlineStr">
        <is>
          <t>o nucleophile +1.14 (n=34; winner had it 76 % vs 46 % at random) · deprotection +1.06 (n=52; winner had it 81 % vs 46 % at random) · other +0.89 (n=43; winner had it 77 % vs 41 % at random) · acyl substitution +0.85 (n=243; winner had it 70 % vs 44 % at random) · aryl halide +0.35 (n=28; winner had it 64 % vs 43 % at random) · alkyl substitution +0.28 (n=106; winner had it 68 % vs 42 % at random)</t>
        </is>
      </c>
      <c r="W223" s="7" t="n">
        <v>684</v>
      </c>
      <c r="X223" s="7" t="n">
        <v>474</v>
      </c>
      <c r="Y223" s="9" t="n">
        <v>0.6886</v>
      </c>
      <c r="Z223" s="9" t="n">
        <v>0.4417</v>
      </c>
      <c r="AA223" s="7" t="n"/>
      <c r="AB223" s="7" t="n"/>
      <c r="AC223" s="7" t="n"/>
      <c r="AD223" s="7" t="n"/>
      <c r="AE223" s="7" t="inlineStr">
        <is>
          <t>learned from the training patents (tools/int_train.py)</t>
        </is>
      </c>
      <c r="AF223" s="7" t="inlineStr">
        <is>
          <t>Hansch, Leo, Taft, Chem. Rev. 91, 165 (1991); Clayden, Organic Chemistry (aromatic substitution)</t>
        </is>
      </c>
    </row>
    <row r="224">
      <c r="A224" s="7" t="inlineStr">
        <is>
          <t>I221</t>
        </is>
      </c>
      <c r="B224" s="7" t="inlineStr">
        <is>
          <t>bz-aryl-o-ewg</t>
        </is>
      </c>
      <c r="C224" s="7" t="inlineStr">
        <is>
          <t>the reacting sp3 carbon on an aryl ring with a ortho electron-withdrawing group</t>
        </is>
      </c>
      <c r="D224" s="7" t="inlineStr">
        <is>
          <t>aryl ring on the reacting atom</t>
        </is>
      </c>
      <c r="E224" s="7" t="inlineStr">
        <is>
          <t>electronic</t>
        </is>
      </c>
      <c r="F224" s="7" t="inlineStr">
        <is>
          <t>sp3 C</t>
        </is>
      </c>
      <c r="G224" s="7" t="inlineStr">
        <is>
          <t>[C;X4;$(C-[c;!900*]:c-[N+;!900*](=O)[O-]),$(C-[c;!900*]:c-[C;!900*]#N),$(C-[c;!900*]:c-[C;!900*](F)(F)F),$(C-[c;!900*]:c-[SX4;!900*](=O)=O),$(C-[c;!900*]:c-[CH1;!900*]=O),$(C-[c;!900*]:c-[CX3;!900*](=O)[#6]),$(C-[c;!900*]:c-[CX3;!900*](=O)[OX2]),$(C-[c;!900*]:c-[CX3;!900*](=O)[NX3]),$(C-[c;!900*]:c-[OX2;!900*]C(F)(F)F),$(C-[c;!900*]:c-[OX2;!900*][SX4](=O)=O),$(C-[c;!900*]:c-[OX2;!900*]C(=O)),$(C-[c;!900*]:c-[NX4+;!900*])]</t>
        </is>
      </c>
      <c r="H224" s="7" t="inlineStr"/>
      <c r="I224" s="7" t="inlineStr"/>
      <c r="J224" s="7" t="inlineStr"/>
      <c r="K224" s="7" t="inlineStr"/>
      <c r="L224" s="7" t="inlineStr"/>
      <c r="M224" s="7" t="n"/>
      <c r="N224" s="7" t="inlineStr"/>
      <c r="O224" s="7" t="inlineStr">
        <is>
          <t>yes</t>
        </is>
      </c>
      <c r="P224" s="7" t="inlineStr"/>
      <c r="Q224" s="7" t="inlineStr">
        <is>
          <t>the reacting atom is bonded to an aromatic carbon (unchanged) whose ortho position carries nitro, cyano, CF3, a carbonyl, a sulfonyl, an ammonium, an acyloxy, OCF3 or a sulfonyloxy group</t>
        </is>
      </c>
      <c r="R224" s="7" t="inlineStr">
        <is>
          <t>SN2 slightly faster, SN1 much slower (the benzylic cation is destabilised) An ortho group also crowds the atom.</t>
        </is>
      </c>
      <c r="S224" s="7" t="inlineStr">
        <is>
          <t>Hammett effect through the ring (σ values of the substituent)</t>
        </is>
      </c>
      <c r="T224" s="7" t="n"/>
      <c r="U224" s="10" t="n">
        <v>0.1</v>
      </c>
      <c r="V224" s="7" t="inlineStr">
        <is>
          <t>acyl substitution +0.59 (n=551; winner had it 67 % vs 41 % at random) · n nucleophile +0.48 (n=25; winner had it 48 % vs 38 % at random) · deprotection -0.23 (n=75; winner had it 53 % vs 39 % at random)</t>
        </is>
      </c>
      <c r="W224" s="7" t="n">
        <v>1262</v>
      </c>
      <c r="X224" s="7" t="n">
        <v>804</v>
      </c>
      <c r="Y224" s="9" t="n">
        <v>0.5024</v>
      </c>
      <c r="Z224" s="9" t="n">
        <v>0.4011</v>
      </c>
      <c r="AA224" s="7" t="n"/>
      <c r="AB224" s="7" t="n"/>
      <c r="AC224" s="7" t="n"/>
      <c r="AD224" s="7" t="n"/>
      <c r="AE224" s="7" t="inlineStr">
        <is>
          <t>learned from the training patents (tools/int_train.py)</t>
        </is>
      </c>
      <c r="AF224" s="7" t="inlineStr">
        <is>
          <t>Hansch, Leo, Taft, Chem. Rev. 91, 165 (1991); Clayden, Organic Chemistry (aromatic substitution)</t>
        </is>
      </c>
    </row>
    <row r="225">
      <c r="A225" s="7" t="inlineStr">
        <is>
          <t>I222</t>
        </is>
      </c>
      <c r="B225" s="7" t="inlineStr">
        <is>
          <t>bz-aryl-p-edg</t>
        </is>
      </c>
      <c r="C225" s="7" t="inlineStr">
        <is>
          <t>the reacting sp3 carbon on an aryl ring with a para electron-donating group</t>
        </is>
      </c>
      <c r="D225" s="7" t="inlineStr">
        <is>
          <t>aryl ring on the reacting atom</t>
        </is>
      </c>
      <c r="E225" s="7" t="inlineStr">
        <is>
          <t>electronic</t>
        </is>
      </c>
      <c r="F225" s="7" t="inlineStr">
        <is>
          <t>sp3 C</t>
        </is>
      </c>
      <c r="G225" s="7" t="inlineStr">
        <is>
          <t>[C;X4;$(C-[c;!900*]1:a:a:c(-[NX3;H0;+0;!$(N-C=O);!$(N-S=O);!$(N(-c)-c);!900*]([#6])[#6]):a:a:1),$(C-[c;!900*]1:a:a:c(-[NX3;H2,H1;+0;!$(N-[C,S,P]=[O,S,N]);!$(N-[#7,#8]);!900*]):a:a:1),$(C-[c;!900*]1:a:a:c(-[OX2H1;!900*]):a:a:1),$(C-[c;!900*]1:a:a:c(-[OX2;!900*][CX4;!$(C(F)(F)F)]):a:a:1),$(C-[c;!900*]1:a:a:c(-[CH3;!900*]):a:a:1),$(C-[c;!900*]1:a:a:c(-[CX4;!H3;!$(C-[F,Cl,Br,I,$(C#N)]);!900*]):a:a:1),$(C-[c;!900*]1:a:a:c(-[OX1-;!900*]):a:a:1)]</t>
        </is>
      </c>
      <c r="H225" s="7" t="inlineStr"/>
      <c r="I225" s="7" t="inlineStr"/>
      <c r="J225" s="7" t="inlineStr"/>
      <c r="K225" s="7" t="inlineStr"/>
      <c r="L225" s="7" t="inlineStr"/>
      <c r="M225" s="7" t="n"/>
      <c r="N225" s="7" t="inlineStr"/>
      <c r="O225" s="7" t="inlineStr">
        <is>
          <t>yes</t>
        </is>
      </c>
      <c r="P225" s="7" t="inlineStr"/>
      <c r="Q225" s="7" t="inlineStr">
        <is>
          <t>the reacting atom is bonded to an aromatic carbon (unchanged) whose para position carries an alkoxy, hydroxy, phenoxide, amino or alkyl group</t>
        </is>
      </c>
      <c r="R225" s="7" t="inlineStr">
        <is>
          <t>SN1 far faster (p-methoxybenzyl chloride solvolyses orders of magnitude faster than benzyl chloride: the PMB group is acid-labile); SN2 about as for benzyl</t>
        </is>
      </c>
      <c r="S225" s="7" t="inlineStr">
        <is>
          <t>Hammett effect through the ring (σ values of the substituent)</t>
        </is>
      </c>
      <c r="T225" s="7" t="n"/>
      <c r="U225" s="10" t="n">
        <v>0.63</v>
      </c>
      <c r="V225" s="7" t="inlineStr">
        <is>
          <t>n nucleophile +1.37 (n=45; winner had it 80 % vs 42 % at random) · deprotection +1.22 (n=339; winner had it 83 % vs 44 % at random) · o nucleophile +1.15 (n=110; winner had it 79 % vs 46 % at random) · alkyl substitution +0.57 (n=221; winner had it 61 % vs 38 % at random) · aryl halide +0.52 (n=68; winner had it 74 % vs 45 % at random) · other +0.35 (n=104; winner had it 63 % vs 38 % at random)</t>
        </is>
      </c>
      <c r="W225" s="7" t="n">
        <v>1943</v>
      </c>
      <c r="X225" s="7" t="n">
        <v>1160</v>
      </c>
      <c r="Y225" s="9" t="n">
        <v>0.6850000000000001</v>
      </c>
      <c r="Z225" s="9" t="n">
        <v>0.4229</v>
      </c>
      <c r="AA225" s="7" t="n"/>
      <c r="AB225" s="7" t="n"/>
      <c r="AC225" s="7" t="n"/>
      <c r="AD225" s="7" t="n"/>
      <c r="AE225" s="7" t="inlineStr">
        <is>
          <t>learned from the training patents (tools/int_train.py)</t>
        </is>
      </c>
      <c r="AF225" s="7" t="inlineStr">
        <is>
          <t>Hansch, Leo, Taft, Chem. Rev. 91, 165 (1991); Clayden, Organic Chemistry (aromatic substitution)</t>
        </is>
      </c>
    </row>
    <row r="226">
      <c r="A226" s="7" t="inlineStr">
        <is>
          <t>I223</t>
        </is>
      </c>
      <c r="B226" s="7" t="inlineStr">
        <is>
          <t>bz-aryl-o-edg</t>
        </is>
      </c>
      <c r="C226" s="7" t="inlineStr">
        <is>
          <t>the reacting sp3 carbon on an aryl ring with a ortho electron-donating group</t>
        </is>
      </c>
      <c r="D226" s="7" t="inlineStr">
        <is>
          <t>aryl ring on the reacting atom</t>
        </is>
      </c>
      <c r="E226" s="7" t="inlineStr">
        <is>
          <t>electronic</t>
        </is>
      </c>
      <c r="F226" s="7" t="inlineStr">
        <is>
          <t>sp3 C</t>
        </is>
      </c>
      <c r="G226" s="7" t="inlineStr">
        <is>
          <t>[C;X4;$(C-[c;!900*]:c-[NX3;H0;+0;!$(N-C=O);!$(N-S=O);!$(N(-c)-c);!900*]([#6])[#6]),$(C-[c;!900*]:c-[NX3;H2,H1;+0;!$(N-[C,S,P]=[O,S,N]);!$(N-[#7,#8]);!900*]),$(C-[c;!900*]:c-[OX2H1;!900*]),$(C-[c;!900*]:c-[OX2;!900*][CX4;!$(C(F)(F)F)]),$(C-[c;!900*]:c-[CH3;!900*]),$(C-[c;!900*]:c-[CX4;!H3;!$(C-[F,Cl,Br,I,$(C#N)]);!900*]),$(C-[c;!900*]:c-[OX1-;!900*])]</t>
        </is>
      </c>
      <c r="H226" s="7" t="inlineStr"/>
      <c r="I226" s="7" t="inlineStr"/>
      <c r="J226" s="7" t="inlineStr"/>
      <c r="K226" s="7" t="inlineStr"/>
      <c r="L226" s="7" t="inlineStr"/>
      <c r="M226" s="7" t="n"/>
      <c r="N226" s="7" t="inlineStr"/>
      <c r="O226" s="7" t="inlineStr">
        <is>
          <t>yes</t>
        </is>
      </c>
      <c r="P226" s="7" t="inlineStr"/>
      <c r="Q226" s="7" t="inlineStr">
        <is>
          <t>the reacting atom is bonded to an aromatic carbon (unchanged) whose ortho position carries an alkoxy, hydroxy, phenoxide, amino or alkyl group</t>
        </is>
      </c>
      <c r="R226" s="7" t="inlineStr">
        <is>
          <t>SN1 far faster (p-methoxybenzyl chloride solvolyses orders of magnitude faster than benzyl chloride: the PMB group is acid-labile); SN2 about as for benzyl An ortho group also crowds the atom.</t>
        </is>
      </c>
      <c r="S226" s="7" t="inlineStr">
        <is>
          <t>Hammett effect through the ring (σ values of the substituent)</t>
        </is>
      </c>
      <c r="T226" s="7" t="n"/>
      <c r="U226" s="10" t="n">
        <v>0.23</v>
      </c>
      <c r="V226" s="7" t="inlineStr">
        <is>
          <t>carbonyl addition -1.12 (n=783; winner had it 61 % vs 46 % at random) · o nucleophile +1.01 (n=156; winner had it 79 % vs 45 % at random) · deprotection +0.73 (n=375; winner had it 79 % vs 45 % at random) · n nucleophile +0.68 (n=56; winner had it 73 % vs 44 % at random) · alkyl substitution +0.57 (n=308; winner had it 80 % vs 47 % at random) · acyl substitution -0.24 (n=455; winner had it 67 % vs 45 % at random)</t>
        </is>
      </c>
      <c r="W226" s="7" t="n">
        <v>2429</v>
      </c>
      <c r="X226" s="7" t="n">
        <v>1383</v>
      </c>
      <c r="Y226" s="9" t="n">
        <v>0.697</v>
      </c>
      <c r="Z226" s="9" t="n">
        <v>0.4513</v>
      </c>
      <c r="AA226" s="7" t="n"/>
      <c r="AB226" s="7" t="n"/>
      <c r="AC226" s="7" t="n"/>
      <c r="AD226" s="7" t="n"/>
      <c r="AE226" s="7" t="inlineStr">
        <is>
          <t>learned from the training patents (tools/int_train.py)</t>
        </is>
      </c>
      <c r="AF226" s="7" t="inlineStr">
        <is>
          <t>Hansch, Leo, Taft, Chem. Rev. 91, 165 (1991); Clayden, Organic Chemistry (aromatic substitution)</t>
        </is>
      </c>
    </row>
    <row r="227">
      <c r="A227" s="7" t="inlineStr">
        <is>
          <t>I224</t>
        </is>
      </c>
      <c r="B227" s="7" t="inlineStr">
        <is>
          <t>alkene-terminal</t>
        </is>
      </c>
      <c r="C227" s="7" t="inlineStr">
        <is>
          <t>carbon of a vinyl group (CH=CH2)</t>
        </is>
      </c>
      <c r="D227" s="7" t="inlineStr">
        <is>
          <t>alkene carbon</t>
        </is>
      </c>
      <c r="E227" s="7" t="inlineStr">
        <is>
          <t>steric</t>
        </is>
      </c>
      <c r="F227" s="7" t="inlineStr">
        <is>
          <t>alkene C</t>
        </is>
      </c>
      <c r="G227" s="7" t="inlineStr">
        <is>
          <t>[C;X3;H1;$(C=[C;H2])]</t>
        </is>
      </c>
      <c r="H227" s="7" t="inlineStr"/>
      <c r="I227" s="7" t="inlineStr"/>
      <c r="J227" s="7" t="inlineStr"/>
      <c r="K227" s="7" t="inlineStr"/>
      <c r="L227" s="7" t="inlineStr"/>
      <c r="M227" s="7" t="n"/>
      <c r="N227" s="7" t="inlineStr"/>
      <c r="O227" s="7" t="inlineStr">
        <is>
          <t>yes</t>
        </is>
      </c>
      <c r="P227" s="7" t="inlineStr"/>
      <c r="Q227" s="7" t="inlineStr">
        <is>
          <t>the reacting carbon is the CH of a vinyl group</t>
        </is>
      </c>
      <c r="R227" s="7" t="inlineStr">
        <is>
          <t>the least hindered alkene: Heck, metathesis and hydroboration are fast; electrophiles end up on the CH2 (Markovnikov)</t>
        </is>
      </c>
      <c r="S227" s="7" t="inlineStr">
        <is>
          <t>one substituent only</t>
        </is>
      </c>
      <c r="T227" s="7" t="n"/>
      <c r="U227" s="10" t="n">
        <v>0.21</v>
      </c>
      <c r="V227" s="7" t="inlineStr"/>
      <c r="W227" s="7" t="n">
        <v>10</v>
      </c>
      <c r="X227" s="7" t="n">
        <v>7</v>
      </c>
      <c r="Y227" s="9" t="n">
        <v>0.5</v>
      </c>
      <c r="Z227" s="9" t="n">
        <v>0.525</v>
      </c>
      <c r="AA227" s="7" t="n"/>
      <c r="AB227" s="7" t="n"/>
      <c r="AC227" s="7" t="n"/>
      <c r="AD227" s="7" t="n"/>
      <c r="AE227" s="7" t="inlineStr">
        <is>
          <t>too few contests in the recorded reactions to learn a weight (the weight is shrunk to about zero): the textbook effect is advisory</t>
        </is>
      </c>
      <c r="AF227" s="7" t="inlineStr">
        <is>
          <t>Clayden, Organic Chemistry</t>
        </is>
      </c>
    </row>
    <row r="228">
      <c r="A228" s="7" t="inlineStr">
        <is>
          <t>I225</t>
        </is>
      </c>
      <c r="B228" s="7" t="inlineStr">
        <is>
          <t>alkene-conjugated-carbonyl</t>
        </is>
      </c>
      <c r="C228" s="7" t="inlineStr">
        <is>
          <t>alkene conjugated with an electron-withdrawing group (enone, acrylate, acrylonitrile, nitroalkene, vinyl sulfone)</t>
        </is>
      </c>
      <c r="D228" s="7" t="inlineStr">
        <is>
          <t>alkene carbon</t>
        </is>
      </c>
      <c r="E228" s="7" t="inlineStr">
        <is>
          <t>electronic</t>
        </is>
      </c>
      <c r="F228" s="7" t="inlineStr">
        <is>
          <t>alkene C</t>
        </is>
      </c>
      <c r="G228" s="7" t="inlineStr">
        <is>
          <t>[C;X3;$(C=C-[$([CX3]=[O,N]),$([CX2]#N),$([N+](=O)[O-]),$([SX4](=O)=O)]);!$(C=O)]</t>
        </is>
      </c>
      <c r="H228" s="7" t="inlineStr"/>
      <c r="I228" s="7" t="inlineStr"/>
      <c r="J228" s="7" t="inlineStr"/>
      <c r="K228" s="7" t="inlineStr"/>
      <c r="L228" s="7" t="inlineStr"/>
      <c r="M228" s="7" t="n"/>
      <c r="N228" s="7" t="inlineStr"/>
      <c r="O228" s="7" t="inlineStr">
        <is>
          <t>yes</t>
        </is>
      </c>
      <c r="P228" s="7" t="inlineStr"/>
      <c r="Q228" s="7" t="inlineStr">
        <is>
          <t>the reacting carbon is part of a C=C next to a C=O, C≡N, NO2 or SO2</t>
        </is>
      </c>
      <c r="R228" s="7" t="inlineStr">
        <is>
          <t>electron-poor alkene: nucleophiles add at the β carbon, electrophiles react slowly; a good dienophile</t>
        </is>
      </c>
      <c r="S228" s="7" t="inlineStr">
        <is>
          <t>the acceptor withdraws electrons from the C=C</t>
        </is>
      </c>
      <c r="T228" s="7" t="n"/>
      <c r="U228" s="10" t="n">
        <v>2.17</v>
      </c>
      <c r="V228" s="7" t="inlineStr">
        <is>
          <t>carbonyl addition +4.57 (n=2700; winner had it 97 % vs 36 % at random) · deprotection +3.69 (n=577; winner had it 95 % vs 43 % at random) · aryl halide +3.16 (n=448; winner had it 94 % vs 45 % at random) · redox other +2.70 (n=27; winner had it 100 % vs 48 % at random) · alkyl substitution +2.49 (n=67; winner had it 87 % vs 49 % at random) · unsaturated +1.41 (n=32; winner had it 62 % vs 48 % at random)</t>
        </is>
      </c>
      <c r="W228" s="7" t="n">
        <v>4586</v>
      </c>
      <c r="X228" s="7" t="n">
        <v>1999</v>
      </c>
      <c r="Y228" s="9" t="n">
        <v>0.913</v>
      </c>
      <c r="Z228" s="9" t="n">
        <v>0.3973</v>
      </c>
      <c r="AA228" s="7" t="n"/>
      <c r="AB228" s="7" t="n"/>
      <c r="AC228" s="7" t="n"/>
      <c r="AD228" s="7" t="n"/>
      <c r="AE228" s="7" t="inlineStr">
        <is>
          <t>learned from the training patents (tools/int_train.py)</t>
        </is>
      </c>
      <c r="AF228" s="7" t="inlineStr">
        <is>
          <t>Clayden, Organic Chemistry</t>
        </is>
      </c>
    </row>
    <row r="229">
      <c r="A229" s="7" t="inlineStr">
        <is>
          <t>I226</t>
        </is>
      </c>
      <c r="B229" s="7" t="inlineStr">
        <is>
          <t>alkene-styrenyl</t>
        </is>
      </c>
      <c r="C229" s="7" t="inlineStr">
        <is>
          <t>alkene conjugated with an aromatic ring</t>
        </is>
      </c>
      <c r="D229" s="7" t="inlineStr">
        <is>
          <t>alkene carbon</t>
        </is>
      </c>
      <c r="E229" s="7" t="inlineStr">
        <is>
          <t>electronic</t>
        </is>
      </c>
      <c r="F229" s="7" t="inlineStr">
        <is>
          <t>alkene C</t>
        </is>
      </c>
      <c r="G229" s="7" t="inlineStr">
        <is>
          <t>[C;X3;$(C=C-c);!$(C=O)]</t>
        </is>
      </c>
      <c r="H229" s="7" t="inlineStr"/>
      <c r="I229" s="7" t="inlineStr"/>
      <c r="J229" s="7" t="inlineStr"/>
      <c r="K229" s="7" t="inlineStr"/>
      <c r="L229" s="7" t="inlineStr"/>
      <c r="M229" s="7" t="n"/>
      <c r="N229" s="7" t="inlineStr"/>
      <c r="O229" s="7" t="inlineStr">
        <is>
          <t>yes</t>
        </is>
      </c>
      <c r="P229" s="7" t="inlineStr"/>
      <c r="Q229" s="7" t="inlineStr">
        <is>
          <t>the reacting carbon is part of a C=C next to an aromatic ring (styrene)</t>
        </is>
      </c>
      <c r="R229" s="7" t="inlineStr">
        <is>
          <t>electrophiles add to give the benzylic cation; hydrogenation and radical additions are fast</t>
        </is>
      </c>
      <c r="S229" s="7" t="inlineStr">
        <is>
          <t>the ring stabilises the cation or radical</t>
        </is>
      </c>
      <c r="T229" s="7" t="n"/>
      <c r="U229" s="10" t="n">
        <v>0.75</v>
      </c>
      <c r="V229" s="7" t="inlineStr">
        <is>
          <t>o nucleophile +1.61 (n=44; winner had it 89 % vs 48 % at random) · deprotection +1.42 (n=205; winner had it 58 % vs 44 % at random) · aryl halide +1.07 (n=102; winner had it 59 % vs 48 % at random) · other +1.05 (n=58; winner had it 59 % vs 42 % at random) · alkyl substitution +0.53 (n=28; winner had it 43 % vs 43 % at random) · acyl substitution +0.43 (n=239; winner had it 62 % vs 46 % at random)</t>
        </is>
      </c>
      <c r="W229" s="7" t="n">
        <v>1133</v>
      </c>
      <c r="X229" s="7" t="n">
        <v>680</v>
      </c>
      <c r="Y229" s="9" t="n">
        <v>0.5949</v>
      </c>
      <c r="Z229" s="9" t="n">
        <v>0.4425</v>
      </c>
      <c r="AA229" s="7" t="n"/>
      <c r="AB229" s="7" t="n"/>
      <c r="AC229" s="7" t="n"/>
      <c r="AD229" s="7" t="n"/>
      <c r="AE229" s="7" t="inlineStr">
        <is>
          <t>learned from the training patents (tools/int_train.py)</t>
        </is>
      </c>
      <c r="AF229" s="7" t="inlineStr">
        <is>
          <t>Clayden, Organic Chemistry</t>
        </is>
      </c>
    </row>
    <row r="230">
      <c r="A230" s="7" t="inlineStr">
        <is>
          <t>I227</t>
        </is>
      </c>
      <c r="B230" s="7" t="inlineStr">
        <is>
          <t>alkene-electron-rich</t>
        </is>
      </c>
      <c r="C230" s="7" t="inlineStr">
        <is>
          <t>alkene with an oxygen or nitrogen donor (enol ether, enamine)</t>
        </is>
      </c>
      <c r="D230" s="7" t="inlineStr">
        <is>
          <t>alkene carbon</t>
        </is>
      </c>
      <c r="E230" s="7" t="inlineStr">
        <is>
          <t>electronic</t>
        </is>
      </c>
      <c r="F230" s="7" t="inlineStr">
        <is>
          <t>alkene C</t>
        </is>
      </c>
      <c r="G230" s="7" t="inlineStr">
        <is>
          <t>[C;X3;$(C=C-[O,N;X2,X3;+0;!$(*-[C,S,P]=[O,S,N])])]</t>
        </is>
      </c>
      <c r="H230" s="7" t="inlineStr"/>
      <c r="I230" s="7" t="inlineStr"/>
      <c r="J230" s="7" t="inlineStr"/>
      <c r="K230" s="7" t="inlineStr"/>
      <c r="L230" s="7" t="inlineStr"/>
      <c r="M230" s="7" t="n"/>
      <c r="N230" s="7" t="inlineStr"/>
      <c r="O230" s="7" t="inlineStr">
        <is>
          <t>yes</t>
        </is>
      </c>
      <c r="P230" s="7" t="inlineStr"/>
      <c r="Q230" s="7" t="inlineStr">
        <is>
          <t>the reacting carbon is part of an enol ether, enamine or a simple vinyl ether / vinyl amine (not an enamide, enol ester or enol triflate)</t>
        </is>
      </c>
      <c r="R230" s="7" t="inlineStr">
        <is>
          <t>very electron-rich: reacts with electrophiles at the β carbon (Vilsmeier, halogenation, Mannich) and hydrolyses in mild acid</t>
        </is>
      </c>
      <c r="S230" s="7" t="inlineStr">
        <is>
          <t>the donor lone pair raises the HOMO of the C=C</t>
        </is>
      </c>
      <c r="T230" s="7" t="n"/>
      <c r="U230" s="10" t="n">
        <v>-1.32</v>
      </c>
      <c r="V230" s="7" t="inlineStr">
        <is>
          <t>carbonyl addition -2.91 (n=1939; winner had it 3 % vs 34 % at random) · aryl halide -2.41 (n=265; winner had it 6 % vs 43 % at random) · o nucleophile -1.57 (n=43; winner had it 9 % vs 47 % at random) · alkyl substitution -1.33 (n=49; winner had it 18 % vs 49 % at random) · acyl substitution -1.15 (n=191; winner had it 24 % vs 51 % at random) · deprotection -0.89 (n=167; winner had it 17 % vs 51 % at random)</t>
        </is>
      </c>
      <c r="W230" s="7" t="n">
        <v>2770</v>
      </c>
      <c r="X230" s="7" t="n">
        <v>1220</v>
      </c>
      <c r="Y230" s="9" t="n">
        <v>0.065</v>
      </c>
      <c r="Z230" s="9" t="n">
        <v>0.383</v>
      </c>
      <c r="AA230" s="7" t="n"/>
      <c r="AB230" s="7" t="n"/>
      <c r="AC230" s="7" t="n"/>
      <c r="AD230" s="7" t="n"/>
      <c r="AE230" s="7" t="inlineStr">
        <is>
          <t>learned from the training patents (tools/int_train.py)</t>
        </is>
      </c>
      <c r="AF230" s="7" t="inlineStr">
        <is>
          <t>Clayden, Organic Chemistry</t>
        </is>
      </c>
    </row>
    <row r="231">
      <c r="A231" s="7" t="inlineStr">
        <is>
          <t>I228</t>
        </is>
      </c>
      <c r="B231" s="7" t="inlineStr">
        <is>
          <t>alkene-two-carbons</t>
        </is>
      </c>
      <c r="C231" s="7" t="inlineStr">
        <is>
          <t>alkene carbon with two carbon substituents (no H)</t>
        </is>
      </c>
      <c r="D231" s="7" t="inlineStr">
        <is>
          <t>alkene carbon</t>
        </is>
      </c>
      <c r="E231" s="7" t="inlineStr">
        <is>
          <t>steric</t>
        </is>
      </c>
      <c r="F231" s="7" t="inlineStr">
        <is>
          <t>alkene C</t>
        </is>
      </c>
      <c r="G231" s="7" t="inlineStr">
        <is>
          <t>[C;X3;$(C(=C)(-[#6;!900*])-[#6;!900*])]</t>
        </is>
      </c>
      <c r="H231" s="7" t="inlineStr"/>
      <c r="I231" s="7" t="inlineStr"/>
      <c r="J231" s="7" t="inlineStr"/>
      <c r="K231" s="7" t="inlineStr"/>
      <c r="L231" s="7" t="inlineStr"/>
      <c r="M231" s="7" t="n"/>
      <c r="N231" s="7" t="inlineStr"/>
      <c r="O231" s="7" t="inlineStr">
        <is>
          <t>yes</t>
        </is>
      </c>
      <c r="P231" s="7" t="inlineStr"/>
      <c r="Q231" s="7" t="inlineStr">
        <is>
          <t>the reacting carbon has two carbon substituents besides the double bond (1,1-disubstituted, trisubstituted or tetrasubstituted alkene)</t>
        </is>
      </c>
      <c r="R231" s="7" t="inlineStr">
        <is>
          <t>more electron-rich (faster with electrophiles: epoxidation, halogenation) but more hindered for catalysts (hydrogenation, hydroboration slower)</t>
        </is>
      </c>
      <c r="S231" s="7" t="inlineStr">
        <is>
          <t>alkyl groups donate and crowd</t>
        </is>
      </c>
      <c r="T231" s="7" t="n"/>
      <c r="U231" s="10" t="n">
        <v>1.06</v>
      </c>
      <c r="V231" s="7" t="inlineStr">
        <is>
          <t>deprotection +2.10 (n=377; winner had it 97 % vs 52 % at random) · acyl substitution +1.69 (n=171; winner had it 93 % vs 51 % at random) · o nucleophile +1.16 (n=25; winner had it 88 % vs 51 % at random) · carbonyl addition +0.99 (n=1403; winner had it 88 % vs 61 % at random) · alkyl substitution +0.85 (n=48; winner had it 81 % vs 52 % at random) · aryl halide +0.15 (n=190; winner had it 54 % vs 52 % at random)</t>
        </is>
      </c>
      <c r="W231" s="7" t="n">
        <v>2251</v>
      </c>
      <c r="X231" s="7" t="n">
        <v>1093</v>
      </c>
      <c r="Y231" s="9" t="n">
        <v>0.8694</v>
      </c>
      <c r="Z231" s="9" t="n">
        <v>0.576</v>
      </c>
      <c r="AA231" s="7" t="n"/>
      <c r="AB231" s="7" t="n"/>
      <c r="AC231" s="7" t="n"/>
      <c r="AD231" s="7" t="n"/>
      <c r="AE231" s="7" t="inlineStr">
        <is>
          <t>learned from the training patents (tools/int_train.py)</t>
        </is>
      </c>
      <c r="AF231" s="7" t="inlineStr">
        <is>
          <t>Clayden, Organic Chemistry</t>
        </is>
      </c>
    </row>
    <row r="232">
      <c r="A232" s="7" t="inlineStr">
        <is>
          <t>I229</t>
        </is>
      </c>
      <c r="B232" s="7" t="inlineStr">
        <is>
          <t>alkene-new-bond-to-C</t>
        </is>
      </c>
      <c r="C232" s="7" t="inlineStr">
        <is>
          <t>retained alkene carbon that took a new carbon</t>
        </is>
      </c>
      <c r="D232" s="7" t="inlineStr">
        <is>
          <t>alkene carbon</t>
        </is>
      </c>
      <c r="E232" s="7" t="inlineStr">
        <is>
          <t>steric</t>
        </is>
      </c>
      <c r="F232" s="7" t="inlineStr">
        <is>
          <t>alkene C</t>
        </is>
      </c>
      <c r="G232" s="7" t="inlineStr">
        <is>
          <t>[C;X3;$(C=C);$(C-[900C,900c])]</t>
        </is>
      </c>
      <c r="H232" s="7" t="inlineStr"/>
      <c r="I232" s="7" t="inlineStr"/>
      <c r="J232" s="7" t="inlineStr"/>
      <c r="K232" s="7" t="inlineStr"/>
      <c r="L232" s="7" t="inlineStr"/>
      <c r="M232" s="7" t="n"/>
      <c r="N232" s="7" t="inlineStr"/>
      <c r="O232" s="7" t="inlineStr">
        <is>
          <t>yes</t>
        </is>
      </c>
      <c r="P232" s="7" t="inlineStr"/>
      <c r="Q232" s="7" t="inlineStr">
        <is>
          <t>the alkene carbon is bonded to a carbon the reaction put there (Heck, Suzuki or Negishi of a vinyl partner)</t>
        </is>
      </c>
      <c r="R232" s="7" t="inlineStr">
        <is>
          <t>Heck: the aryl goes to the less substituted carbon of the alkene (neutral Pd) or the more substituted one (cationic Pd, electron-rich alkene)</t>
        </is>
      </c>
      <c r="S232" s="7" t="inlineStr">
        <is>
          <t>sterics against polarisation in the insertion step</t>
        </is>
      </c>
      <c r="T232" s="7" t="n"/>
      <c r="U232" s="10" t="n">
        <v>-2.13</v>
      </c>
      <c r="V232" s="7" t="inlineStr">
        <is>
          <t>other -3.17 (n=39; winner had it 3 % vs 50 % at random) · acyl substitution -2.70 (n=25; winner had it 8 % vs 50 % at random) · carbonyl addition -1.65 (n=30; winner had it 37 % vs 48 % at random)</t>
        </is>
      </c>
      <c r="W232" s="7" t="n">
        <v>180</v>
      </c>
      <c r="X232" s="7" t="n">
        <v>134</v>
      </c>
      <c r="Y232" s="9" t="n">
        <v>0.1556</v>
      </c>
      <c r="Z232" s="9" t="n">
        <v>0.4999</v>
      </c>
      <c r="AA232" s="7" t="n"/>
      <c r="AB232" s="7" t="n"/>
      <c r="AC232" s="7" t="n"/>
      <c r="AD232" s="7" t="n"/>
      <c r="AE232" s="7" t="inlineStr">
        <is>
          <t>learned from the training patents (tools/int_train.py)</t>
        </is>
      </c>
      <c r="AF232" s="7" t="inlineStr">
        <is>
          <t>Clayden, Organic Chemistry</t>
        </is>
      </c>
    </row>
    <row r="233">
      <c r="A233" s="7" t="inlineStr">
        <is>
          <t>I230</t>
        </is>
      </c>
      <c r="B233" s="7" t="inlineStr">
        <is>
          <t>quench-organometallic-acidic-XH</t>
        </is>
      </c>
      <c r="C233" s="7" t="inlineStr">
        <is>
          <t>Grignard or organolithium + a group with an acidic X–H</t>
        </is>
      </c>
      <c r="D233" s="7" t="inlineStr">
        <is>
          <t>reagent + group</t>
        </is>
      </c>
      <c r="E233" s="7" t="inlineStr">
        <is>
          <t>quencher</t>
        </is>
      </c>
      <c r="F233" s="7" t="inlineStr">
        <is>
          <t>reagent + group</t>
        </is>
      </c>
      <c r="G233" s="7" t="inlineStr"/>
      <c r="H233" s="7" t="inlineStr"/>
      <c r="I233" s="7" t="inlineStr">
        <is>
          <t>frag:F029 | frag:F140 | frag:F141 | smiles:[CH3][Mg+] | smiles:C[CH2][Mg+] | smiles:[CH2-]CCC</t>
        </is>
      </c>
      <c r="J23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3" s="7" t="inlineStr">
        <is>
          <t>substrate</t>
        </is>
      </c>
      <c r="L233" s="7" t="inlineStr">
        <is>
          <t>bystander</t>
        </is>
      </c>
      <c r="M233" s="7" t="n">
        <v>1</v>
      </c>
      <c r="N233" s="7" t="inlineStr"/>
      <c r="O233" s="7" t="inlineStr">
        <is>
          <t>yes</t>
        </is>
      </c>
      <c r="P233" s="7" t="inlineStr">
        <is>
          <t>quenches</t>
        </is>
      </c>
      <c r="Q233" s="7" t="inlineStr"/>
      <c r="R233" s="7" t="inlineStr">
        <is>
          <t>the reagent is destroyed first: each O–H, N–H, S–H, CO2H or terminal C–H protonates one equivalent of R–M (R–H forms); protect the group or use an extra equivalent per acidic H</t>
        </is>
      </c>
      <c r="S233" s="7" t="inlineStr">
        <is>
          <t>the carbon bound to the metal is a very strong base (conjugate acid pKa 45–50); an O–H, N–H or S–H is deprotonated at once (C–H acids such as ketone α-H compete with addition to the carbonyl, and addition usually wins for aldehydes and unhindered ketones)</t>
        </is>
      </c>
      <c r="T233" s="7" t="n"/>
      <c r="U233" s="7" t="n"/>
      <c r="V233" s="7" t="inlineStr"/>
      <c r="W233" s="7" t="n"/>
      <c r="X233" s="7" t="n"/>
      <c r="Y233" s="7" t="n"/>
      <c r="Z233" s="7" t="n"/>
      <c r="AA233" s="7" t="n">
        <v>6018</v>
      </c>
      <c r="AB233" s="9" t="n">
        <v>0.0034</v>
      </c>
      <c r="AC233" s="9" t="n">
        <v>0.4356</v>
      </c>
      <c r="AD233" s="9" t="n">
        <v>0.592</v>
      </c>
      <c r="AE233" s="7" t="inlineStr">
        <is>
          <t>11,897 (reaction, group) pairs with this reagent; alternatives counted: frag:F029; frag:F140; frag:F141; smiles:[CH3][Mg+]; smiles:C[CH2][Mg+]; smiles:[CH2-]CCC. A group being consumed measures this effect only indirectly: the figures say how often the group reacts at all with this reagent</t>
        </is>
      </c>
      <c r="AF233" s="7" t="inlineStr">
        <is>
          <t>Clayden, Organic Chemistry (organometallics); Fragment_Conditions F029</t>
        </is>
      </c>
    </row>
    <row r="234">
      <c r="A234" s="7" t="inlineStr">
        <is>
          <t>I231</t>
        </is>
      </c>
      <c r="B234" s="7" t="inlineStr">
        <is>
          <t>quench-strong-base-acidic-XH</t>
        </is>
      </c>
      <c r="C234" s="7" t="inlineStr">
        <is>
          <t>a strong base + several different acidic groups</t>
        </is>
      </c>
      <c r="D234" s="7" t="inlineStr">
        <is>
          <t>reagent + group</t>
        </is>
      </c>
      <c r="E234" s="7" t="inlineStr">
        <is>
          <t>competing site</t>
        </is>
      </c>
      <c r="F234" s="7" t="inlineStr">
        <is>
          <t>reagent + group</t>
        </is>
      </c>
      <c r="G234" s="7" t="inlineStr"/>
      <c r="H234" s="7" t="inlineStr"/>
      <c r="I234" s="7" t="inlineStr">
        <is>
          <t>frag:F142 | frag:F143 | frag:F140 | frag:F029 | frag:F141 | smiles:[NH2-] | smiles:[Li][N]([Si](C)(C)C)[Si](C)(C)C | smiles:CC(C)(C)[O-] | smiles:CCC(C)(C)[O-] | smiles:CC(C)(C)[O][K] | smiles:CC(C)(C)[O][Na] | smiles:C[Si](C)(C)[O][K]</t>
        </is>
      </c>
      <c r="J234" s="7" t="inlineStr">
        <is>
          <t>F001 carboxylic acid | F014 alcohol (on sp3 C) | F028 phenol | F072 thiol / thiolate (R–SH, Ar–SH, RS⁻; heteroaryl thiol ⇌ thione) | F176 primary alkylamine (R–NH2 on sp3 C; not an aniline) | F026 arylamine (aniline NH2) | F034 amine (2°) | F094 secondary aryl amine (N-alkyl / N-aryl aniline, diarylamine, 2-alkylamino-azine, indoline) | F096 hydrazine / hydrazide NH2 (α-effect N) | F097 hydroxylamine / alkoxyamine N–H (NH2OH, MeONH2, BnONH2, R–NHOH) | F095 amide / lactam / carbamate / urea / imide N–H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F008 alkyne, terminal (C≡C–H) | F048 arenesulfonic acid | F169 ammonium salt (protonated amine R3NH⁺, RNH3⁺, NH4⁺: amine hydrochlorides) | F102 active methylene CH2 (1,3-dicarbonyl, malonate, β-keto ester, cyanoacetate, malononitrile) | F192 α-C–H of a ketone (R–CO–CH: pKa ≈ 19–20; aldol, enolate alkylation, α-halogenation) | F193 α-C–H of an ester or lactone (pKa ≈ 25; needs LDA/NaH-strength base) | F194 α-C–H of a nitrile (pKa ≈ 25; cyanomethyl anion) | F195 α-C–H of an aldehyde (pKa ≈ 17; enolises most easily) | F049 oxime | F099 amidoxime (C(=NOH)NH2 ⇌ C(=NH)NHOH) | F056 nitroalkane (R–NO2 on sp3 C) | F098 amidine (C(=NH)NH2) | F150 N-hydroxybenzotriazole (HOBt, HOAt: coupling additive)</t>
        </is>
      </c>
      <c r="K234" s="7" t="inlineStr">
        <is>
          <t>substrate</t>
        </is>
      </c>
      <c r="L234" s="7" t="inlineStr">
        <is>
          <t>bystander</t>
        </is>
      </c>
      <c r="M234" s="7" t="n">
        <v>2</v>
      </c>
      <c r="N234" s="7" t="inlineStr"/>
      <c r="O234" s="7" t="inlineStr">
        <is>
          <t>yes</t>
        </is>
      </c>
      <c r="P234" s="7" t="inlineStr">
        <is>
          <t>competes</t>
        </is>
      </c>
      <c r="Q234" s="7" t="inlineStr"/>
      <c r="R234" s="7" t="inlineStr">
        <is>
          <t>the base removes the most acidic proton first and a second equivalent the next: with several sites the product follows the acidity order (carboxylic acid 4–5, phenol 10, alcohol 16, amide N–H 17, ketone α-C–H 19–20, ester α-C–H 25, terminal alkyne 25)</t>
        </is>
      </c>
      <c r="S234" s="7" t="inlineStr">
        <is>
          <t>the equilibrium constant of a proton transfer is 10^ΔpKa</t>
        </is>
      </c>
      <c r="T234" s="7" t="n"/>
      <c r="U234" s="7" t="n"/>
      <c r="V234" s="7" t="inlineStr"/>
      <c r="W234" s="7" t="n"/>
      <c r="X234" s="7" t="n"/>
      <c r="Y234" s="7" t="n"/>
      <c r="Z234" s="7" t="n"/>
      <c r="AA234" s="7" t="n">
        <v>65653</v>
      </c>
      <c r="AB234" s="9" t="n">
        <v>0.0217</v>
      </c>
      <c r="AC234" s="9" t="n">
        <v>0.6965</v>
      </c>
      <c r="AD234" s="9" t="n">
        <v>0.5893</v>
      </c>
      <c r="AE234" s="7" t="inlineStr">
        <is>
          <t>88,579 (reaction, group) pairs with this reagent; alternatives counted: frag:F142; frag:F143; frag:F140; frag:F029; frag:F141; smiles:[NH2-]; smiles:[Li][N]([Si](C)(C)C)[Si](C)(C)C; smiles:CC(C)(C)[O-]; smiles:CCC(C)(C)[O-]; smiles:CC(C)(C)[O][K]; smiles:CC(C)(C)[O][Na]; smiles:C[Si](C)(C)[O][K]. A group being consumed measures this effect only indirectly: the figures say how often the group reacts at all with this reagent</t>
        </is>
      </c>
      <c r="AF234" s="7" t="inlineStr">
        <is>
          <t>Evans pKa table; Clayden, Organic Chemistry</t>
        </is>
      </c>
    </row>
    <row r="235">
      <c r="A235" s="7" t="inlineStr">
        <is>
          <t>I232</t>
        </is>
      </c>
      <c r="B235" s="7" t="inlineStr">
        <is>
          <t>incompatible-hydride-acidic-XH</t>
        </is>
      </c>
      <c r="C235" s="7" t="inlineStr">
        <is>
          <t>a metal hydride (LiAlH4, DIBAL-H, NaH) + O–H, N–H or CO2H</t>
        </is>
      </c>
      <c r="D235" s="7" t="inlineStr">
        <is>
          <t>reagent + group</t>
        </is>
      </c>
      <c r="E235" s="7" t="inlineStr">
        <is>
          <t>quencher</t>
        </is>
      </c>
      <c r="F235" s="7" t="inlineStr">
        <is>
          <t>reagent + group</t>
        </is>
      </c>
      <c r="G235" s="7" t="inlineStr"/>
      <c r="H235" s="7" t="inlineStr"/>
      <c r="I235" s="7" t="inlineStr">
        <is>
          <t>frag:F042 | frag:F143 + smiles:[Al+3] | smiles:COCC[O][AlH2-][O]CCOC | frag:F143 | frag:F145 | smiles:CCC(C)[BH-](C(C)CC)C(C)CC</t>
        </is>
      </c>
      <c r="J235"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5" s="7" t="inlineStr">
        <is>
          <t>substrate</t>
        </is>
      </c>
      <c r="L235" s="7" t="inlineStr">
        <is>
          <t>bystander</t>
        </is>
      </c>
      <c r="M235" s="7" t="n">
        <v>1</v>
      </c>
      <c r="N235" s="7" t="inlineStr"/>
      <c r="O235" s="7" t="inlineStr">
        <is>
          <t>yes</t>
        </is>
      </c>
      <c r="P235" s="7" t="inlineStr">
        <is>
          <t>quenches</t>
        </is>
      </c>
      <c r="Q235" s="7" t="inlineStr"/>
      <c r="R235" s="7" t="inlineStr">
        <is>
          <t>H2 is evolved and one hydride used up per acidic proton; the alkoxide / amide formed may react more slowly than the free group (carboxylic acids are reduced via the carboxylate only with excess LiAlH4)</t>
        </is>
      </c>
      <c r="S235" s="7" t="inlineStr">
        <is>
          <t>hydride is a strong base (conjugate acid H2, pKa about 35)</t>
        </is>
      </c>
      <c r="T235" s="7" t="n"/>
      <c r="U235" s="7" t="n"/>
      <c r="V235" s="7" t="inlineStr"/>
      <c r="W235" s="7" t="n"/>
      <c r="X235" s="7" t="n"/>
      <c r="Y235" s="7" t="n"/>
      <c r="Z235" s="7" t="n"/>
      <c r="AA235" s="7" t="n">
        <v>38110</v>
      </c>
      <c r="AB235" s="9" t="n">
        <v>0.0107</v>
      </c>
      <c r="AC235" s="9" t="n">
        <v>0.7314000000000001</v>
      </c>
      <c r="AD235" s="9" t="n">
        <v>0.5861</v>
      </c>
      <c r="AE235" s="7" t="inlineStr">
        <is>
          <t>86,819 (reaction, group) pairs with this reagent; alternatives counted: frag:F042; frag:F143 + smiles:[Al+3]; smiles:COCC[O][AlH2-][O]CCOC; frag:F143; frag:F145; smiles:CCC(C)[BH-](C(C)CC)C(C)CC. A group being consumed measures this effect only indirectly: the figures say how often the group reacts at all with this reagent</t>
        </is>
      </c>
      <c r="AF235" s="7" t="inlineStr">
        <is>
          <t>Clayden, Organic Chemistry (reduction); Fragment_Conditions F042</t>
        </is>
      </c>
    </row>
    <row r="236">
      <c r="A236" s="7" t="inlineStr">
        <is>
          <t>I233</t>
        </is>
      </c>
      <c r="B236" s="7" t="inlineStr">
        <is>
          <t>also-reduced-LiAlH4</t>
        </is>
      </c>
      <c r="C236" s="7" t="inlineStr">
        <is>
          <t>LiAlH4 + other reducible groups</t>
        </is>
      </c>
      <c r="D236" s="7" t="inlineStr">
        <is>
          <t>reagent + group</t>
        </is>
      </c>
      <c r="E236" s="7" t="inlineStr">
        <is>
          <t>incompatible group</t>
        </is>
      </c>
      <c r="F236" s="7" t="inlineStr">
        <is>
          <t>reagent + group</t>
        </is>
      </c>
      <c r="G236" s="7" t="inlineStr"/>
      <c r="H236" s="7" t="inlineStr"/>
      <c r="I236" s="7" t="inlineStr">
        <is>
          <t>frag:F042 | frag:F143 + smiles:[Al+3] | smiles:COCC[O][AlH2-][O]CCOC</t>
        </is>
      </c>
      <c r="J236" s="7" t="inlineStr">
        <is>
          <t>F004 ester | F139 methyl / ethyl ester (saponified by LiOH, NaOH; the common ester protecting group) | F138 acetate ester (CH3–C(=O)–O–C: acetyl protecting group on an alcohol or phenol) | F021 amide | F120 primary amide (C(=O)NH2) | F184 tertiary amide (R–C(=O)–NR2: DMF, DMA, Weinreb amide, N-acylpiperidine, N-alkyl lactam) | F185 secondary amide (R–C(=O)–NH–R) | F202 lactam, 5- to 7-membered (pyrrolidinone, piperidinone, caprolactam, oxindole) | F022 nitrile | F191 aryl nitrile (Ar–C≡N: benzonitrile, cyanopyridine) | F001 carboxylic acid | F118 aromatic carboxylic acid (ArCO2H, ArCO2⁻) | F020 acyl chloride | F041 carboxylic anhydride | F018 aldehyde | F117 aromatic aldehyde (ArCHO) | F019 ketone | F116 aryl ketone (acetophenone, benzophenone: Ar–C(=O)–C) | F031 imine | F040 enone (α,β-unsaturated carbonyl) | F124 activated ester (N-hydroxysuccinimide, HOBt/HOAt, pentafluorophenyl, p-nitrophenyl ester) | F121 imide (phthalimide, succinimide, glutarimide: C(=O)–N–C(=O)) | F136 trifluoroacetyl (trifluoroacetic acid TFA, trifluoroacetamide, trifluoroacetate ester) | F074 thioester (S-acyl: thioacetate R–SAc, S-alkyl thiocarbonate) | F079 carbonate ester (aryl/alkyl carbonate, O-Boc phenol) | F100 isocyanate / isothiocyanate (R–N=C=O, R–N=C=S; incl. TMS-NCO, ClSO2NCO) | F122 urea (N–C(=O)–N: ureas, carbamoyl-ureas) | F023 epoxide | F025 nitroarene | F056 nitroalkane (R–NO2 on sp3 C) | F055 organic azide (R–N3, alkyl or aryl) | F010 alkyl bromide | F011 alkyl chloride | F012 alkyl iodide | F044 alkyl halide (1°) | F045 alkyl halide (2°) | F066 alkyl sulfonate / sulfate ester (R–OMs, R–OTs, R–OTf, Me2SO4, cyclic sulfamidate) | F077 carbamate (N–CO2R: Boc, Cbz, Moc, Eoc) | F049 oxime | F125 α-halo carbonyl (α-halo ketone, ester, amide)</t>
        </is>
      </c>
      <c r="K236" s="7" t="inlineStr">
        <is>
          <t>substrate</t>
        </is>
      </c>
      <c r="L236" s="7" t="inlineStr">
        <is>
          <t>bystander</t>
        </is>
      </c>
      <c r="M236" s="7" t="n">
        <v>1</v>
      </c>
      <c r="N236" s="7" t="inlineStr"/>
      <c r="O236" s="7" t="inlineStr">
        <is>
          <t>yes</t>
        </is>
      </c>
      <c r="P236" s="7" t="inlineStr">
        <is>
          <t>also_reacts</t>
        </is>
      </c>
      <c r="Q236" s="7" t="inlineStr"/>
      <c r="R236" s="7" t="inlineStr">
        <is>
          <t>also reduced: esters, amides, nitriles, acids, acyl chlorides, epoxides, azides, carbamates (to N-methyl) and most alkyl halides and sulfonates; aliphatic nitro compounds go to amines and nitroarenes to azo compounds; unless the amount is limited the molecule is reduced at every one of them</t>
        </is>
      </c>
      <c r="S236" s="7" t="inlineStr">
        <is>
          <t>a very strong hydride donor with little selectivity between polar functional groups</t>
        </is>
      </c>
      <c r="T236" s="7" t="n"/>
      <c r="U236" s="7" t="n"/>
      <c r="V236" s="7" t="inlineStr"/>
      <c r="W236" s="7" t="n"/>
      <c r="X236" s="7" t="n"/>
      <c r="Y236" s="7" t="n"/>
      <c r="Z236" s="7" t="n"/>
      <c r="AA236" s="7" t="n">
        <v>9169</v>
      </c>
      <c r="AB236" s="9" t="n">
        <v>0.001</v>
      </c>
      <c r="AC236" s="9" t="n">
        <v>0.906</v>
      </c>
      <c r="AD236" s="9" t="n">
        <v>0.4911</v>
      </c>
      <c r="AE236" s="7" t="inlineStr">
        <is>
          <t>20,458 (reaction, group) pairs with this reagent; alternatives counted: frag:F042; frag:F143 + smiles:[Al+3]; smiles:COCC[O][AlH2-][O]CCOC</t>
        </is>
      </c>
      <c r="AF236" s="7" t="inlineStr">
        <is>
          <t>Clayden, Organic Chemistry (reduction)</t>
        </is>
      </c>
    </row>
    <row r="237">
      <c r="A237" s="7" t="inlineStr">
        <is>
          <t>I234</t>
        </is>
      </c>
      <c r="B237" s="7" t="inlineStr">
        <is>
          <t>spared-by-NaBH4</t>
        </is>
      </c>
      <c r="C237" s="7" t="inlineStr">
        <is>
          <t>NaBH4 + an amide, carbamate or nitro group</t>
        </is>
      </c>
      <c r="D237" s="7" t="inlineStr">
        <is>
          <t>reagent + group</t>
        </is>
      </c>
      <c r="E237" s="7" t="inlineStr">
        <is>
          <t>selectivity</t>
        </is>
      </c>
      <c r="F237" s="7" t="inlineStr">
        <is>
          <t>reagent + group</t>
        </is>
      </c>
      <c r="G237" s="7" t="inlineStr"/>
      <c r="H237" s="7" t="inlineStr"/>
      <c r="I237" s="7" t="inlineStr">
        <is>
          <t>smiles:[BH4-] + smiles:[Na+] + not:smiles:[Li+] + not:role:Lewis acid + not:elem:Co + not:elem:Ni + not:elem:Cu + not:elem:Pd + not:elem:Pt + not:elem:Ca + not:smiles:II</t>
        </is>
      </c>
      <c r="J237" s="7" t="inlineStr">
        <is>
          <t>F021 amide | F077 carbamate (N–CO2R: Boc, Cbz, Moc, Eoc) | F120 primary amide (C(=O)NH2) | F025 nitroarene</t>
        </is>
      </c>
      <c r="K237" s="7" t="inlineStr">
        <is>
          <t>substrate</t>
        </is>
      </c>
      <c r="L237" s="7" t="inlineStr">
        <is>
          <t>bystander</t>
        </is>
      </c>
      <c r="M237" s="7" t="n">
        <v>1</v>
      </c>
      <c r="N237" s="7" t="inlineStr"/>
      <c r="O237" s="7" t="inlineStr">
        <is>
          <t>yes</t>
        </is>
      </c>
      <c r="P237" s="7" t="inlineStr">
        <is>
          <t>spared</t>
        </is>
      </c>
      <c r="Q237" s="7" t="inlineStr"/>
      <c r="R237" s="7" t="inlineStr">
        <is>
          <t>usually survive: NaBH4 alone reduces aldehydes, ketones, acyl chlorides and (with acid) imines at 0–25 °C but leaves amides, carbamates and nitro groups; esters, nitriles and acids also survive without an additive, but in the recorded reactions they are reduced about as often as with other reagents (they are the target, or LiCl / CaCl2 / CoCl2 / I2 / heat is added)</t>
        </is>
      </c>
      <c r="S237" s="7" t="inlineStr">
        <is>
          <t>the N lone pair makes an amide or carbamate C=O far less electrophilic than a ketone, and NaBH4 is a mild hydride donor</t>
        </is>
      </c>
      <c r="T237" s="7" t="n"/>
      <c r="U237" s="7" t="n"/>
      <c r="V237" s="7" t="inlineStr"/>
      <c r="W237" s="7" t="n"/>
      <c r="X237" s="7" t="n"/>
      <c r="Y237" s="7" t="n"/>
      <c r="Z237" s="7" t="n"/>
      <c r="AA237" s="7" t="n">
        <v>3896</v>
      </c>
      <c r="AB237" s="9" t="n">
        <v>0.0031</v>
      </c>
      <c r="AC237" s="9" t="n">
        <v>0.1082</v>
      </c>
      <c r="AD237" s="9" t="n">
        <v>0.2943</v>
      </c>
      <c r="AE237" s="7" t="inlineStr">
        <is>
          <t>5,409 (reaction, group) pairs with this reagent; alternatives counted: smiles:[BH4-] + smiles:[Na+] + not:smiles:[Li+] + not:role:Lewis acid + not:elem:Co + not:elem:Ni + not:elem:Cu + not:elem:Pd + not:elem:Pt + not:elem:Ca + not:smiles:II. A group being consumed measures this effect only indirectly: the figures say how often the group reacts at all with this reagent</t>
        </is>
      </c>
      <c r="AF237" s="7" t="inlineStr">
        <is>
          <t>Clayden, Organic Chemistry; Known_No_Reaction sheet (NaBH4)</t>
        </is>
      </c>
    </row>
    <row r="238">
      <c r="A238" s="7" t="inlineStr">
        <is>
          <t>I235</t>
        </is>
      </c>
      <c r="B238" s="7" t="inlineStr">
        <is>
          <t>also-reduced-LiBH4</t>
        </is>
      </c>
      <c r="C238" s="7" t="inlineStr">
        <is>
          <t>LiBH4 + an ester, lactone, epoxide or acid derivative</t>
        </is>
      </c>
      <c r="D238" s="7" t="inlineStr">
        <is>
          <t>reagent + group</t>
        </is>
      </c>
      <c r="E238" s="7" t="inlineStr">
        <is>
          <t>incompatible group</t>
        </is>
      </c>
      <c r="F238" s="7" t="inlineStr">
        <is>
          <t>reagent + group</t>
        </is>
      </c>
      <c r="G238" s="7" t="inlineStr"/>
      <c r="H238" s="7" t="inlineStr"/>
      <c r="I238" s="7" t="inlineStr">
        <is>
          <t>smiles:[BH4-] + smiles:[Li+]</t>
        </is>
      </c>
      <c r="J238" s="7" t="inlineStr">
        <is>
          <t>F004 ester | F139 methyl / ethyl ester (saponified by LiOH, NaOH; the common ester protecting group) | F138 acetate ester (CH3–C(=O)–O–C: acetyl protecting group on an alcohol or phenol) | F023 epoxide | F124 activated ester (N-hydroxysuccinimide, HOBt/HOAt, pentafluorophenyl, p-nitrophenyl ester) | F020 acyl chloride | F041 carboxylic anhydride | F121 imide (phthalimide, succinimide, glutarimide: C(=O)–N–C(=O))</t>
        </is>
      </c>
      <c r="K238" s="7" t="inlineStr">
        <is>
          <t>substrate</t>
        </is>
      </c>
      <c r="L238" s="7" t="inlineStr">
        <is>
          <t>bystander</t>
        </is>
      </c>
      <c r="M238" s="7" t="n">
        <v>1</v>
      </c>
      <c r="N238" s="7" t="inlineStr"/>
      <c r="O238" s="7" t="inlineStr">
        <is>
          <t>yes</t>
        </is>
      </c>
      <c r="P238" s="7" t="inlineStr">
        <is>
          <t>also_reacts</t>
        </is>
      </c>
      <c r="Q238" s="7" t="inlineStr"/>
      <c r="R238" s="7" t="inlineStr">
        <is>
          <t>also reduced: unlike NaBH4, LiBH4 reduces esters, lactones, epoxides and acyl derivatives (the Li⁺ activates the C=O); it still leaves acids, amides, nitriles and nitro groups largely alone</t>
        </is>
      </c>
      <c r="S238" s="7" t="inlineStr">
        <is>
          <t>the lithium ion is a better Lewis acid than sodium</t>
        </is>
      </c>
      <c r="T238" s="7" t="n"/>
      <c r="U238" s="7" t="n"/>
      <c r="V238" s="7" t="inlineStr"/>
      <c r="W238" s="7" t="n"/>
      <c r="X238" s="7" t="n"/>
      <c r="Y238" s="7" t="n"/>
      <c r="Z238" s="7" t="n"/>
      <c r="AA238" s="7" t="n">
        <v>1387</v>
      </c>
      <c r="AB238" s="9" t="n">
        <v>0</v>
      </c>
      <c r="AC238" s="9" t="n">
        <v>0.9829</v>
      </c>
      <c r="AD238" s="9" t="n">
        <v>0.4997</v>
      </c>
      <c r="AE238" s="7" t="inlineStr">
        <is>
          <t>2,689 (reaction, group) pairs with this reagent; alternatives counted: smiles:[BH4-] + smiles:[Li+]</t>
        </is>
      </c>
      <c r="AF238" s="7" t="inlineStr">
        <is>
          <t>Clayden, Organic Chemistry (reduction)</t>
        </is>
      </c>
    </row>
    <row r="239">
      <c r="A239" s="7" t="inlineStr">
        <is>
          <t>I236</t>
        </is>
      </c>
      <c r="B239" s="7" t="inlineStr">
        <is>
          <t>also-oxidised-by-peroxide</t>
        </is>
      </c>
      <c r="C239" s="7" t="inlineStr">
        <is>
          <t>a peroxide or peracid (H2O2, mCPBA, peracetic acid, Oxone) + a sulfide, tertiary amine, alkene or electron-rich ring</t>
        </is>
      </c>
      <c r="D239" s="7" t="inlineStr">
        <is>
          <t>reagent + group</t>
        </is>
      </c>
      <c r="E239" s="7" t="inlineStr">
        <is>
          <t>incompatible group</t>
        </is>
      </c>
      <c r="F239" s="7" t="inlineStr">
        <is>
          <t>reagent + group</t>
        </is>
      </c>
      <c r="G239" s="7" t="inlineStr"/>
      <c r="H239" s="7" t="inlineStr"/>
      <c r="I239" s="7" t="inlineStr">
        <is>
          <t>smiles:O=C(OO)c1cccc(Cl)c1 | smiles:CC(=O)OO | smiles:OO | smiles:O=S(=O)([O-])O[O-] | smiles:O=S([O-])OO</t>
        </is>
      </c>
      <c r="J239" s="7" t="inlineStr">
        <is>
          <t>F073 thioether (dialkyl / aryl alkyl sulfide, incl. 2-methylthio-azine) | F072 thiol / thiolate (R–SH, Ar–SH, RS⁻; heteroaryl thiol ⇌ thione) | F093 amine 3° (trialkylamine, N,N-dialkylaniline, enamine) | F179 trialkylamine, all three substituents acyclic (Et3N, DIPEA, Me2NR): a base | F180 N,N-dialkylaniline (Ar–NR2: dimethylaniline, N-arylpiperazine/piperidine) | F005 alkene (C=C) | F006 alkene, terminal (=CH2) | F126 enol ether / vinyl ether (C=C–O–R; dihydropyran, dihydrofuran) | F127 enamine / enaminone (C=C–N, not an enamide) | F203 acyclic enamine / enaminone (N–CH=C: Me2N–CH=CH–C(=O)R from DMF-DMA) | F106 pyrrole / indole ring C–H | F105 furan / benzofuran ring C–H | F104 thiophene / benzothiophene ring C–H | F028 phenol | F026 arylamine (aniline NH2) | F019 ketone | F091 pyridine-type ring N (azine N)</t>
        </is>
      </c>
      <c r="K239" s="7" t="inlineStr">
        <is>
          <t>substrate</t>
        </is>
      </c>
      <c r="L239" s="7" t="inlineStr">
        <is>
          <t>bystander</t>
        </is>
      </c>
      <c r="M239" s="7" t="n">
        <v>1</v>
      </c>
      <c r="N239" s="7" t="inlineStr"/>
      <c r="O239" s="7" t="inlineStr">
        <is>
          <t>yes</t>
        </is>
      </c>
      <c r="P239" s="7" t="inlineStr">
        <is>
          <t>also_reacts</t>
        </is>
      </c>
      <c r="Q239" s="7" t="inlineStr"/>
      <c r="R239" s="7" t="inlineStr">
        <is>
          <t>also oxidised: sulfides to sulfoxide and sulfone, tertiary amines and pyridines to N-oxides, alkenes to epoxides, enol ethers and enamines, electron-rich heteroarenes, phenols and anilines (to quinones and tars), ketones to esters (Baeyer–Villiger)</t>
        </is>
      </c>
      <c r="S239" s="7" t="inlineStr">
        <is>
          <t>a peracid is an electrophilic oxygen donor: it takes electrons from whichever group is the most electron-rich first</t>
        </is>
      </c>
      <c r="T239" s="7" t="n"/>
      <c r="U239" s="7" t="n"/>
      <c r="V239" s="7" t="inlineStr"/>
      <c r="W239" s="7" t="n"/>
      <c r="X239" s="7" t="n"/>
      <c r="Y239" s="7" t="n"/>
      <c r="Z239" s="7" t="n"/>
      <c r="AA239" s="7" t="n">
        <v>5505</v>
      </c>
      <c r="AB239" s="9" t="n">
        <v>0.0031</v>
      </c>
      <c r="AC239" s="9" t="n">
        <v>0.5038</v>
      </c>
      <c r="AD239" s="9" t="n">
        <v>0.285</v>
      </c>
      <c r="AE239" s="7" t="inlineStr">
        <is>
          <t>9,791 (reaction, group) pairs with this reagent; alternatives counted: smiles:O=C(OO)c1cccc(Cl)c1; smiles:CC(=O)OO; smiles:OO; smiles:O=S(=O)([O-])O[O-]; smiles:O=S([O-])OO</t>
        </is>
      </c>
      <c r="AF239" s="7" t="inlineStr">
        <is>
          <t>Clayden, Organic Chemistry (oxidation)</t>
        </is>
      </c>
    </row>
    <row r="240">
      <c r="A240" s="7" t="inlineStr">
        <is>
          <t>I237</t>
        </is>
      </c>
      <c r="B240" s="7" t="inlineStr">
        <is>
          <t>also-oxidised-by-metal-oxo</t>
        </is>
      </c>
      <c r="C240" s="7" t="inlineStr">
        <is>
          <t>a chromium(VI), permanganate, ruthenium or hypervalent-iodine oxidant + other oxidisable groups</t>
        </is>
      </c>
      <c r="D240" s="7" t="inlineStr">
        <is>
          <t>reagent + group</t>
        </is>
      </c>
      <c r="E240" s="7" t="inlineStr">
        <is>
          <t>incompatible group</t>
        </is>
      </c>
      <c r="F240" s="7" t="inlineStr">
        <is>
          <t>reagent + group</t>
        </is>
      </c>
      <c r="G240" s="7" t="inlineStr"/>
      <c r="H240" s="7" t="inlineStr"/>
      <c r="I240" s="7" t="inlineStr">
        <is>
          <t>smiles:CC(=O)OI1(OC(C)=O)(OC(C)=O)OC(=O)c2ccccc21 | smiles:O=C(O)c1ccccc1I(=O)=O | smiles:CC(=O)OI(OC(C)=O)c1ccccc1 | smiles:O=C(OI(OC(=O)C(F)(F)F)c1ccccc1)C(F)(F)F | smiles:[O]=[Cr](=[O])([O-])[Cl] | smiles:[O]=[Cr](=[O])=[O] | smiles:[O]=[Cr](=[O])([O-])[O][Cr](=[O])(=[O])[O-] | smiles:[O]=[Cr](=[O])([OH])[OH] | smiles:[O]=[Mn](=[O])(=[O])[O-] | smiles:[O]=[Ru](=[O])(=[O])[O-] | smiles:[O]=[Ru]=[O]</t>
        </is>
      </c>
      <c r="J240" s="7" t="inlineStr">
        <is>
          <t>F003 alcohol (1°) | F015 alcohol (2°) | F199 benzylic alcohol (Ar–CH2–OH) | F073 thioether (dialkyl / aryl alkyl sulfide, incl. 2-methylthio-azine) | F072 thiol / thiolate (R–SH, Ar–SH, RS⁻; heteroaryl thiol ⇌ thione) | F130 benzyl group on O, N or S (benzyl ether, N-benzyl amine / amide, benzyl thioether)</t>
        </is>
      </c>
      <c r="K240" s="7" t="inlineStr">
        <is>
          <t>substrate</t>
        </is>
      </c>
      <c r="L240" s="7" t="inlineStr">
        <is>
          <t>bystander</t>
        </is>
      </c>
      <c r="M240" s="7" t="n">
        <v>1</v>
      </c>
      <c r="N240" s="7" t="inlineStr"/>
      <c r="O240" s="7" t="inlineStr">
        <is>
          <t>yes</t>
        </is>
      </c>
      <c r="P240" s="7" t="inlineStr">
        <is>
          <t>also_reacts</t>
        </is>
      </c>
      <c r="Q240" s="7" t="inlineStr"/>
      <c r="R240" s="7" t="inlineStr">
        <is>
          <t>also oxidised: primary and secondary alcohols (to aldehydes / ketones; tertiary alcohols are not oxidised), sulfides and thiols, and benzyl ethers (chromic acid, permanganate, ruthenium tetroxide); permanganate and chromic acid carry aldehydes on to acids, while Dess–Martin periodinane and IBX stop at the aldehyde or ketone; alkenes and benzylic C–H are attacked only by the strongest of these (permanganate, RuO4), which the recorded reactions do not show often enough to list them</t>
        </is>
      </c>
      <c r="S240" s="7" t="inlineStr">
        <is>
          <t>high-valent metal oxo and iodine(V) reagents take hydrides or electrons from whatever is most oxidisable</t>
        </is>
      </c>
      <c r="T240" s="7" t="n"/>
      <c r="U240" s="7" t="n"/>
      <c r="V240" s="7" t="inlineStr"/>
      <c r="W240" s="7" t="n"/>
      <c r="X240" s="7" t="n"/>
      <c r="Y240" s="7" t="n"/>
      <c r="Z240" s="7" t="n"/>
      <c r="AA240" s="7" t="n">
        <v>4068</v>
      </c>
      <c r="AB240" s="9" t="n">
        <v>0.0005</v>
      </c>
      <c r="AC240" s="9" t="n">
        <v>0.91</v>
      </c>
      <c r="AD240" s="9" t="n">
        <v>0.3749</v>
      </c>
      <c r="AE240" s="7" t="inlineStr">
        <is>
          <t>6,133 (reaction, group) pairs with this reagent; alternatives counted: smiles:CC(=O)OI1(OC(C)=O)(OC(C)=O)OC(=O)c2ccccc21; smiles:O=C(O)c1ccccc1I(=O)=O; smiles:CC(=O)OI(OC(C)=O)c1ccccc1; smiles:O=C(OI(OC(=O)C(F)(F)F)c1ccccc1)C(F)(F)F; smiles:[O]=[Cr](=[O])([O-])[Cl]; smiles:[O]=[Cr](=[O])=[O]; smiles:[O]=[Cr](=[O])([O-])[O][Cr](=[O])(=[O])[O-]; smiles:[O]=[Cr](=[O])([OH])[OH]; smiles:[O]=[Mn](=[O])(=[O])[O-]; smiles:[O]=[Ru](=[O])(=[O])[O-]; smiles:[O]=[Ru]=[O]</t>
        </is>
      </c>
      <c r="AF240" s="7" t="inlineStr">
        <is>
          <t>Clayden, Organic Chemistry (oxidation)</t>
        </is>
      </c>
    </row>
    <row r="241">
      <c r="A241" s="7" t="inlineStr">
        <is>
          <t>I238</t>
        </is>
      </c>
      <c r="B241" s="7" t="inlineStr">
        <is>
          <t>cleaved-by-acid</t>
        </is>
      </c>
      <c r="C241" s="7" t="inlineStr">
        <is>
          <t>a strong acid (TFA, HCl, HBr, H2SO4, TsOH, MsOH, TfOH, formic acid) + an acid-labile protecting group</t>
        </is>
      </c>
      <c r="D241" s="7" t="inlineStr">
        <is>
          <t>reagent + group</t>
        </is>
      </c>
      <c r="E241" s="7" t="inlineStr">
        <is>
          <t>protecting group</t>
        </is>
      </c>
      <c r="F241" s="7" t="inlineStr">
        <is>
          <t>reagent + group</t>
        </is>
      </c>
      <c r="G241" s="7" t="inlineStr"/>
      <c r="H241" s="7" t="inlineStr"/>
      <c r="I241" s="7" t="inlineStr">
        <is>
          <t>smiles:O=C(O)C(F)(F)F | smiles:Cl | smiles:Br | smiles:I | smiles:F | smiles:O=S(=O)(O)O | smiles:Cc1ccc(S(=O)(=O)O)cc1 | smiles:CS(=O)(=O)O | smiles:O=S(=O)(O)C(F)(F)F | smiles:CC1(C)C2CCC1(CS(=O)(=O)O)C(=O)C2 | smiles:[O-][Cl+3]([O-])([O-])O | smiles:O=CO | smiles:O=P(O)(O)O | smiles:[H+]</t>
        </is>
      </c>
      <c r="J241" s="7" t="inlineStr">
        <is>
          <t>F078 tert-butyl protecting group (Boc, t-Bu ester / ether / carbonate / phosphate, N-t-Bu azole, N-t-Bu sulfonamide / aminoazine) | F039 acetal / ketal | F052 silyl ether / N-silyl (TMS, TES, TBS, TIPS, TBDPS on O or N) | F134 trityl group (Ph3C–N, Ph3C–O, Ph3C–S) | F132 4-methoxybenzyl (PMB) group on O, N or S | F126 enol ether / vinyl ether (C=C–O–R; dihydropyran, dihydrofuran) | F200 orthoester (R–C(OR)3: triethyl orthoformate, trimethyl orthoacetate) | F201 amide acetal / aminal ether (DMF-DMA: Me2N–CH(OMe)2)</t>
        </is>
      </c>
      <c r="K241" s="7" t="inlineStr">
        <is>
          <t>substrate</t>
        </is>
      </c>
      <c r="L241" s="7" t="inlineStr">
        <is>
          <t>both</t>
        </is>
      </c>
      <c r="M241" s="7" t="n">
        <v>1</v>
      </c>
      <c r="N241" s="7" t="inlineStr"/>
      <c r="O241" s="7" t="inlineStr">
        <is>
          <t>yes</t>
        </is>
      </c>
      <c r="P241" s="7" t="inlineStr">
        <is>
          <t>cleaved</t>
        </is>
      </c>
      <c r="Q241" s="7" t="inlineStr"/>
      <c r="R241" s="7" t="inlineStr">
        <is>
          <t>removed or opened: Boc and tert-butyl esters / ethers (TFA, HCl), acetals, THP and MOM ethers, trityl, PMB, enol ethers and silyl ethers are cleaved by acid; benzyl carbamates (Cbz) survive TFA and HCl but go with HBr / AcOH; choose a base-mediated step or a milder acid when the group must survive</t>
        </is>
      </c>
      <c r="S241" s="7" t="inlineStr">
        <is>
          <t>the cation formed on protonation is stabilised (tert-butyl, oxocarbenium, trityl, benzylic)</t>
        </is>
      </c>
      <c r="T241" s="7" t="n"/>
      <c r="U241" s="7" t="n"/>
      <c r="V241" s="7" t="inlineStr"/>
      <c r="W241" s="7" t="n"/>
      <c r="X241" s="7" t="n"/>
      <c r="Y241" s="7" t="n"/>
      <c r="Z241" s="7" t="n"/>
      <c r="AA241" s="7" t="n">
        <v>62021</v>
      </c>
      <c r="AB241" s="9" t="n">
        <v>0.0144</v>
      </c>
      <c r="AC241" s="9" t="n">
        <v>0.7514999999999999</v>
      </c>
      <c r="AD241" s="9" t="n">
        <v>0.2274</v>
      </c>
      <c r="AE241" s="7" t="inlineStr">
        <is>
          <t>64,816 (reaction, group) pairs with this reagent; alternatives counted: smiles:O=C(O)C(F)(F)F; smiles:Cl; smiles:Br; smiles:I; smiles:F; smiles:O=S(=O)(O)O; smiles:Cc1ccc(S(=O)(=O)O)cc1; smiles:CS(=O)(=O)O; smiles:O=S(=O)(O)C(F)(F)F; smiles:CC1(C)C2CCC1(CS(=O)(=O)O)C(=O)C2; smiles:[O-][Cl+3]([O-])([O-])O; smiles:O=CO; smiles:O=P(O)(O)O; smiles:[H+]. A group being consumed measures this effect only indirectly: the figures say how often the group reacts at all with this reagent</t>
        </is>
      </c>
      <c r="AF241" s="7" t="inlineStr">
        <is>
          <t>Greene, Protective Groups in Organic Synthesis</t>
        </is>
      </c>
    </row>
    <row r="242">
      <c r="A242" s="7" t="inlineStr">
        <is>
          <t>I239</t>
        </is>
      </c>
      <c r="B242" s="7" t="inlineStr">
        <is>
          <t>cleaved-by-boron-halide</t>
        </is>
      </c>
      <c r="C242" s="7" t="inlineStr">
        <is>
          <t>BBr3 / BCl3 / TMSI / TMSBr / HBr + an ether, benzyl group or acid-labile group</t>
        </is>
      </c>
      <c r="D242" s="7" t="inlineStr">
        <is>
          <t>reagent + group</t>
        </is>
      </c>
      <c r="E242" s="7" t="inlineStr">
        <is>
          <t>protecting group</t>
        </is>
      </c>
      <c r="F242" s="7" t="inlineStr">
        <is>
          <t>reagent + group</t>
        </is>
      </c>
      <c r="G242" s="7" t="inlineStr"/>
      <c r="H242" s="7" t="inlineStr"/>
      <c r="I242" s="7" t="inlineStr">
        <is>
          <t>smiles:BrB(Br)Br | smiles:ClB(Cl)Cl | smiles:Br | smiles:I | smiles:C[Si](C)(C)I | smiles:C[Si](C)(C)Br</t>
        </is>
      </c>
      <c r="J242" s="7" t="inlineStr">
        <is>
          <t>F050 aryl alkyl ether (Ar–O–R; anisole-type, incl. methoxy-azines) | F051 imidate / lactim ether (R–O–C=N, incl. 2-/4-alkoxy-azines) | F024 ether (dialkyl) | F130 benzyl group on O, N or S (benzyl ether, N-benzyl amine / amide, benzyl thioether) | F131 benzyl ester / benzyl carbamate (Cbz) / benzyl carbonate: Ar–CH2–O–C(=O) | F078 tert-butyl protecting group (Boc, t-Bu ester / ether / carbonate / phosphate, N-t-Bu azole, N-t-Bu sulfonamide / aminoazine) | F039 acetal / ketal | F052 silyl ether / N-silyl (TMS, TES, TBS, TIPS, TBDPS on O or N) | F103 phosphonate / phosphinate / phosphate alkyl ester (P(=O)–O–alkyl)</t>
        </is>
      </c>
      <c r="K242" s="7" t="inlineStr">
        <is>
          <t>substrate</t>
        </is>
      </c>
      <c r="L242" s="7" t="inlineStr">
        <is>
          <t>both</t>
        </is>
      </c>
      <c r="M242" s="7" t="n">
        <v>1</v>
      </c>
      <c r="N242" s="7" t="inlineStr"/>
      <c r="O242" s="7" t="inlineStr">
        <is>
          <t>yes</t>
        </is>
      </c>
      <c r="P242" s="7" t="inlineStr">
        <is>
          <t>cleaved</t>
        </is>
      </c>
      <c r="Q242" s="7" t="inlineStr"/>
      <c r="R242" s="7" t="inlineStr">
        <is>
          <t>cleaved: methyl and benzyl ethers (BBr3 and BCl3 at −78 °C to rt), aryl alkyl ethers, benzyl carbamates and esters, tert-butyl groups, acetals, silyl ethers and phosphonate esters (TMSBr)</t>
        </is>
      </c>
      <c r="S242" s="7" t="inlineStr">
        <is>
          <t>the boron halide binds the ether O, and bromide displaces the alkyl group</t>
        </is>
      </c>
      <c r="T242" s="7" t="n"/>
      <c r="U242" s="7" t="n"/>
      <c r="V242" s="7" t="inlineStr"/>
      <c r="W242" s="7" t="n"/>
      <c r="X242" s="7" t="n"/>
      <c r="Y242" s="7" t="n"/>
      <c r="Z242" s="7" t="n"/>
      <c r="AA242" s="7" t="n">
        <v>9165</v>
      </c>
      <c r="AB242" s="9" t="n">
        <v>0.0028</v>
      </c>
      <c r="AC242" s="9" t="n">
        <v>0.7007</v>
      </c>
      <c r="AD242" s="9" t="n">
        <v>0.1981</v>
      </c>
      <c r="AE242" s="7" t="inlineStr">
        <is>
          <t>12,305 (reaction, group) pairs with this reagent; alternatives counted: smiles:BrB(Br)Br; smiles:ClB(Cl)Cl; smiles:Br; smiles:I; smiles:C[Si](C)(C)I; smiles:C[Si](C)(C)Br. A group being consumed measures this effect only indirectly: the figures say how often the group reacts at all with this reagent</t>
        </is>
      </c>
      <c r="AF242" s="7" t="inlineStr">
        <is>
          <t>Greene, Protective Groups in Organic Synthesis</t>
        </is>
      </c>
    </row>
    <row r="243">
      <c r="A243" s="7" t="inlineStr">
        <is>
          <t>I240</t>
        </is>
      </c>
      <c r="B243" s="7" t="inlineStr">
        <is>
          <t>cleaved-by-base-nucleophile</t>
        </is>
      </c>
      <c r="C243" s="7" t="inlineStr">
        <is>
          <t>hydroxide or an alkoxide + a base-labile group</t>
        </is>
      </c>
      <c r="D243" s="7" t="inlineStr">
        <is>
          <t>reagent + group</t>
        </is>
      </c>
      <c r="E243" s="7" t="inlineStr">
        <is>
          <t>protecting group</t>
        </is>
      </c>
      <c r="F243" s="7" t="inlineStr">
        <is>
          <t>reagent + group</t>
        </is>
      </c>
      <c r="G243" s="7" t="inlineStr"/>
      <c r="H243" s="7" t="inlineStr"/>
      <c r="I243" s="7" t="inlineStr">
        <is>
          <t>frag:F060 + not:smiles:CCOC([O-])[O-] + not:smiles:COC([O-])[O-] | smiles:[Li][OH] | smiles:CC(C)(C)[O][K] | smiles:CC(C)(C)[O][Na] | smiles:C[O][Na] | smiles:C[Si](C)(C)[O-] | smiles:C[Si](C)(C)[O][K]</t>
        </is>
      </c>
      <c r="J243" s="7" t="inlineStr">
        <is>
          <t>F004 ester | F139 methyl / ethyl ester (saponified by LiOH, NaOH; the common ester protecting group) | F138 acetate ester (CH3–C(=O)–O–C: acetyl protecting group on an alcohol or phenol) | F136 trifluoroacetyl (trifluoroacetic acid TFA, trifluoroacetamide, trifluoroacetate ester) | F135 fluorenylmethyl carbamate (Fmoc) | F124 activated ester (N-hydroxysuccinimide, HOBt/HOAt, pentafluorophenyl, p-nitrophenyl ester) | F079 carbonate ester (aryl/alkyl carbonate, O-Boc phenol) | F074 thioester (S-acyl: thioacetate R–SAc, S-alkyl thiocarbonate) | F125 α-halo carbonyl (α-halo ketone, ester, amide) | F023 epoxide | F041 carboxylic anhydride | F020 acyl chloride | F121 imide (phthalimide, succinimide, glutarimide: C(=O)–N–C(=O)) | F080 N-acyl / N-alkoxycarbonyl / N-sulfonyl azole (activated azolide) | F069 N,N-bis(sulfonyl)amine (over-sulfonylated aniline, ArN(SO2R)2) | F065 aryl / enol sulfonate ester (Ar–OTf, vinyl-OTf, Ar–OMs, Ar–OTs) | F066 alkyl sulfonate / sulfate ester (R–OMs, R–OTs, R–OTf, Me2SO4, cyclic sulfamidate) | F064 sulfonyl chloride and other sulfonylating agents (R–SO2Cl, sulfamoyl chloride, Tf2O, C6F5O-sulfonate)</t>
        </is>
      </c>
      <c r="K243" s="7" t="inlineStr">
        <is>
          <t>substrate</t>
        </is>
      </c>
      <c r="L243" s="7" t="inlineStr">
        <is>
          <t>bystander</t>
        </is>
      </c>
      <c r="M243" s="7" t="n">
        <v>1</v>
      </c>
      <c r="N243" s="7" t="inlineStr"/>
      <c r="O243" s="7" t="inlineStr">
        <is>
          <t>yes</t>
        </is>
      </c>
      <c r="P243" s="7" t="inlineStr">
        <is>
          <t>cleaved</t>
        </is>
      </c>
      <c r="Q243" s="7" t="inlineStr"/>
      <c r="R243" s="7" t="inlineStr">
        <is>
          <t>attacked: esters hydrolyse or transesterify (with an alkoxide the alkoxy group of the ester exchanges), Fmoc and trifluoroacetyl come off, carbonates, thioesters and active esters are cleaved, α-halo carbonyls and epoxides are opened, sulfonates are displaced</t>
        </is>
      </c>
      <c r="S243" s="7" t="inlineStr">
        <is>
          <t>hydroxide and alkoxides are strong nucleophiles toward carbonyl carbons; Fmoc is removed by E1cB (fluorenyl C–H pKa about 23)</t>
        </is>
      </c>
      <c r="T243" s="7" t="n"/>
      <c r="U243" s="7" t="n"/>
      <c r="V243" s="7" t="inlineStr"/>
      <c r="W243" s="7" t="n"/>
      <c r="X243" s="7" t="n"/>
      <c r="Y243" s="7" t="n"/>
      <c r="Z243" s="7" t="n"/>
      <c r="AA243" s="7" t="n">
        <v>63418</v>
      </c>
      <c r="AB243" s="9" t="n">
        <v>0.0072</v>
      </c>
      <c r="AC243" s="9" t="n">
        <v>0.8942</v>
      </c>
      <c r="AD243" s="9" t="n">
        <v>0.4802</v>
      </c>
      <c r="AE243" s="7" t="inlineStr">
        <is>
          <t>117,349 (reaction, group) pairs with this reagent; alternatives counted: frag:F060 + not:smiles:CCOC([O-])[O-] + not:smiles:COC([O-])[O-]; smiles:[Li][OH]; smiles:CC(C)(C)[O][K]; smiles:CC(C)(C)[O][Na]; smiles:C[O][Na]; smiles:C[Si](C)(C)[O-]; smiles:C[Si](C)(C)[O][K]. A group being consumed measures this effect only indirectly: the figures say how often the group reacts at all with this reagent</t>
        </is>
      </c>
      <c r="AF243" s="7" t="inlineStr">
        <is>
          <t>Greene, Protective Groups in Organic Synthesis</t>
        </is>
      </c>
    </row>
    <row r="244">
      <c r="A244" s="7" t="inlineStr">
        <is>
          <t>I241</t>
        </is>
      </c>
      <c r="B244" s="7" t="inlineStr">
        <is>
          <t>cleaved-by-Pd0</t>
        </is>
      </c>
      <c r="C244" s="7" t="inlineStr">
        <is>
          <t>a palladium catalyst + an allyl ester, carbamate or ether</t>
        </is>
      </c>
      <c r="D244" s="7" t="inlineStr">
        <is>
          <t>reagent + group</t>
        </is>
      </c>
      <c r="E244" s="7" t="inlineStr">
        <is>
          <t>protecting group</t>
        </is>
      </c>
      <c r="F244" s="7" t="inlineStr">
        <is>
          <t>reagent + group</t>
        </is>
      </c>
      <c r="G244" s="7" t="inlineStr"/>
      <c r="H244" s="7" t="inlineStr"/>
      <c r="I244" s="7" t="inlineStr">
        <is>
          <t>elem:Pd</t>
        </is>
      </c>
      <c r="J244" s="7" t="inlineStr">
        <is>
          <t>F133 allyl group on O, N or S (allyl ether, allyl ester, Alloc)</t>
        </is>
      </c>
      <c r="K244" s="7" t="inlineStr">
        <is>
          <t>substrate</t>
        </is>
      </c>
      <c r="L244" s="7" t="inlineStr">
        <is>
          <t>bystander</t>
        </is>
      </c>
      <c r="M244" s="7" t="n">
        <v>1</v>
      </c>
      <c r="N244" s="7" t="inlineStr"/>
      <c r="O244" s="7" t="inlineStr">
        <is>
          <t>yes</t>
        </is>
      </c>
      <c r="P244" s="7" t="inlineStr">
        <is>
          <t>cleaved</t>
        </is>
      </c>
      <c r="Q244" s="7" t="inlineStr"/>
      <c r="R244" s="7" t="inlineStr">
        <is>
          <t>cleaved: Pd(0) ionises allyl carbonates, carbamates (Alloc), esters and ethers into a π-allyl complex that a nucleophile (amine, morpholine, dimedone, silane) takes; allyl groups are otherwise stable to acid and base</t>
        </is>
      </c>
      <c r="S244" s="7" t="inlineStr">
        <is>
          <t>oxidative addition of Pd(0) into the allylic C–O bond</t>
        </is>
      </c>
      <c r="T244" s="7" t="n"/>
      <c r="U244" s="7" t="n"/>
      <c r="V244" s="7" t="inlineStr"/>
      <c r="W244" s="7" t="n"/>
      <c r="X244" s="7" t="n"/>
      <c r="Y244" s="7" t="n"/>
      <c r="Z244" s="7" t="n"/>
      <c r="AA244" s="7" t="n">
        <v>628</v>
      </c>
      <c r="AB244" s="9" t="n">
        <v>0.0001</v>
      </c>
      <c r="AC244" s="9" t="n">
        <v>0.8965</v>
      </c>
      <c r="AD244" s="9" t="n">
        <v>0.235</v>
      </c>
      <c r="AE244" s="7" t="inlineStr">
        <is>
          <t>628 (reaction, group) pairs with this reagent; alternatives counted: elem:Pd. A group being consumed measures this effect only indirectly: the figures say how often the group reacts at all with this reagent</t>
        </is>
      </c>
      <c r="AF244" s="7" t="inlineStr">
        <is>
          <t>Greene, Protective Groups in Organic Synthesis</t>
        </is>
      </c>
    </row>
    <row r="245">
      <c r="A245" s="7" t="inlineStr">
        <is>
          <t>I242</t>
        </is>
      </c>
      <c r="B245" s="7" t="inlineStr">
        <is>
          <t>also-hydrogenated</t>
        </is>
      </c>
      <c r="C245" s="7" t="inlineStr">
        <is>
          <t>H2 with Pd / Pt / Rh / Ni + other reducible groups</t>
        </is>
      </c>
      <c r="D245" s="7" t="inlineStr">
        <is>
          <t>reagent + group</t>
        </is>
      </c>
      <c r="E245" s="7" t="inlineStr">
        <is>
          <t>incompatible group</t>
        </is>
      </c>
      <c r="F245" s="7" t="inlineStr">
        <is>
          <t>reagent + group</t>
        </is>
      </c>
      <c r="G245" s="7" t="inlineStr"/>
      <c r="H245" s="7" t="inlineStr"/>
      <c r="I245" s="7" t="inlineStr">
        <is>
          <t>frag:F164 + smiles:[H][H]</t>
        </is>
      </c>
      <c r="J245" s="7" t="inlineStr">
        <is>
          <t>F005 alkene (C=C) | F006 alkene, terminal (=CH2) | F007 alkyne (C≡C) | F008 alkyne, terminal (C≡C–H) | F030 conjugated diene | F130 benzyl group on O, N or S (benzyl ether, N-benzyl amine / amide, benzyl thioether) | F131 benzyl ester / benzyl carbamate (Cbz) / benzyl carbonate: Ar–CH2–O–C(=O) | F132 4-methoxybenzyl (PMB) group on O, N or S | F025 nitroarene | F056 nitroalkane (R–NO2 on sp3 C) | F055 organic azide (R–N3, alkyl or aryl) | F013 aryl bromide | F084 aryl iodide (Ar–I, incl. heteroaryl iodides) | F047 aryl chloride | F086 2-/4-halo-azine (SNAr-activated heteroaryl halide) | F170 aryl chloride next to a ring N (2-chloropyridine, 2-chlorothiazole, 2-chloropyrimidine) | F175 2-halo-azole (Cl/Br/I on a 5-ring carbon next to a ring N: thiazole, imidazole, oxazole) | F036 benzylic bromide | F174 benzylic chloride (Ar–CH2–Cl) | F022 nitrile | F191 aryl nitrile (Ar–C≡N: benzonitrile, cyanopyridine) | F031 imine | F049 oxime | F196 aldimine / aldoxime (H–C=N: one substituent on carbon) | F204 acyclic imine / oxime / hydrazone (C=N not in a ring) | F018 aldehyde | F117 aromatic aldehyde (ArCHO) | F057 nitroso (C–N=O or N–N=O)</t>
        </is>
      </c>
      <c r="K245" s="7" t="inlineStr">
        <is>
          <t>substrate</t>
        </is>
      </c>
      <c r="L245" s="7" t="inlineStr">
        <is>
          <t>bystander</t>
        </is>
      </c>
      <c r="M245" s="7" t="n">
        <v>1</v>
      </c>
      <c r="N245" s="7" t="inlineStr"/>
      <c r="O245" s="7" t="inlineStr">
        <is>
          <t>yes</t>
        </is>
      </c>
      <c r="P245" s="7" t="inlineStr">
        <is>
          <t>also_reacts</t>
        </is>
      </c>
      <c r="Q245" s="7" t="inlineStr"/>
      <c r="R245" s="7" t="inlineStr">
        <is>
          <t>also reduced or cleaved: alkenes and alkynes, benzyl ethers / benzyl esters / Cbz / PMB (hydrogenolysis), nitro groups and azides, aryl iodides, bromides and (slowly) chlorides, benzylic halides, nitriles, imines and oximes</t>
        </is>
      </c>
      <c r="S245" s="7" t="inlineStr">
        <is>
          <t>a metal surface binds π systems and activates H2; weak benzylic C–O / C–N bonds and weak C–X bonds are cleaved</t>
        </is>
      </c>
      <c r="T245" s="7" t="n"/>
      <c r="U245" s="7" t="n"/>
      <c r="V245" s="7" t="inlineStr"/>
      <c r="W245" s="7" t="n"/>
      <c r="X245" s="7" t="n"/>
      <c r="Y245" s="7" t="n"/>
      <c r="Z245" s="7" t="n"/>
      <c r="AA245" s="7" t="n">
        <v>8320</v>
      </c>
      <c r="AB245" s="9" t="n">
        <v>0.0017</v>
      </c>
      <c r="AC245" s="9" t="n">
        <v>0.7947</v>
      </c>
      <c r="AD245" s="9" t="n">
        <v>0.4443</v>
      </c>
      <c r="AE245" s="7" t="inlineStr">
        <is>
          <t>12,209 (reaction, group) pairs with this reagent; alternatives counted: frag:F164 + smiles:[H][H]</t>
        </is>
      </c>
      <c r="AF245" s="7" t="inlineStr">
        <is>
          <t>Greene, Protective Groups in Organic Synthesis; Clayden, Organic Chemistry</t>
        </is>
      </c>
    </row>
    <row r="246">
      <c r="A246" s="7" t="inlineStr">
        <is>
          <t>I243</t>
        </is>
      </c>
      <c r="B246" s="7" t="inlineStr">
        <is>
          <t>desulfurised-by-Raney-Ni</t>
        </is>
      </c>
      <c r="C246" s="7" t="inlineStr">
        <is>
          <t>Raney nickel + sulfur</t>
        </is>
      </c>
      <c r="D246" s="7" t="inlineStr">
        <is>
          <t>reagent + group</t>
        </is>
      </c>
      <c r="E246" s="7" t="inlineStr">
        <is>
          <t>incompatible group</t>
        </is>
      </c>
      <c r="F246" s="7" t="inlineStr">
        <is>
          <t>reagent + group</t>
        </is>
      </c>
      <c r="G246" s="7" t="inlineStr"/>
      <c r="H246" s="7" t="inlineStr"/>
      <c r="I246" s="7" t="inlineStr">
        <is>
          <t>smiles:[Ni]</t>
        </is>
      </c>
      <c r="J246" s="7" t="inlineStr">
        <is>
          <t>F072 thiol / thiolate (R–SH, Ar–SH, RS⁻; heteroaryl thiol ⇌ thione) | F073 thioether (dialkyl / aryl alkyl sulfide, incl. 2-methylthio-azine) | F076 thiocarbonyl (thioamide / thiolactam, thiourea, thionoester, dithiocarbamate) | F104 thiophene / benzothiophene ring C–H | F074 thioester (S-acyl: thioacetate R–SAc, S-alkyl thiocarbonate)</t>
        </is>
      </c>
      <c r="K246" s="7" t="inlineStr">
        <is>
          <t>substrate</t>
        </is>
      </c>
      <c r="L246" s="7" t="inlineStr">
        <is>
          <t>bystander</t>
        </is>
      </c>
      <c r="M246" s="7" t="n">
        <v>1</v>
      </c>
      <c r="N246" s="7" t="inlineStr"/>
      <c r="O246" s="7" t="inlineStr">
        <is>
          <t>yes</t>
        </is>
      </c>
      <c r="P246" s="7" t="inlineStr">
        <is>
          <t>also_reacts</t>
        </is>
      </c>
      <c r="Q246" s="7" t="inlineStr"/>
      <c r="R246" s="7" t="inlineStr">
        <is>
          <t>desulfurised: Raney Ni replaces C–S bonds by C–H (thioethers, thiols, thiophenes, thioacetals), whatever else is being hydrogenated</t>
        </is>
      </c>
      <c r="S246" s="7" t="inlineStr">
        <is>
          <t>nickel binds sulfur strongly and hydrogenolyses the C–S bond</t>
        </is>
      </c>
      <c r="T246" s="7" t="n"/>
      <c r="U246" s="7" t="n"/>
      <c r="V246" s="7" t="inlineStr"/>
      <c r="W246" s="7" t="n"/>
      <c r="X246" s="7" t="n"/>
      <c r="Y246" s="7" t="n"/>
      <c r="Z246" s="7" t="n"/>
      <c r="AA246" s="7" t="n">
        <v>352</v>
      </c>
      <c r="AB246" s="9" t="n">
        <v>0.0001</v>
      </c>
      <c r="AC246" s="9" t="n">
        <v>0.6423</v>
      </c>
      <c r="AD246" s="9" t="n">
        <v>0.3144</v>
      </c>
      <c r="AE246" s="7" t="inlineStr">
        <is>
          <t>355 (reaction, group) pairs with this reagent; alternatives counted: smiles:[Ni]</t>
        </is>
      </c>
      <c r="AF246" s="7" t="inlineStr">
        <is>
          <t>Clayden, Organic Chemistry</t>
        </is>
      </c>
    </row>
    <row r="247">
      <c r="A247" s="7" t="inlineStr">
        <is>
          <t>I244</t>
        </is>
      </c>
      <c r="B247" s="7" t="inlineStr">
        <is>
          <t>poisoned-by-sulfur</t>
        </is>
      </c>
      <c r="C247" s="7" t="inlineStr">
        <is>
          <t>hydrogenation over Pd / Pt / Rh / Ru / Ir + sulfur</t>
        </is>
      </c>
      <c r="D247" s="7" t="inlineStr">
        <is>
          <t>reagent + group</t>
        </is>
      </c>
      <c r="E247" s="7" t="inlineStr">
        <is>
          <t>catalyst poison</t>
        </is>
      </c>
      <c r="F247" s="7" t="inlineStr">
        <is>
          <t>reagent + group</t>
        </is>
      </c>
      <c r="G247" s="7" t="inlineStr"/>
      <c r="H247" s="7" t="inlineStr"/>
      <c r="I247" s="7" t="inlineStr">
        <is>
          <t>frag:F164 + smiles:[H][H] + not:elem:Ni</t>
        </is>
      </c>
      <c r="J247" s="7" t="inlineStr">
        <is>
          <t>F072 thiol / thiolate (R–SH, Ar–SH, RS⁻; heteroaryl thiol ⇌ thione) | F073 thioether (dialkyl / aryl alkyl sulfide, incl. 2-methylthio-azine) | F076 thiocarbonyl (thioamide / thiolactam, thiourea, thionoester, dithiocarbamate) | F074 thioester (S-acyl: thioacetate R–SAc, S-alkyl thiocarbonate) | F075 thioacetate anion (KSAc, RC(O)S⁻) | F104 thiophene / benzothiophene ring C–H</t>
        </is>
      </c>
      <c r="K247" s="7" t="inlineStr">
        <is>
          <t>substrate</t>
        </is>
      </c>
      <c r="L247" s="7" t="inlineStr">
        <is>
          <t>bystander</t>
        </is>
      </c>
      <c r="M247" s="7" t="n">
        <v>1</v>
      </c>
      <c r="N247" s="7" t="inlineStr"/>
      <c r="O247" s="7" t="inlineStr">
        <is>
          <t>yes</t>
        </is>
      </c>
      <c r="P247" s="7" t="inlineStr">
        <is>
          <t>poisons</t>
        </is>
      </c>
      <c r="Q247" s="7" t="inlineStr"/>
      <c r="R247" s="7" t="inlineStr">
        <is>
          <t>the catalyst is poisoned or inhibited: thiols, sulfides, thioureas and thiophenes bind Pd and Pt irreversibly (use much more catalyst, a sulfur-tolerant catalyst, or do the step before the sulfur is introduced); cross-couplings of thiophenes and aryl sulfides usually work with a suitable ligand</t>
        </is>
      </c>
      <c r="S247" s="7" t="inlineStr">
        <is>
          <t>soft sulfur lone pairs bind the soft metal more strongly than the substrate</t>
        </is>
      </c>
      <c r="T247" s="7" t="n"/>
      <c r="U247" s="7" t="n"/>
      <c r="V247" s="7" t="inlineStr"/>
      <c r="W247" s="7" t="n"/>
      <c r="X247" s="7" t="n"/>
      <c r="Y247" s="7" t="n"/>
      <c r="Z247" s="7" t="n"/>
      <c r="AA247" s="7" t="n">
        <v>216</v>
      </c>
      <c r="AB247" s="9" t="n">
        <v>0.0002</v>
      </c>
      <c r="AC247" s="9" t="n">
        <v>0.0721</v>
      </c>
      <c r="AD247" s="9" t="n">
        <v>0.3177</v>
      </c>
      <c r="AE247" s="7" t="inlineStr">
        <is>
          <t>222 (reaction, group) pairs with this reagent; alternatives counted: frag:F164 + smiles:[H][H] + not:elem:Ni. A group being consumed measures this effect only indirectly: the figures say how often the group reacts at all with this reagent</t>
        </is>
      </c>
      <c r="AF247" s="7" t="inlineStr">
        <is>
          <t>Clayden, Organic Chemistry; Hartwig, Organotransition Metal Chemistry</t>
        </is>
      </c>
    </row>
    <row r="248">
      <c r="A248" s="7" t="inlineStr">
        <is>
          <t>I245</t>
        </is>
      </c>
      <c r="B248" s="7" t="inlineStr">
        <is>
          <t>inhibited-by-chelating-N</t>
        </is>
      </c>
      <c r="C248" s="7" t="inlineStr">
        <is>
          <t>a palladium or copper catalyst + a chelating nitrogen group</t>
        </is>
      </c>
      <c r="D248" s="7" t="inlineStr">
        <is>
          <t>reagent + group</t>
        </is>
      </c>
      <c r="E248" s="7" t="inlineStr">
        <is>
          <t>catalyst poison</t>
        </is>
      </c>
      <c r="F248" s="7" t="inlineStr">
        <is>
          <t>reagent + group</t>
        </is>
      </c>
      <c r="G248" s="7" t="inlineStr"/>
      <c r="H248" s="7" t="inlineStr"/>
      <c r="I248" s="7" t="inlineStr">
        <is>
          <t>frag:F164 | frag:F165</t>
        </is>
      </c>
      <c r="J248" s="7" t="inlineStr">
        <is>
          <t>F096 hydrazine / hydrazide NH2 (α-effect N) | F097 hydroxylamine / alkoxyamine N–H (NH2OH, MeONH2, BnONH2, R–NHOH) | F098 amidine (C(=NH)NH2) | F099 amidoxime (C(=NOH)NH2 ⇌ C(=NH)NHOH) | F114 tetrazole (N–H acid, pKa ≈ 5: carboxylic-acid isostere)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t>
        </is>
      </c>
      <c r="K248" s="7" t="inlineStr">
        <is>
          <t>substrate</t>
        </is>
      </c>
      <c r="L248" s="7" t="inlineStr">
        <is>
          <t>bystander</t>
        </is>
      </c>
      <c r="M248" s="7" t="n">
        <v>1</v>
      </c>
      <c r="N248" s="7" t="inlineStr"/>
      <c r="O248" s="7" t="inlineStr">
        <is>
          <t>yes</t>
        </is>
      </c>
      <c r="P248" s="7" t="inlineStr">
        <is>
          <t>poisons</t>
        </is>
      </c>
      <c r="Q248" s="7" t="inlineStr"/>
      <c r="R248" s="7" t="inlineStr">
        <is>
          <t>hydrazines, hydroxylamines, amidines, tetrazoles and 2-aminoazines chelate the metal and slow couplings (use a bidentate or bulky ligand, protect the nitrogen, or add a Lewis acid to tie it up)</t>
        </is>
      </c>
      <c r="S248" s="7" t="inlineStr">
        <is>
          <t>a bidentate N,N group competes with the substrate and the ligand for the metal</t>
        </is>
      </c>
      <c r="T248" s="7" t="n"/>
      <c r="U248" s="7" t="n"/>
      <c r="V248" s="7" t="inlineStr"/>
      <c r="W248" s="7" t="n"/>
      <c r="X248" s="7" t="n"/>
      <c r="Y248" s="7" t="n"/>
      <c r="Z248" s="7" t="n"/>
      <c r="AA248" s="7" t="n">
        <v>6577</v>
      </c>
      <c r="AB248" s="9" t="n">
        <v>0.0043</v>
      </c>
      <c r="AC248" s="9" t="n">
        <v>0.2806</v>
      </c>
      <c r="AD248" s="9" t="n">
        <v>0.5649999999999999</v>
      </c>
      <c r="AE248" s="7" t="inlineStr">
        <is>
          <t>12,169 (reaction, group) pairs with this reagent; alternatives counted: frag:F164; frag:F165. A group being consumed measures this effect only indirectly: the figures say how often the group reacts at all with this reagent</t>
        </is>
      </c>
      <c r="AF248" s="7" t="inlineStr">
        <is>
          <t>Hartwig, Organotransition Metal Chemistry</t>
        </is>
      </c>
    </row>
    <row r="249">
      <c r="A249" s="7" t="inlineStr">
        <is>
          <t>I246</t>
        </is>
      </c>
      <c r="B249" s="7" t="inlineStr">
        <is>
          <t>consumed-lewis-acid</t>
        </is>
      </c>
      <c r="C249" s="7" t="inlineStr">
        <is>
          <t>a Lewis acid (AlCl3, TiCl4, BF3, ZnCl2, BBr3) + a basic nitrogen or oxygen</t>
        </is>
      </c>
      <c r="D249" s="7" t="inlineStr">
        <is>
          <t>reagent + group</t>
        </is>
      </c>
      <c r="E249" s="7" t="inlineStr">
        <is>
          <t>catalyst poison</t>
        </is>
      </c>
      <c r="F249" s="7" t="inlineStr">
        <is>
          <t>reagent + group</t>
        </is>
      </c>
      <c r="G249" s="7" t="inlineStr"/>
      <c r="H249" s="7" t="inlineStr"/>
      <c r="I249" s="7" t="inlineStr">
        <is>
          <t>smiles:FB(F)F | smiles:BrB(Br)Br | smiles:ClB(Cl)Cl | smiles:[Cl][Ti]([Cl])([Cl])[Cl] | smiles:[Cl][Sn]([Cl])([Cl])[Cl] | smiles:[Cl][Fe]([Cl])[Cl] | smiles:[Al+3] + smiles:[Cl-] | smiles:[Zn+2] + smiles:[Cl-] | smiles:C[Si](C)(C)OS(=O)(=O)C(F)(F)F</t>
        </is>
      </c>
      <c r="J249" s="7" t="inlineStr">
        <is>
          <t>F002 amine (1°) | F034 amine (2°) | F093 amine 3° (trialkylamine, N,N-dialkylaniline, enamine) | F026 arylamine (aniline NH2) | F094 secondary aryl amine (N-alkyl / N-aryl aniline, diarylamine, 2-alkylamino-azine, indoline) | F091 pyridine-type ring N (azine N) | F112 imidazole-type ring N (sp2 N of imidazole, benzimidazole, purine: next to a C bonded to the substituted ring N) | F113 other azole ring N (sp2 N of pyrazole, thiazole, oxazole, triazole, tetrazole) | F115 heteroaryl NH2 (2-aminopyridine, aminopyrimidine, aminothiazole: NH2 on a carbon next to a ring N) | F021 amide | F184 tertiary amide (R–C(=O)–NR2: DMF, DMA, Weinreb amide, N-acylpiperidine, N-alkyl lactam) | F095 amide / lactam / carbamate / urea / imide N–H | F004 ester | F019 ketone | F018 aldehyde | F024 ether (dialkyl) | F050 aryl alkyl ether (Ar–O–R; anisole-type, incl. methoxy-azines) | F028 phenol | F003 alcohol (1°) | F014 alcohol (on sp3 C) | F015 alcohol (2°) | F001 carboxylic acid | F118 aromatic carboxylic acid (ArCO2H, ArCO2⁻)</t>
        </is>
      </c>
      <c r="K249" s="7" t="inlineStr">
        <is>
          <t>substrate</t>
        </is>
      </c>
      <c r="L249" s="7" t="inlineStr">
        <is>
          <t>bystander</t>
        </is>
      </c>
      <c r="M249" s="7" t="n">
        <v>1</v>
      </c>
      <c r="N249" s="7" t="inlineStr"/>
      <c r="O249" s="7" t="inlineStr">
        <is>
          <t>yes</t>
        </is>
      </c>
      <c r="P249" s="7" t="inlineStr">
        <is>
          <t>poisons</t>
        </is>
      </c>
      <c r="Q249" s="7" t="inlineStr"/>
      <c r="R249" s="7" t="inlineStr">
        <is>
          <t>the Lewis acid is bound and used up by the basic site (an amine, azine or amide takes one equivalent), so the group it was meant to activate stays untouched: Friedel–Crafts fails on anilines and pyridines; use one extra equivalent per basic site</t>
        </is>
      </c>
      <c r="S249" s="7" t="inlineStr">
        <is>
          <t>a free lone pair coordinates the Lewis acid; the complexed group is then a strong electron-withdrawing group</t>
        </is>
      </c>
      <c r="T249" s="7" t="n"/>
      <c r="U249" s="7" t="n"/>
      <c r="V249" s="7" t="inlineStr"/>
      <c r="W249" s="7" t="n"/>
      <c r="X249" s="7" t="n"/>
      <c r="Y249" s="7" t="n"/>
      <c r="Z249" s="7" t="n"/>
      <c r="AA249" s="7" t="n">
        <v>13459</v>
      </c>
      <c r="AB249" s="9" t="n">
        <v>0.0104</v>
      </c>
      <c r="AC249" s="9" t="n">
        <v>0.3854</v>
      </c>
      <c r="AD249" s="9" t="n">
        <v>0.3868</v>
      </c>
      <c r="AE249" s="7" t="inlineStr">
        <is>
          <t>36,809 (reaction, group) pairs with this reagent; alternatives counted: smiles:FB(F)F; smiles:BrB(Br)Br; smiles:ClB(Cl)Cl; smiles:[Cl][Ti]([Cl])([Cl])[Cl]; smiles:[Cl][Sn]([Cl])([Cl])[Cl]; smiles:[Cl][Fe]([Cl])[Cl]; smiles:[Al+3] + smiles:[Cl-]; smiles:[Zn+2] + smiles:[Cl-]; smiles:C[Si](C)(C)OS(=O)(=O)C(F)(F)F. A group being consumed measures this effect only indirectly: the figures say how often the group reacts at all with this reagent</t>
        </is>
      </c>
      <c r="AF249" s="7" t="inlineStr">
        <is>
          <t>Clayden, Organic Chemistry (Friedel–Crafts); Directing_Groups: blocks Friedel–Crafts</t>
        </is>
      </c>
    </row>
    <row r="250">
      <c r="A250" s="7" t="inlineStr">
        <is>
          <t>I247</t>
        </is>
      </c>
      <c r="B250" s="7" t="inlineStr">
        <is>
          <t>competing-nucleophile-acylation</t>
        </is>
      </c>
      <c r="C250" s="7" t="inlineStr">
        <is>
          <t>an acylating, sulfonylating or alkylating agent + several nucleophilic sites</t>
        </is>
      </c>
      <c r="D250" s="7" t="inlineStr">
        <is>
          <t>reagent + group</t>
        </is>
      </c>
      <c r="E250" s="7" t="inlineStr">
        <is>
          <t>competing site</t>
        </is>
      </c>
      <c r="F250" s="7" t="inlineStr">
        <is>
          <t>reagent + group</t>
        </is>
      </c>
      <c r="G250" s="7" t="inlineStr"/>
      <c r="H250" s="7" t="inlineStr"/>
      <c r="I250" s="7" t="inlineStr">
        <is>
          <t>frag:F020 | frag:F041 | frag:F064 | role:coupling reagent (activates an acid) | smiles:CC(=O)OC(C)=O | role:electrophile / alkylating agent + frag:F010 | role:electrophile / alkylating agent + frag:F011 | role:electrophile / alkylating agent + frag:F012 | role:electrophile / alkylating agent + frag:F036 | role:electrophile / alkylating agent + frag:F174 | role:electrophile / alkylating agent + frag:F066 | role:electrophile / alkylating agent + frag:F125</t>
        </is>
      </c>
      <c r="J250" s="7" t="inlineStr">
        <is>
          <t>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F003 alcohol (1°) | F014 alcohol (on sp3 C) | F015 alcohol (2°) | F028 phenol | F072 thiol / thiolate (R–SH, Ar–SH, RS⁻; heteroaryl thiol ⇌ thione) | F090 2-/4-pyridone-type aromatic lactam N–H (pyridone, quinolone, quinazolinone, pyrimidinone, uracil) | F129 1,2-amino alcohol (free N–C–C–OH: ethanolamine, amino-alcohols) | F017 1,2-diol | F197 methanol (CH3–OH): reagent and solvent | F198 ethanol (CH3CH2–OH): reagent and solvent</t>
        </is>
      </c>
      <c r="K250" s="7" t="inlineStr">
        <is>
          <t>substrate</t>
        </is>
      </c>
      <c r="L250" s="7" t="inlineStr">
        <is>
          <t>bystander</t>
        </is>
      </c>
      <c r="M250" s="7" t="n">
        <v>1</v>
      </c>
      <c r="N250" s="7" t="inlineStr"/>
      <c r="O250" s="7" t="inlineStr">
        <is>
          <t>yes</t>
        </is>
      </c>
      <c r="P250" s="7" t="inlineStr">
        <is>
          <t>competes</t>
        </is>
      </c>
      <c r="Q250" s="7" t="inlineStr"/>
      <c r="R250" s="7" t="inlineStr">
        <is>
          <t>which site reacts decides the product: amines are acylated before alcohols before phenols; with a base, alkylation follows acidity (phenol O before alcohol O) and softness (S and N before O with soft electrophiles; hard electrophiles go to O); ambident anions (pyridone, amide, azole) give N- and O-products</t>
        </is>
      </c>
      <c r="S250" s="7" t="inlineStr">
        <is>
          <t>nucleophilicity falls with delocalisation of the lone pair and rises with basicity and polarisability; with a base the most acidic site is the one deprotonated</t>
        </is>
      </c>
      <c r="T250" s="7" t="n"/>
      <c r="U250" s="7" t="n"/>
      <c r="V250" s="7" t="inlineStr"/>
      <c r="W250" s="7" t="n"/>
      <c r="X250" s="7" t="n"/>
      <c r="Y250" s="7" t="n"/>
      <c r="Z250" s="7" t="n"/>
      <c r="AA250" s="7" t="n">
        <v>63278</v>
      </c>
      <c r="AB250" s="9" t="n">
        <v>0.0177</v>
      </c>
      <c r="AC250" s="9" t="n">
        <v>0.7733</v>
      </c>
      <c r="AD250" s="9" t="n">
        <v>0.6784</v>
      </c>
      <c r="AE250" s="7" t="inlineStr">
        <is>
          <t>157,452 (reaction, group) pairs with this reagent; alternatives counted: frag:F020; frag:F041; frag:F064; role:coupling reagent (activates an acid); smiles:CC(=O)OC(C)=O; role:electrophile / alkylating agent + frag:F010; role:electrophile / alkylating agent + frag:F011; role:electrophile / alkylating agent + frag:F012; role:electrophile / alkylating agent + frag:F036; role:electrophile / alkylating agent + frag:F066; role:electrophile / alkylating agent + frag:F125. A group being consumed measures this effect only indirectly: the figures say how often the group reacts at all with this reagent</t>
        </is>
      </c>
      <c r="AF250" s="7" t="inlineStr">
        <is>
          <t>Clayden, Organic Chemistry; Reactivity_Order sheet</t>
        </is>
      </c>
    </row>
    <row r="251">
      <c r="A251" s="7" t="inlineStr">
        <is>
          <t>I248</t>
        </is>
      </c>
      <c r="B251" s="7" t="inlineStr">
        <is>
          <t>competing-radical-or-ring-bromination</t>
        </is>
      </c>
      <c r="C251" s="7" t="inlineStr">
        <is>
          <t>NBS or Br2 + an electron-rich ring, alkene or benzylic C–H</t>
        </is>
      </c>
      <c r="D251" s="7" t="inlineStr">
        <is>
          <t>reagent + group</t>
        </is>
      </c>
      <c r="E251" s="7" t="inlineStr">
        <is>
          <t>competing site</t>
        </is>
      </c>
      <c r="F251" s="7" t="inlineStr">
        <is>
          <t>reagent + group</t>
        </is>
      </c>
      <c r="G251" s="7" t="inlineStr"/>
      <c r="H251" s="7" t="inlineStr"/>
      <c r="I251" s="7" t="inlineStr">
        <is>
          <t>smiles:BrBr | smiles:O=C1CCC(=O)N1Br | smiles:CC1(C)C(=O)N(Br)C(=O)N1Br | smiles:ClBr</t>
        </is>
      </c>
      <c r="J251" s="7" t="inlineStr">
        <is>
          <t>F035 aryl methyl (benzylic C–H) | F037 allylic CH2 | F038 alkyl arene (aryl–C sp3) | F005 alkene (C=C) | F006 alkene, terminal (=CH2) | F028 phenol | F026 arylamine (aniline NH2) | F050 aryl alkyl ether (Ar–O–R; anisole-type, incl. methoxy-azines) | F106 pyrrole / indole ring C–H | F105 furan / benzofuran ring C–H | F104 thiophene / benzothiophene ring C–H</t>
        </is>
      </c>
      <c r="K251" s="7" t="inlineStr">
        <is>
          <t>substrate</t>
        </is>
      </c>
      <c r="L251" s="7" t="inlineStr">
        <is>
          <t>bystander</t>
        </is>
      </c>
      <c r="M251" s="7" t="n">
        <v>1</v>
      </c>
      <c r="N251" s="7" t="inlineStr"/>
      <c r="O251" s="7" t="inlineStr">
        <is>
          <t>yes</t>
        </is>
      </c>
      <c r="P251" s="7" t="inlineStr">
        <is>
          <t>competes</t>
        </is>
      </c>
      <c r="Q251" s="7" t="inlineStr"/>
      <c r="R251" s="7" t="inlineStr">
        <is>
          <t>radical bromination goes at the weakest C–H (allylic, benzylic) but the same reagent adds to alkenes and brominates electron-rich rings by electrophilic substitution; light or a radical initiator in CCl4 / PhCF3 favours the radical path, polar solvents and acid the ring</t>
        </is>
      </c>
      <c r="S251" s="7" t="inlineStr">
        <is>
          <t>conditions decide between a radical chain and electrophilic bromine</t>
        </is>
      </c>
      <c r="T251" s="7" t="n"/>
      <c r="U251" s="7" t="n"/>
      <c r="V251" s="7" t="inlineStr"/>
      <c r="W251" s="7" t="n"/>
      <c r="X251" s="7" t="n"/>
      <c r="Y251" s="7" t="n"/>
      <c r="Z251" s="7" t="n"/>
      <c r="AA251" s="7" t="n">
        <v>4872</v>
      </c>
      <c r="AB251" s="9" t="n">
        <v>0.004</v>
      </c>
      <c r="AC251" s="9" t="n">
        <v>0.2042</v>
      </c>
      <c r="AD251" s="9" t="n">
        <v>0.2138</v>
      </c>
      <c r="AE251" s="7" t="inlineStr">
        <is>
          <t>8,518 (reaction, group) pairs with this reagent; alternatives counted: smiles:BrBr; smiles:O=C1CCC(=O)N1Br; smiles:CC1(C)C(=O)N(Br)C(=O)N1Br; smiles:ClBr. A group being consumed measures this effect only indirectly: the figures say how often the group reacts at all with this reagent</t>
        </is>
      </c>
      <c r="AF251" s="7" t="inlineStr">
        <is>
          <t>Clayden, Organic Chemistry; Condition_Suggestions sheet</t>
        </is>
      </c>
    </row>
    <row r="252">
      <c r="A252" s="7" t="inlineStr">
        <is>
          <t>I249</t>
        </is>
      </c>
      <c r="B252" s="7" t="inlineStr">
        <is>
          <t>competing-diazonium-coupling</t>
        </is>
      </c>
      <c r="C252" s="7" t="inlineStr">
        <is>
          <t>a diazonium salt (or nitrite making one) + a phenol, aniline or active methylene</t>
        </is>
      </c>
      <c r="D252" s="7" t="inlineStr">
        <is>
          <t>reagent + group</t>
        </is>
      </c>
      <c r="E252" s="7" t="inlineStr">
        <is>
          <t>competing site</t>
        </is>
      </c>
      <c r="F252" s="7" t="inlineStr">
        <is>
          <t>reagent + group</t>
        </is>
      </c>
      <c r="G252" s="7" t="inlineStr"/>
      <c r="H252" s="7" t="inlineStr"/>
      <c r="I252" s="7" t="inlineStr">
        <is>
          <t>frag:F027 | smiles:O=N[O-] | smiles:CC(C)(C)ON=O | smiles:CC(C)CCON=O</t>
        </is>
      </c>
      <c r="J252" s="7" t="inlineStr">
        <is>
          <t>F028 phenol | F026 arylamine (aniline NH2) | F002 amine (1°) | F034 amine (2°) | F102 active methylene CH2 (1,3-dicarbonyl, malonate, β-keto ester, cyanoacetate, malononitrile) | F106 pyrrole / indole ring C–H | F105 furan / benzofuran ring C–H</t>
        </is>
      </c>
      <c r="K252" s="7" t="inlineStr">
        <is>
          <t>substrate</t>
        </is>
      </c>
      <c r="L252" s="7" t="inlineStr">
        <is>
          <t>bystander</t>
        </is>
      </c>
      <c r="M252" s="7" t="n">
        <v>1</v>
      </c>
      <c r="N252" s="7" t="inlineStr"/>
      <c r="O252" s="7" t="inlineStr">
        <is>
          <t>yes</t>
        </is>
      </c>
      <c r="P252" s="7" t="inlineStr">
        <is>
          <t>competes</t>
        </is>
      </c>
      <c r="Q252" s="7" t="inlineStr"/>
      <c r="R252" s="7" t="inlineStr">
        <is>
          <t>azo coupling: the diazonium ion attacks phenols (pH 8–10, ortho / para to O⁻), anilines (pH 4–6) and active methylene compounds (Japp–Klingemann) before it can be used for Sandmeyer or reduction; keep it at 0–5 °C and add the nucleophile on purpose</t>
        </is>
      </c>
      <c r="S252" s="7" t="inlineStr">
        <is>
          <t>the diazonium ion is a weak electrophile that picks the most electron-rich partner</t>
        </is>
      </c>
      <c r="T252" s="7" t="n"/>
      <c r="U252" s="7" t="n"/>
      <c r="V252" s="7" t="inlineStr"/>
      <c r="W252" s="7" t="n"/>
      <c r="X252" s="7" t="n"/>
      <c r="Y252" s="7" t="n"/>
      <c r="Z252" s="7" t="n"/>
      <c r="AA252" s="7" t="n">
        <v>4948</v>
      </c>
      <c r="AB252" s="9" t="n">
        <v>0.0005</v>
      </c>
      <c r="AC252" s="9" t="n">
        <v>0.9255</v>
      </c>
      <c r="AD252" s="9" t="n">
        <v>0.7030999999999999</v>
      </c>
      <c r="AE252" s="7" t="inlineStr">
        <is>
          <t>9,976 (reaction, group) pairs with this reagent; alternatives counted: frag:F027; smiles:O=N[O-]; smiles:CC(C)(C)ON=O; smiles:CC(C)CCON=O. A group being consumed measures this effect only indirectly: the figures say how often the group reacts at all with this reagent</t>
        </is>
      </c>
      <c r="AF252" s="7" t="inlineStr">
        <is>
          <t>Clayden, Organic Chemistry (diazonium salts); Fragment_Conditions F027</t>
        </is>
      </c>
    </row>
    <row r="253">
      <c r="A253" s="7" t="inlineStr">
        <is>
          <t>I250</t>
        </is>
      </c>
      <c r="B253" s="7" t="inlineStr">
        <is>
          <t>activates-every-OH</t>
        </is>
      </c>
      <c r="C253" s="7" t="inlineStr">
        <is>
          <t>SOCl2, POCl3, PCl5, oxalyl chloride or Tf2O + several O–H / N–H groups</t>
        </is>
      </c>
      <c r="D253" s="7" t="inlineStr">
        <is>
          <t>reagent + group</t>
        </is>
      </c>
      <c r="E253" s="7" t="inlineStr">
        <is>
          <t>competing site</t>
        </is>
      </c>
      <c r="F253" s="7" t="inlineStr">
        <is>
          <t>reagent + group</t>
        </is>
      </c>
      <c r="G253" s="7" t="inlineStr"/>
      <c r="H253" s="7" t="inlineStr"/>
      <c r="I253" s="7" t="inlineStr">
        <is>
          <t>smiles:O=S(Cl)Cl | smiles:O=P(Cl)(Cl)Cl | smiles:ClP(Cl)(Cl)(Cl)Cl | smiles:O=C(Cl)C(=O)Cl | smiles:O=S(=O)(OS(=O)(=O)C(F)(F)F)C(F)(F)F | smiles:O=S(Br)Br | smiles:BrP(Br)Br | smiles:ClP(Cl)Cl | smiles:O=P(Br)(Br)Br</t>
        </is>
      </c>
      <c r="J25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F120 primary amide (C(=O)NH2) | F089 azole N–H (pyrrole, indole, azaindole, imidazole, benzimidazole, pyrazole, indazole, triazole, tetrazole; 5-ring lactam N–H) | F049 oxime</t>
        </is>
      </c>
      <c r="K253" s="7" t="inlineStr">
        <is>
          <t>substrate</t>
        </is>
      </c>
      <c r="L253" s="7" t="inlineStr">
        <is>
          <t>bystander</t>
        </is>
      </c>
      <c r="M253" s="7" t="n">
        <v>1</v>
      </c>
      <c r="N253" s="7" t="inlineStr"/>
      <c r="O253" s="7" t="inlineStr">
        <is>
          <t>yes</t>
        </is>
      </c>
      <c r="P253" s="7" t="inlineStr">
        <is>
          <t>also_reacts</t>
        </is>
      </c>
      <c r="Q253" s="7" t="inlineStr"/>
      <c r="R253" s="7" t="inlineStr">
        <is>
          <t>every hydroxyl group, acid, primary amide (to nitrile), azole N–H and oxime (Beckmann) can react: acids become acyl chlorides, alcohols chlorides or sulfonates, primary amides dehydrate; amines are protonated or sulfonylated</t>
        </is>
      </c>
      <c r="S253" s="7" t="inlineStr">
        <is>
          <t>these reagents turn any O–H into a leaving group</t>
        </is>
      </c>
      <c r="T253" s="7" t="n"/>
      <c r="U253" s="7" t="n"/>
      <c r="V253" s="7" t="inlineStr"/>
      <c r="W253" s="7" t="n"/>
      <c r="X253" s="7" t="n"/>
      <c r="Y253" s="7" t="n"/>
      <c r="Z253" s="7" t="n"/>
      <c r="AA253" s="7" t="n">
        <v>21500</v>
      </c>
      <c r="AB253" s="9" t="n">
        <v>0.0026</v>
      </c>
      <c r="AC253" s="9" t="n">
        <v>0.9215</v>
      </c>
      <c r="AD253" s="9" t="n">
        <v>0.618</v>
      </c>
      <c r="AE253" s="7" t="inlineStr">
        <is>
          <t>43,310 (reaction, group) pairs with this reagent; alternatives counted: smiles:O=S(Cl)Cl; smiles:O=P(Cl)(Cl)Cl; smiles:ClP(Cl)(Cl)(Cl)Cl; smiles:O=C(Cl)C(=O)Cl; smiles:O=S(=O)(OS(=O)(=O)C(F)(F)F)C(F)(F)F; smiles:O=S(Br)Br; smiles:BrP(Br)Br; smiles:ClP(Cl)Cl; smiles:O=P(Br)(Br)Br</t>
        </is>
      </c>
      <c r="AF253" s="7" t="inlineStr">
        <is>
          <t>Clayden, Organic Chemistry</t>
        </is>
      </c>
    </row>
    <row r="254">
      <c r="A254" s="7" t="inlineStr">
        <is>
          <t>I251</t>
        </is>
      </c>
      <c r="B254" s="7" t="inlineStr">
        <is>
          <t>cleaved-by-fluoride</t>
        </is>
      </c>
      <c r="C254" s="7" t="inlineStr">
        <is>
          <t>fluoride (TBAF, CsF, HF) + silyl ethers</t>
        </is>
      </c>
      <c r="D254" s="7" t="inlineStr">
        <is>
          <t>reagent + group</t>
        </is>
      </c>
      <c r="E254" s="7" t="inlineStr">
        <is>
          <t>protecting group</t>
        </is>
      </c>
      <c r="F254" s="7" t="inlineStr">
        <is>
          <t>reagent + group</t>
        </is>
      </c>
      <c r="G254" s="7" t="inlineStr"/>
      <c r="H254" s="7" t="inlineStr"/>
      <c r="I254" s="7" t="inlineStr">
        <is>
          <t>frag:F154 | smiles:F</t>
        </is>
      </c>
      <c r="J254" s="7" t="inlineStr">
        <is>
          <t>F052 silyl ether / N-silyl (TMS, TES, TBS, TIPS, TBDPS on O or N) | F053 C-silyl group (organosilane: TMS/TES/TIPS-alkyne, aryl-SiR3, Me3Si–CH2 groups)</t>
        </is>
      </c>
      <c r="K254" s="7" t="inlineStr">
        <is>
          <t>substrate</t>
        </is>
      </c>
      <c r="L254" s="7" t="inlineStr">
        <is>
          <t>both</t>
        </is>
      </c>
      <c r="M254" s="7" t="n">
        <v>1</v>
      </c>
      <c r="N254" s="7" t="inlineStr"/>
      <c r="O254" s="7" t="inlineStr">
        <is>
          <t>yes</t>
        </is>
      </c>
      <c r="P254" s="7" t="inlineStr">
        <is>
          <t>cleaved</t>
        </is>
      </c>
      <c r="Q254" s="7" t="inlineStr"/>
      <c r="R254" s="7" t="inlineStr">
        <is>
          <t>silyl ethers (TMS, TES, TBS, TIPS, TBDPS) and C-silyl groups are cleaved, fastest for the least hindered (TMS ≫ TES &gt; TBS &gt; TIPS ≈ TBDPS); the alkoxide formed can act as a base and move acyl or silyl groups</t>
        </is>
      </c>
      <c r="S254" s="7" t="inlineStr">
        <is>
          <t>the Si–F bond (about 140 kcal/mol) is far stronger than Si–O</t>
        </is>
      </c>
      <c r="T254" s="7" t="n"/>
      <c r="U254" s="7" t="n"/>
      <c r="V254" s="7" t="inlineStr"/>
      <c r="W254" s="7" t="n"/>
      <c r="X254" s="7" t="n"/>
      <c r="Y254" s="7" t="n"/>
      <c r="Z254" s="7" t="n"/>
      <c r="AA254" s="7" t="n">
        <v>5118</v>
      </c>
      <c r="AB254" s="9" t="n">
        <v>0.0001</v>
      </c>
      <c r="AC254" s="9" t="n">
        <v>0.9782</v>
      </c>
      <c r="AD254" s="9" t="n">
        <v>0.2862</v>
      </c>
      <c r="AE254" s="7" t="inlineStr">
        <is>
          <t>5,144 (reaction, group) pairs with this reagent; alternatives counted: frag:F154; smiles:F. A group being consumed measures this effect only indirectly: the figures say how often the group reacts at all with this reagent</t>
        </is>
      </c>
      <c r="AF254" s="7" t="inlineStr">
        <is>
          <t>Greene, Protective Groups in Organic Synthesis</t>
        </is>
      </c>
    </row>
    <row r="255">
      <c r="A255" s="7" t="inlineStr">
        <is>
          <t>I252</t>
        </is>
      </c>
      <c r="B255" s="7" t="inlineStr">
        <is>
          <t>also-attacked-by-organometallic</t>
        </is>
      </c>
      <c r="C255" s="7" t="inlineStr">
        <is>
          <t>a Grignard or organolithium + an ester, nitrile, amide, acyl chloride, epoxide or carbonyl elsewhere in the molecule</t>
        </is>
      </c>
      <c r="D255" s="7" t="inlineStr">
        <is>
          <t>reagent + group</t>
        </is>
      </c>
      <c r="E255" s="7" t="inlineStr">
        <is>
          <t>incompatible group</t>
        </is>
      </c>
      <c r="F255" s="7" t="inlineStr">
        <is>
          <t>reagent + group</t>
        </is>
      </c>
      <c r="G255" s="7" t="inlineStr"/>
      <c r="H255" s="7" t="inlineStr"/>
      <c r="I255" s="7" t="inlineStr">
        <is>
          <t>frag:F029 | frag:F140 | frag:F141 | smiles:[CH3][Mg+] | smiles:C[CH2][Mg+] | smiles:[CH2-]CCC</t>
        </is>
      </c>
      <c r="J255" s="7" t="inlineStr">
        <is>
          <t>F004 ester | F022 nitrile | F191 aryl nitrile (Ar–C≡N: benzonitrile, cyanopyridine) | F021 amide | F184 tertiary amide (R–C(=O)–NR2: DMF, DMA, Weinreb amide, N-acylpiperidine, N-alkyl lactam) | F123 hydroxamic acid / hydroxamate (C(=O)–N–OH, C(=O)–N–OR; Weinreb amide) | F020 acyl chloride | F041 carboxylic anhydride | F023 epoxide | F018 aldehyde | F117 aromatic aldehyde (ArCHO) | F019 ketone | F116 aryl ketone (acetophenone, benzophenone: Ar–C(=O)–C) | F040 enone (α,β-unsaturated carbonyl) | F031 imine | F124 activated ester (N-hydroxysuccinimide, HOBt/HOAt, pentafluorophenyl, p-nitrophenyl ester) | F136 trifluoroacetyl (trifluoroacetic acid TFA, trifluoroacetamide, trifluoroacetate ester) | F121 imide (phthalimide, succinimide, glutarimide: C(=O)–N–C(=O))</t>
        </is>
      </c>
      <c r="K255" s="7" t="inlineStr">
        <is>
          <t>substrate</t>
        </is>
      </c>
      <c r="L255" s="7" t="inlineStr">
        <is>
          <t>bystander</t>
        </is>
      </c>
      <c r="M255" s="7" t="n">
        <v>1</v>
      </c>
      <c r="N255" s="7" t="inlineStr"/>
      <c r="O255" s="7" t="inlineStr">
        <is>
          <t>yes</t>
        </is>
      </c>
      <c r="P255" s="7" t="inlineStr">
        <is>
          <t>also_reacts</t>
        </is>
      </c>
      <c r="Q255" s="7" t="inlineStr"/>
      <c r="R255" s="7" t="inlineStr">
        <is>
          <t>also attacked: esters add twice (to the tertiary alcohol), acyl chlorides over-add, nitriles give ketones after hydrolysis, aldehydes and ketones add, epoxides open, enones take 1,2- or 1,4-addition; protect the group, use a more selective organometallic (organozinc, organocuprate), or use an acyl electrophile that stops at the ketone (Weinreb amide). In the recorded reactions an ester is consumed about as often with a Grignard as with other reagents: chemists choose conditions that spare it, or it is the target</t>
        </is>
      </c>
      <c r="S255" s="7" t="inlineStr">
        <is>
          <t>carbon nucleophiles of this strength attack every electrophilic carbonyl-type carbon</t>
        </is>
      </c>
      <c r="T255" s="7" t="n"/>
      <c r="U255" s="7" t="n"/>
      <c r="V255" s="7" t="inlineStr"/>
      <c r="W255" s="7" t="n"/>
      <c r="X255" s="7" t="n"/>
      <c r="Y255" s="7" t="n"/>
      <c r="Z255" s="7" t="n"/>
      <c r="AA255" s="7" t="n">
        <v>13060</v>
      </c>
      <c r="AB255" s="9" t="n">
        <v>0.0051</v>
      </c>
      <c r="AC255" s="9" t="n">
        <v>0.7054</v>
      </c>
      <c r="AD255" s="9" t="n">
        <v>0.423</v>
      </c>
      <c r="AE255" s="7" t="inlineStr">
        <is>
          <t>24,956 (reaction, group) pairs with this reagent; alternatives counted: frag:F029; frag:F140; frag:F141; smiles:[CH3][Mg+]; smiles:C[CH2][Mg+]; smiles:[CH2-]CCC</t>
        </is>
      </c>
      <c r="AF255" s="7" t="inlineStr">
        <is>
          <t>Clayden, Organic Chemistry (organometallics)</t>
        </is>
      </c>
    </row>
    <row r="256">
      <c r="A256" s="7" t="inlineStr">
        <is>
          <t>I253</t>
        </is>
      </c>
      <c r="B256" s="7" t="inlineStr">
        <is>
          <t>halogen-metal-exchange</t>
        </is>
      </c>
      <c r="C256" s="7" t="inlineStr">
        <is>
          <t>n-BuLi, s-BuLi, t-BuLi or iPrMgCl / iPrMgBr + an aryl bromide / iodide or a vinyl halide</t>
        </is>
      </c>
      <c r="D256" s="7" t="inlineStr">
        <is>
          <t>reagent + group</t>
        </is>
      </c>
      <c r="E256" s="7" t="inlineStr">
        <is>
          <t>incompatible group</t>
        </is>
      </c>
      <c r="F256" s="7" t="inlineStr">
        <is>
          <t>reagent + group</t>
        </is>
      </c>
      <c r="G256" s="7" t="inlineStr"/>
      <c r="H256" s="7" t="inlineStr"/>
      <c r="I256" s="7" t="inlineStr">
        <is>
          <t>smiles:[Li][CH2]CCC | smiles:[Li][C](C)(C)C | smiles:[Li][CH](C)CC | smiles:C[CH](C)[Mg][Cl] | smiles:C[CH](C)[Mg][Br]</t>
        </is>
      </c>
      <c r="J256" s="7" t="inlineStr">
        <is>
          <t>F084 aryl iodide (Ar–I, incl. heteroaryl iodides) | F013 aryl bromide | F087 vinyl / alkynyl halide (alkenyl Br/Cl/I, α-/β-halo enone, 1-bromoalkyne) | F012 alkyl iodide | F171 aryl bromide next to a ring N (2-bromopyridine, 2-bromothiazole)</t>
        </is>
      </c>
      <c r="K256" s="7" t="inlineStr">
        <is>
          <t>substrate</t>
        </is>
      </c>
      <c r="L256" s="7" t="inlineStr">
        <is>
          <t>bystander</t>
        </is>
      </c>
      <c r="M256" s="7" t="n">
        <v>1</v>
      </c>
      <c r="N256" s="7" t="inlineStr"/>
      <c r="O256" s="7" t="inlineStr">
        <is>
          <t>yes</t>
        </is>
      </c>
      <c r="P256" s="7" t="inlineStr">
        <is>
          <t>also_reacts</t>
        </is>
      </c>
      <c r="Q256" s="7" t="inlineStr"/>
      <c r="R256" s="7" t="inlineStr">
        <is>
          <t>halogen–metal exchange: n-BuLi, t-BuLi and iPrMgCl swap with aryl iodides and bromides (and vinyl halides) at −78 °C faster than they add to an ester or nitrile or deprotonate; aldehydes and ketones are still attacked first; the new organometallic then reacts with whatever electrophile is present (aryl chlorides do not exchange)</t>
        </is>
      </c>
      <c r="S256" s="7" t="inlineStr">
        <is>
          <t>the exchange is fast and favours the more stabilised carbanion (sp2 over sp3)</t>
        </is>
      </c>
      <c r="T256" s="7" t="n"/>
      <c r="U256" s="7" t="n"/>
      <c r="V256" s="7" t="inlineStr"/>
      <c r="W256" s="7" t="n"/>
      <c r="X256" s="7" t="n"/>
      <c r="Y256" s="7" t="n"/>
      <c r="Z256" s="7" t="n"/>
      <c r="AA256" s="7" t="n">
        <v>7453</v>
      </c>
      <c r="AB256" s="9" t="n">
        <v>0.0008</v>
      </c>
      <c r="AC256" s="9" t="n">
        <v>0.8923</v>
      </c>
      <c r="AD256" s="9" t="n">
        <v>0.5894</v>
      </c>
      <c r="AE256" s="7" t="inlineStr">
        <is>
          <t>8,632 (reaction, group) pairs with this reagent; alternatives counted: smiles:[Li][CH2]CCC; smiles:[Li][C](C)(C)C; smiles:[Li][CH](C)CC; smiles:C[CH](C)[Mg][Cl]; smiles:C[CH](C)[Mg][Br]</t>
        </is>
      </c>
      <c r="AF256" s="7" t="inlineStr">
        <is>
          <t>Clayden, Organic Chemistry (organolithiums)</t>
        </is>
      </c>
    </row>
    <row r="257">
      <c r="A257" s="7" t="inlineStr">
        <is>
          <t>I254</t>
        </is>
      </c>
      <c r="B257" s="7" t="inlineStr">
        <is>
          <t>epimerised-by-base</t>
        </is>
      </c>
      <c r="C257" s="7" t="inlineStr">
        <is>
          <t>a strong base + an α-amino acid derivative</t>
        </is>
      </c>
      <c r="D257" s="7" t="inlineStr">
        <is>
          <t>reagent + group</t>
        </is>
      </c>
      <c r="E257" s="7" t="inlineStr">
        <is>
          <t>stereochemistry</t>
        </is>
      </c>
      <c r="F257" s="7" t="inlineStr">
        <is>
          <t>reagent + group</t>
        </is>
      </c>
      <c r="G257" s="7" t="inlineStr"/>
      <c r="H257" s="7" t="inlineStr"/>
      <c r="I257" s="7" t="inlineStr">
        <is>
          <t>frag:F060 + not:smiles:CCOC([O-])[O-] + not:smiles:COC([O-])[O-] | smiles:[Li][OH] | smiles:CC(C)(C)[O][K] | smiles:CC(C)(C)[O][Na] | smiles:C[O][Na] | smiles:C[Si](C)(C)[O-] | smiles:C[Si](C)(C)[O][K] | frag:F142 | frag:F143 | frag:F140 | frag:F029 | frag:F141 | smiles:[NH2-] | smiles:[Li][N]([Si](C)(C)C)[Si](C)(C)C</t>
        </is>
      </c>
      <c r="J257" s="7" t="inlineStr">
        <is>
          <t>F119 α-amino acid / N-protected α-amino acid (N–CH–CO2H)</t>
        </is>
      </c>
      <c r="K257" s="7" t="inlineStr">
        <is>
          <t>substrate</t>
        </is>
      </c>
      <c r="L257" s="7" t="inlineStr">
        <is>
          <t>bystander</t>
        </is>
      </c>
      <c r="M257" s="7" t="n">
        <v>1</v>
      </c>
      <c r="N257" s="7" t="inlineStr"/>
      <c r="O257" s="7" t="inlineStr">
        <is>
          <t>no</t>
        </is>
      </c>
      <c r="P257" s="7" t="inlineStr">
        <is>
          <t>epimerises</t>
        </is>
      </c>
      <c r="Q257" s="7" t="inlineStr"/>
      <c r="R257" s="7" t="inlineStr">
        <is>
          <t>epimerisation: a base that can remove the α C–H racemises or epimerises the stereocentre through the enolate (amino acid esters and amides first; α-aryl ketones and esters too); use a hindered or weaker base, a lower temperature or a shorter time. Knowledge only: the page does not test it, because the fragments cannot tell whether the α carbon is a stereocentre (F119 finds the free acid, which a base turns into a carboxylate that does not enolise)</t>
        </is>
      </c>
      <c r="S257" s="7" t="inlineStr">
        <is>
          <t>enolisation is fast when the α C–H pKa is below the pKaH of the base</t>
        </is>
      </c>
      <c r="T257" s="7" t="n"/>
      <c r="U257" s="7" t="n"/>
      <c r="V257" s="7" t="inlineStr"/>
      <c r="W257" s="7" t="n"/>
      <c r="X257" s="7" t="n"/>
      <c r="Y257" s="7" t="n"/>
      <c r="Z257" s="7" t="n"/>
      <c r="AA257" s="7" t="n">
        <v>1791</v>
      </c>
      <c r="AB257" s="9" t="n">
        <v>0.0012</v>
      </c>
      <c r="AC257" s="9" t="n">
        <v>0.2764</v>
      </c>
      <c r="AD257" s="9" t="n">
        <v>0.7943</v>
      </c>
      <c r="AE257" s="7" t="inlineStr">
        <is>
          <t>1,791 (reaction, group) pairs with this reagent; alternatives counted: frag:F060 + not:smiles:CCOC([O-])[O-] + not:smiles:COC([O-])[O-]; smiles:[Li][OH]; smiles:CC(C)(C)[O][K]; smiles:CC(C)(C)[O][Na]; smiles:C[O][Na]; smiles:C[Si](C)(C)[O-]; smiles:C[Si](C)(C)[O][K]; frag:F142; frag:F143; frag:F140; frag:F029; frag:F141; smiles:[NH2-]; smiles:[Li][N]([Si](C)(C)C)[Si](C)(C)C. A group being consumed measures this effect only indirectly: the figures say how often the group reacts at all with this reagent</t>
        </is>
      </c>
      <c r="AF257" s="7" t="inlineStr">
        <is>
          <t>Clayden, Organic Chemistry</t>
        </is>
      </c>
    </row>
    <row r="258">
      <c r="A258" s="7" t="inlineStr">
        <is>
          <t>I255</t>
        </is>
      </c>
      <c r="B258" s="7" t="inlineStr">
        <is>
          <t>protic-solvent-slows-SN2</t>
        </is>
      </c>
      <c r="C258" s="7" t="inlineStr">
        <is>
          <t>a protic solvent (water, alcohols) with an anionic nucleophile</t>
        </is>
      </c>
      <c r="D258" s="7" t="inlineStr">
        <is>
          <t>reagent + group</t>
        </is>
      </c>
      <c r="E258" s="7" t="inlineStr">
        <is>
          <t>medium</t>
        </is>
      </c>
      <c r="F258" s="7" t="inlineStr">
        <is>
          <t>reagent + group</t>
        </is>
      </c>
      <c r="G258" s="7" t="inlineStr"/>
      <c r="H258" s="7" t="inlineStr"/>
      <c r="I258" s="7" t="inlineStr">
        <is>
          <t>solvent:protic + frag:F153 | solvent:protic + frag:F155 | solvent:protic + frag:F061 | solvent:protic + frag:F060</t>
        </is>
      </c>
      <c r="J258" s="7" t="inlineStr">
        <is>
          <t>F010 alkyl bromide | F011 alkyl chloride | F012 alkyl iodide | F043 methyl halide | F044 alkyl halide (1°) | F045 alkyl halide (2°)</t>
        </is>
      </c>
      <c r="K258" s="7" t="inlineStr">
        <is>
          <t>substrate</t>
        </is>
      </c>
      <c r="L258" s="7" t="inlineStr">
        <is>
          <t>both</t>
        </is>
      </c>
      <c r="M258" s="7" t="n">
        <v>1</v>
      </c>
      <c r="N258" s="7" t="inlineStr">
        <is>
          <t>solvent</t>
        </is>
      </c>
      <c r="O258" s="7" t="inlineStr">
        <is>
          <t>yes</t>
        </is>
      </c>
      <c r="P258" s="7" t="inlineStr">
        <is>
          <t>slows</t>
        </is>
      </c>
      <c r="Q258" s="7" t="inlineStr"/>
      <c r="R258" s="7" t="inlineStr">
        <is>
          <t>SN2 with anionic nucleophiles (halide, azide, cyanide, hydroxide, alkoxide) is slower in protic solvents (hydrogen-bonded nucleophile: 10^3–10^5 slower than in DMF, DMSO or acetone); SN1 and solvolysis are favoured</t>
        </is>
      </c>
      <c r="S258" s="7" t="inlineStr">
        <is>
          <t>protic solvents solvate small anions strongly</t>
        </is>
      </c>
      <c r="T258" s="7" t="n"/>
      <c r="U258" s="7" t="n"/>
      <c r="V258" s="7" t="inlineStr"/>
      <c r="W258" s="7" t="n"/>
      <c r="X258" s="7" t="n"/>
      <c r="Y258" s="7" t="n"/>
      <c r="Z258" s="7" t="n"/>
      <c r="AA258" s="7" t="n"/>
      <c r="AB258" s="7" t="n"/>
      <c r="AC258" s="7" t="n"/>
      <c r="AD258" s="7" t="n"/>
      <c r="AE258" s="7" t="inlineStr">
        <is>
          <t>its reagent side names a solvent type: the recorded conditions are not in the feature table</t>
        </is>
      </c>
      <c r="AF258" s="7" t="inlineStr">
        <is>
          <t>Clayden, Organic Chemistry (SN1 / SN2)</t>
        </is>
      </c>
    </row>
    <row r="259">
      <c r="A259" s="7" t="inlineStr">
        <is>
          <t>I256</t>
        </is>
      </c>
      <c r="B259" s="7" t="inlineStr">
        <is>
          <t>water-destroys-reagent</t>
        </is>
      </c>
      <c r="C259" s="7" t="inlineStr">
        <is>
          <t>water or a protic solvent with an acyl chloride, anhydride, organometallic or hydride</t>
        </is>
      </c>
      <c r="D259" s="7" t="inlineStr">
        <is>
          <t>reagent + group</t>
        </is>
      </c>
      <c r="E259" s="7" t="inlineStr">
        <is>
          <t>medium</t>
        </is>
      </c>
      <c r="F259" s="7" t="inlineStr">
        <is>
          <t>reagent + group</t>
        </is>
      </c>
      <c r="G259" s="7" t="inlineStr"/>
      <c r="H259" s="7" t="inlineStr"/>
      <c r="I259" s="7" t="inlineStr">
        <is>
          <t>solvent:protic</t>
        </is>
      </c>
      <c r="J259" s="7" t="inlineStr">
        <is>
          <t>F029 Grignard (C–MgBr) | F140 organolithium (R–Li: n-BuLi, s-BuLi, t-BuLi, MeLi, PhLi) | F141 Grignard reagent, chloride / iodide (R–MgCl, R–MgI: MeMgCl, iPrMgCl) | F042 aluminium hydride (LiAlH4) | F143 metal hydride (H⁻: NaH, KH, CaH2) | F145 alkylaluminium hydride (DIBAL-H, Red-Al) | F020 acyl chloride | F041 carboxylic anhydride | F124 activated ester (N-hydroxysuccinimide, HOBt/HOAt, pentafluorophenyl, p-nitrophenyl ester)</t>
        </is>
      </c>
      <c r="K259" s="7" t="inlineStr">
        <is>
          <t>both</t>
        </is>
      </c>
      <c r="L259" s="7" t="inlineStr">
        <is>
          <t>both</t>
        </is>
      </c>
      <c r="M259" s="7" t="n">
        <v>1</v>
      </c>
      <c r="N259" s="7" t="inlineStr">
        <is>
          <t>solvent</t>
        </is>
      </c>
      <c r="O259" s="7" t="inlineStr">
        <is>
          <t>yes</t>
        </is>
      </c>
      <c r="P259" s="7" t="inlineStr">
        <is>
          <t>quenches</t>
        </is>
      </c>
      <c r="Q259" s="7" t="inlineStr"/>
      <c r="R259" s="7" t="inlineStr">
        <is>
          <t>hydrolysed or quenched: acyl chlorides and anhydrides are hydrolysed, Grignards, organolithiums and hydrides destroyed; use an anhydrous aprotic solvent (THF, ether, DCM) under inert gas</t>
        </is>
      </c>
      <c r="S259" s="7" t="inlineStr">
        <is>
          <t>these reagents react faster with water than with most organic substrates</t>
        </is>
      </c>
      <c r="T259" s="7" t="n"/>
      <c r="U259" s="7" t="n"/>
      <c r="V259" s="7" t="inlineStr"/>
      <c r="W259" s="7" t="n"/>
      <c r="X259" s="7" t="n"/>
      <c r="Y259" s="7" t="n"/>
      <c r="Z259" s="7" t="n"/>
      <c r="AA259" s="7" t="n"/>
      <c r="AB259" s="7" t="n"/>
      <c r="AC259" s="7" t="n"/>
      <c r="AD259" s="7" t="n"/>
      <c r="AE259" s="7" t="inlineStr">
        <is>
          <t>its reagent side names a solvent type: the recorded conditions are not in the feature table</t>
        </is>
      </c>
      <c r="AF259" s="7" t="inlineStr">
        <is>
          <t>Fragment_Conditions (F020, F029, F042)</t>
        </is>
      </c>
    </row>
    <row r="260">
      <c r="A260" s="7" t="inlineStr">
        <is>
          <t>I257</t>
        </is>
      </c>
      <c r="B260" s="7" t="inlineStr">
        <is>
          <t>leaving-group-order</t>
        </is>
      </c>
      <c r="C260" s="7" t="inlineStr">
        <is>
          <t>several leaving groups in one molecule</t>
        </is>
      </c>
      <c r="D260" s="7" t="inlineStr">
        <is>
          <t>reagent + group</t>
        </is>
      </c>
      <c r="E260" s="7" t="inlineStr">
        <is>
          <t>leaving group</t>
        </is>
      </c>
      <c r="F260" s="7" t="inlineStr">
        <is>
          <t>reagent + group</t>
        </is>
      </c>
      <c r="G260" s="7" t="inlineStr"/>
      <c r="H260" s="7" t="inlineStr"/>
      <c r="I260" s="7" t="inlineStr"/>
      <c r="J260" s="7" t="inlineStr">
        <is>
          <t>F010 alkyl bromide | F011 alkyl chloride | F012 alkyl iodide | F013 aryl bromide | F047 aryl chloride | F084 aryl iodide (Ar–I, incl. heteroaryl iodides) | F065 aryl / enol sulfonate ester (Ar–OTf, vinyl-OTf, Ar–OMs, Ar–OTs) | F066 alkyl sulfonate / sulfate ester (R–OMs, R–OTs, R–OTf, Me2SO4, cyclic sulfamidate) | F087 vinyl / alkynyl halide (alkenyl Br/Cl/I, α-/β-halo enone, 1-bromoalkyne) | F085 aryl fluoride, SNAr-activated (o/p-EWG or ring N)</t>
        </is>
      </c>
      <c r="K260" s="7" t="inlineStr">
        <is>
          <t>substrate</t>
        </is>
      </c>
      <c r="L260" s="7" t="inlineStr">
        <is>
          <t>both</t>
        </is>
      </c>
      <c r="M260" s="7" t="n">
        <v>2</v>
      </c>
      <c r="N260" s="7" t="inlineStr"/>
      <c r="O260" s="7" t="inlineStr">
        <is>
          <t>yes</t>
        </is>
      </c>
      <c r="P260" s="7" t="inlineStr">
        <is>
          <t>competes</t>
        </is>
      </c>
      <c r="Q260" s="7" t="inlineStr"/>
      <c r="R260" s="7" t="inlineStr">
        <is>
          <t>which one goes first: Pd / Ni / Cu couplings follow I &gt; Br ≈ OTf &gt; Cl ≫ F (oxidative addition); SN2 follows OTf ≫ I &gt; Br ≈ OTs &gt; Cl ≫ F; SNAr, when addition is rate-limiting, follows F &gt; Cl ≈ Br &gt; I and is helped by ortho / para electron-withdrawing groups and ring nitrogens. With several leaving groups in one molecule the best one for that mechanism reacts first</t>
        </is>
      </c>
      <c r="S260" s="7" t="inlineStr">
        <is>
          <t>bond strength and the stability of the leaving anion (pKa of HX: HI −10, HBr −9, HCl −7, HF 3.2)</t>
        </is>
      </c>
      <c r="T260" s="7" t="n"/>
      <c r="U260" s="7" t="n"/>
      <c r="V260" s="7" t="inlineStr"/>
      <c r="W260" s="7" t="n"/>
      <c r="X260" s="7" t="n"/>
      <c r="Y260" s="7" t="n"/>
      <c r="Z260" s="7" t="n"/>
      <c r="AA260" s="7" t="n"/>
      <c r="AB260" s="7" t="n"/>
      <c r="AC260" s="7" t="n"/>
      <c r="AD260" s="7" t="n"/>
      <c r="AE260" s="7" t="inlineStr"/>
      <c r="AF260" s="7" t="inlineStr">
        <is>
          <t>Clayden, Organic Chemistry</t>
        </is>
      </c>
    </row>
    <row r="261">
      <c r="A261" s="7" t="inlineStr">
        <is>
          <t>I258</t>
        </is>
      </c>
      <c r="B261" s="7" t="inlineStr">
        <is>
          <t>weak-base-for-the-acid</t>
        </is>
      </c>
      <c r="C261" s="7" t="inlineStr">
        <is>
          <t>a base weaker than the proton it should remove</t>
        </is>
      </c>
      <c r="D261" s="7" t="inlineStr">
        <is>
          <t>reagent + group</t>
        </is>
      </c>
      <c r="E261" s="7" t="inlineStr">
        <is>
          <t>reagent strength</t>
        </is>
      </c>
      <c r="F261" s="7" t="inlineStr">
        <is>
          <t>reagent + group</t>
        </is>
      </c>
      <c r="G261" s="7" t="inlineStr"/>
      <c r="H261" s="7" t="inlineStr"/>
      <c r="I261" s="7" t="inlineStr">
        <is>
          <t>role:base</t>
        </is>
      </c>
      <c r="J261" s="7" t="inlineStr">
        <is>
          <t>F101 enolisable α-C–H (α to ketone, aldehyde, ester, nitrile or sulfone) | F102 active methylene CH2 (1,3-dicarbonyl, malonate, β-keto ester, cyanoacetate, malononitrile) | F003 alcohol (1°) | F014 alcohol (on sp3 C) | F028 phenol | F001 carboxylic acid | F008 alkyne, terminal (C≡C–H) | F095 amide / lactam / carbamate / urea / imide N–H | F192 α-C–H of a ketone (R–CO–CH: pKa ≈ 19–20; aldol, enolate alkylation, α-halogenation) | F193 α-C–H of an ester or lactone (pKa ≈ 25; needs LDA/NaH-strength base)</t>
        </is>
      </c>
      <c r="K261" s="7" t="inlineStr">
        <is>
          <t>substrate</t>
        </is>
      </c>
      <c r="L261" s="7" t="inlineStr">
        <is>
          <t>bystander</t>
        </is>
      </c>
      <c r="M261" s="7" t="n">
        <v>1</v>
      </c>
      <c r="N261" s="7" t="inlineStr"/>
      <c r="O261" s="7" t="inlineStr">
        <is>
          <t>no</t>
        </is>
      </c>
      <c r="P261" s="7" t="inlineStr">
        <is>
          <t>slows</t>
        </is>
      </c>
      <c r="Q261" s="7" t="inlineStr"/>
      <c r="R261" s="7" t="inlineStr">
        <is>
          <t>little or no reaction when the pKaH of the base is more than 3–5 units below the pKa of the proton: K2CO3 (pKaH 10.3) deprotonates phenols and acids but not alcohols or ketones (use NaH, KOt-Bu or LDA); Et3N (10.8) does not deprotonate amides</t>
        </is>
      </c>
      <c r="S261" s="7" t="inlineStr">
        <is>
          <t>ΔpKa sets the equilibrium (K = 10^ΔpKa); a catalytic amount of the anion is enough when the next step is fast</t>
        </is>
      </c>
      <c r="T261" s="7" t="n"/>
      <c r="U261" s="7" t="n"/>
      <c r="V261" s="7" t="inlineStr"/>
      <c r="W261" s="7" t="n"/>
      <c r="X261" s="7" t="n"/>
      <c r="Y261" s="7" t="n"/>
      <c r="Z261" s="7" t="n"/>
      <c r="AA261" s="7" t="n">
        <v>327930</v>
      </c>
      <c r="AB261" s="9" t="n">
        <v>0.1602</v>
      </c>
      <c r="AC261" s="9" t="n">
        <v>0.5588</v>
      </c>
      <c r="AD261" s="9" t="n">
        <v>0.542</v>
      </c>
      <c r="AE261" s="7" t="inlineStr">
        <is>
          <t>570,886 (reaction, group) pairs with this reagent; alternatives counted: role:base. A group being consumed measures this effect only indirectly: the figures say how often the group reacts at all with this reagent</t>
        </is>
      </c>
      <c r="AF261" s="7" t="inlineStr">
        <is>
          <t>Acids_Bases sheet; Evans pKa table</t>
        </is>
      </c>
    </row>
    <row r="262">
      <c r="A262" s="7" t="inlineStr">
        <is>
          <t>I259</t>
        </is>
      </c>
      <c r="B262" s="7" t="inlineStr">
        <is>
          <t>temperature-selectivity</t>
        </is>
      </c>
      <c r="C262" s="7" t="inlineStr">
        <is>
          <t>temperature, time and equivalents</t>
        </is>
      </c>
      <c r="D262" s="7" t="inlineStr">
        <is>
          <t>reagent + group</t>
        </is>
      </c>
      <c r="E262" s="7" t="inlineStr">
        <is>
          <t>medium</t>
        </is>
      </c>
      <c r="F262" s="7" t="inlineStr">
        <is>
          <t>reagent + group</t>
        </is>
      </c>
      <c r="G262" s="7" t="inlineStr"/>
      <c r="H262" s="7" t="inlineStr"/>
      <c r="I262" s="7" t="inlineStr"/>
      <c r="J262" s="7" t="inlineStr"/>
      <c r="K262" s="7" t="inlineStr">
        <is>
          <t>substrate</t>
        </is>
      </c>
      <c r="L262" s="7" t="inlineStr">
        <is>
          <t>bystander</t>
        </is>
      </c>
      <c r="M262" s="7" t="n">
        <v>1</v>
      </c>
      <c r="N262" s="7" t="inlineStr">
        <is>
          <t>conditions</t>
        </is>
      </c>
      <c r="O262" s="7" t="inlineStr">
        <is>
          <t>no</t>
        </is>
      </c>
      <c r="P262" s="7" t="inlineStr">
        <is>
          <t>redirects</t>
        </is>
      </c>
      <c r="Q262" s="7" t="inlineStr"/>
      <c r="R262" s="7" t="inlineStr">
        <is>
          <t>kinetic against thermodynamic control: low temperature and short times give the faster product (the less substituted enolate, the 1,2-adduct, ortho substitution), heat and long times the more stable one (the more substituted enolate, the 1,4-adduct, para, rearranged); equivalents decide mono- against bis-reaction</t>
        </is>
      </c>
      <c r="S262" s="7" t="inlineStr">
        <is>
          <t>the recorded reactions list the solvent only; temperature, time and amounts are not in the learned data, so this interference is advisory</t>
        </is>
      </c>
      <c r="T262" s="7" t="n"/>
      <c r="U262" s="7" t="n"/>
      <c r="V262" s="7" t="inlineStr"/>
      <c r="W262" s="7" t="n"/>
      <c r="X262" s="7" t="n"/>
      <c r="Y262" s="7" t="n"/>
      <c r="Z262" s="7" t="n"/>
      <c r="AA262" s="7" t="n"/>
      <c r="AB262" s="7" t="n"/>
      <c r="AC262" s="7" t="n"/>
      <c r="AD262" s="7" t="n"/>
      <c r="AE262" s="7" t="inlineStr">
        <is>
          <t>not a reagent-and-group pair: a property of the data or of the conditions the records lack</t>
        </is>
      </c>
      <c r="AF262" s="7" t="inlineStr">
        <is>
          <t>Clayden, Organic Chemistry</t>
        </is>
      </c>
    </row>
    <row r="263">
      <c r="A263" s="7" t="inlineStr">
        <is>
          <t>I260</t>
        </is>
      </c>
      <c r="B263" s="7" t="inlineStr">
        <is>
          <t>data-support-size</t>
        </is>
      </c>
      <c r="C263" s="7" t="inlineStr">
        <is>
          <t>starting materials with fewer than 8 heavy atoms</t>
        </is>
      </c>
      <c r="D263" s="7" t="inlineStr">
        <is>
          <t>reagent + group</t>
        </is>
      </c>
      <c r="E263" s="7" t="inlineStr">
        <is>
          <t>data support</t>
        </is>
      </c>
      <c r="F263" s="7" t="inlineStr">
        <is>
          <t>reagent + group</t>
        </is>
      </c>
      <c r="G263" s="7" t="inlineStr"/>
      <c r="H263" s="7" t="inlineStr"/>
      <c r="I263" s="7" t="inlineStr"/>
      <c r="J263" s="7" t="inlineStr"/>
      <c r="K263" s="7" t="inlineStr">
        <is>
          <t>substrate</t>
        </is>
      </c>
      <c r="L263" s="7" t="inlineStr">
        <is>
          <t>bystander</t>
        </is>
      </c>
      <c r="M263" s="7" t="n">
        <v>1</v>
      </c>
      <c r="N263" s="7" t="inlineStr">
        <is>
          <t>size</t>
        </is>
      </c>
      <c r="O263" s="7" t="inlineStr">
        <is>
          <t>no</t>
        </is>
      </c>
      <c r="P263" s="7" t="inlineStr">
        <is>
          <t>unreliable</t>
        </is>
      </c>
      <c r="Q263" s="7" t="inlineStr"/>
      <c r="R263" s="7" t="inlineStr">
        <is>
          <t>the learned predictor was built from patent reactions and has seen almost none this small, so no figure can say how far to trust it there and the page predicts nothing. Measured on 12,000 held-out reactions: 5 had fewer than 8 heavy atoms (too few to measure anything), and starting materials of 8–11 heavy atoms got a right first answer 67 % of the time against a stated chance of 68 %.</t>
        </is>
      </c>
      <c r="S263" s="7" t="inlineStr">
        <is>
          <t>a model can only be as good as the molecules it saw</t>
        </is>
      </c>
      <c r="T263" s="7" t="n"/>
      <c r="U263" s="7" t="n"/>
      <c r="V263" s="7" t="inlineStr"/>
      <c r="W263" s="7" t="n"/>
      <c r="X263" s="7" t="n"/>
      <c r="Y263" s="7" t="n"/>
      <c r="Z263" s="7" t="n"/>
      <c r="AA263" s="7" t="n"/>
      <c r="AB263" s="7" t="n"/>
      <c r="AC263" s="7" t="n"/>
      <c r="AD263" s="7" t="n"/>
      <c r="AE263" s="7" t="inlineStr">
        <is>
          <t>not a reagent-and-group pair: a property of the data or of the conditions the records lack</t>
        </is>
      </c>
      <c r="AF263" s="7" t="inlineStr">
        <is>
          <t>tools/eval_top1.json by_size</t>
        </is>
      </c>
    </row>
    <row r="264">
      <c r="A264" s="7" t="inlineStr">
        <is>
          <t>I261</t>
        </is>
      </c>
      <c r="B264" s="7" t="inlineStr">
        <is>
          <t>data-support-reagent-role</t>
        </is>
      </c>
      <c r="C264" s="7" t="inlineStr">
        <is>
          <t>a reagent with no reactive role in the Reagents sheet</t>
        </is>
      </c>
      <c r="D264" s="7" t="inlineStr">
        <is>
          <t>reagent + group</t>
        </is>
      </c>
      <c r="E264" s="7" t="inlineStr">
        <is>
          <t>data support</t>
        </is>
      </c>
      <c r="F264" s="7" t="inlineStr">
        <is>
          <t>reagent + group</t>
        </is>
      </c>
      <c r="G264" s="7" t="inlineStr"/>
      <c r="H264" s="7" t="inlineStr"/>
      <c r="I264" s="7" t="inlineStr"/>
      <c r="J264" s="7" t="inlineStr"/>
      <c r="K264" s="7" t="inlineStr">
        <is>
          <t>substrate</t>
        </is>
      </c>
      <c r="L264" s="7" t="inlineStr">
        <is>
          <t>bystander</t>
        </is>
      </c>
      <c r="M264" s="7" t="n">
        <v>1</v>
      </c>
      <c r="N264" s="7" t="inlineStr">
        <is>
          <t>reagent</t>
        </is>
      </c>
      <c r="O264" s="7" t="inlineStr">
        <is>
          <t>no</t>
        </is>
      </c>
      <c r="P264" s="7" t="inlineStr">
        <is>
          <t>unreliable</t>
        </is>
      </c>
      <c r="Q264" s="7" t="inlineStr"/>
      <c r="R264" s="7" t="inlineStr">
        <is>
          <t>spectator ions, solvents and parts the sheet does not list tell the model nothing about what the reagent does, so the page asks for a higher stated chance of being right before it shows an answer. Measured: reactions whose reagent has no reactive role in the Reagents sheet got a right first answer 45 % of the time overall; the page shows an answer for them only at a stated chance of 85 %, and the answers it shows were right 91 % of the time.</t>
        </is>
      </c>
      <c r="S264" s="7" t="inlineStr">
        <is>
          <t>measured on held-out patents</t>
        </is>
      </c>
      <c r="T264" s="7" t="n"/>
      <c r="U264" s="7" t="n"/>
      <c r="V264" s="7" t="inlineStr"/>
      <c r="W264" s="7" t="n"/>
      <c r="X264" s="7" t="n"/>
      <c r="Y264" s="7" t="n"/>
      <c r="Z264" s="7" t="n"/>
      <c r="AA264" s="7" t="n"/>
      <c r="AB264" s="7" t="n"/>
      <c r="AC264" s="7" t="n"/>
      <c r="AD264" s="7" t="n"/>
      <c r="AE264" s="7" t="inlineStr">
        <is>
          <t>not a reagent-and-group pair: a property of the data or of the conditions the records lack</t>
        </is>
      </c>
      <c r="AF264" s="7" t="inlineStr">
        <is>
          <t>tools/eval_top1.json by_reagent</t>
        </is>
      </c>
    </row>
  </sheetData>
  <autoFilter ref="A1:AF26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'reactants&gt;reagents&gt;products | conc=&lt;strength&gt; | cond=&lt;conditions&gt;'. The first word is an ordinary reaction SMILES that RDKit and other chemistry programs read as it stands; the molecule parts are RDKit canonical SMILES, in the SMILES-line order, so the same reaction always gives the same code. After a space come what a reaction SMILES cannot say: conc= the reagent's strength (37%w/w, 2M, conc, dil) and cond= the conditions box's comma list. The Reactions page shows the code in the bar at the top, and a code pasted there (Enter) fills the page; the old form 'starting materials~reagent~conditions~products' is still read there.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(F043 methyl, F044 1°, F045 2°, F046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F019, ΔpKa ≥ -5' = the base's conjugate acid pKa minus the pKa of F019's most acidic H must be at least -5 (K ≥ 10^-5; a small equilibrium amount is enough for a catalytic step). 'acid: F001,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row r="25">
      <c r="A25" s="7" t="inlineStr">
        <is>
          <t>Interferences: things that make a template go faster, slower, elsewhere or not at all, to be cross-referenced with the templates when the program decides WHERE a reaction happens (regioselectivity) and WHICH group reacts (chemoselectivity). A SITE row has a Pattern: a SMARTS whose first atom is the atom the template changes (an ortho nitro group on the ring carbon that reacts, a branch on the carbon that is attacked). The page runs a learned template with its changed atoms marked (isotope 900 on the product side) and tests the pattern at the marked atoms; [!900*] in a pattern is an atom the reaction leaves alone. The patterns are tested on the PRODUCT, so they describe what the reaction leaves in place around the atoms it changed. An ADVISORY row has a Reagent side (a fragment found in a reagent part, a reagent as typed in the Reagents sheet, a role, or a solvent type; "+" = all of them, "|" = any alternative) and Groups (fragment IDs): when the reagent is used and one of the groups is present in the starting materials but is not what the product consumed, the page says what the reagent also does to it (a Grignard is quenched by an O–H, LiAlH4 also reduces an ester, Pd/H2 also cleaves a benzyl ether). The learned columns are measured on the recorded reactions (tools/int_train.py, tools/int_evidence.py) and rewritten by tools/add_interferences.py; the effect, why and source columns are written from textbooks. The data are positive-only (a record shows what happened, never what failed), so a site weight is learned only where a template could have reacted at several sites and the recorded product shows which one won. To add an interference: add a row (new Key), run tools/rules_to_js.py, and re-learn the weights with tools/int_train.py if it is a site pattern.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2026-10-06T16:14:28Z</dcterms:created>
  <dcterms:modified xmlns:dcterms="http://purl.org/dc/terms/" xmlns:xsi="http://www.w3.org/2001/XMLSchema-instance" xsi:type="dcterms:W3CDTF">2026-10-12T23:07:04Z</dcterms:modified>
</cp:coreProperties>
</file>
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ctions" sheetId="1" state="visible" r:id="rId1"/>
    <sheet xmlns:r="http://schemas.openxmlformats.org/officeDocument/2006/relationships" name="Mechanism" sheetId="2" state="visible" r:id="rId2"/>
    <sheet xmlns:r="http://schemas.openxmlformats.org/officeDocument/2006/relationships" name="Conditions" sheetId="3" state="visible" r:id="rId3"/>
    <sheet xmlns:r="http://schemas.openxmlformats.org/officeDocument/2006/relationships" name="Solvents" sheetId="4" state="visible" r:id="rId4"/>
    <sheet xmlns:r="http://schemas.openxmlformats.org/officeDocument/2006/relationships" name="Nucleophiles" sheetId="5" state="visible" r:id="rId5"/>
    <sheet xmlns:r="http://schemas.openxmlformats.org/officeDocument/2006/relationships" name="Halide_Pathways" sheetId="6" state="visible" r:id="rId6"/>
    <sheet xmlns:r="http://schemas.openxmlformats.org/officeDocument/2006/relationships" name="Condition_Suggestions" sheetId="7" state="visible" r:id="rId7"/>
    <sheet xmlns:r="http://schemas.openxmlformats.org/officeDocument/2006/relationships" name="Rearrangements" sheetId="8" state="visible" r:id="rId8"/>
    <sheet xmlns:r="http://schemas.openxmlformats.org/officeDocument/2006/relationships" name="Known_No_Reaction" sheetId="9" state="visible" r:id="rId9"/>
    <sheet xmlns:r="http://schemas.openxmlformats.org/officeDocument/2006/relationships" name="Directing_Groups" sheetId="10" state="visible" r:id="rId10"/>
    <sheet xmlns:r="http://schemas.openxmlformats.org/officeDocument/2006/relationships" name="Reactivity_Order" sheetId="11" state="visible" r:id="rId11"/>
    <sheet xmlns:r="http://schemas.openxmlformats.org/officeDocument/2006/relationships" name="Fragment_Conditions" sheetId="12" state="visible" r:id="rId12"/>
    <sheet xmlns:r="http://schemas.openxmlformats.org/officeDocument/2006/relationships" name="Acids_Bases" sheetId="13" state="visible" r:id="rId13"/>
    <sheet xmlns:r="http://schemas.openxmlformats.org/officeDocument/2006/relationships" name="Interferences" sheetId="14" state="visible" r:id="rId14"/>
    <sheet xmlns:r="http://schemas.openxmlformats.org/officeDocument/2006/relationships" name="How to use" sheetId="15" state="visible" r:id="rId15"/>
    <sheet xmlns:r="http://schemas.openxmlformats.org/officeDocument/2006/relationships" name="Reagents" sheetId="16" state="visible" r:id="rId16"/>
    <sheet xmlns:r="http://schemas.openxmlformats.org/officeDocument/2006/relationships" name="Byproducts" sheetId="17" state="visible" r:id="rId17"/>
  </sheets>
  <definedNames>
    <definedName name="_xlnm._FilterDatabase" localSheetId="0" hidden="1">'Reactions'!$A$1:$AA$103</definedName>
    <definedName name="_xlnm._FilterDatabase" localSheetId="1" hidden="1">'Mechanism'!$A$1:$T$194</definedName>
    <definedName name="_xlnm._FilterDatabase" localSheetId="2" hidden="1">'Conditions'!$A$1:$F$9</definedName>
    <definedName name="_xlnm._FilterDatabase" localSheetId="3" hidden="1">'Solvents'!$A$1:$E$40</definedName>
    <definedName name="_xlnm._FilterDatabase" localSheetId="4" hidden="1">'Nucleophiles'!$A$1:$F$15</definedName>
    <definedName name="_xlnm._FilterDatabase" localSheetId="5" hidden="1">'Halide_Pathways'!$A$1:$G$17</definedName>
    <definedName name="_xlnm._FilterDatabase" localSheetId="6" hidden="1">'Condition_Suggestions'!$A$1:$D$18</definedName>
    <definedName name="_xlnm._FilterDatabase" localSheetId="7" hidden="1">'Rearrangements'!$A$1:$E$11</definedName>
    <definedName name="_xlnm._FilterDatabase" localSheetId="8" hidden="1">'Known_No_Reaction'!$A$1:$F$14</definedName>
    <definedName name="_xlnm._FilterDatabase" localSheetId="9" hidden="1">'Directing_Groups'!$A$1:$G$16</definedName>
    <definedName name="_xlnm._FilterDatabase" localSheetId="10" hidden="1">'Reactivity_Order'!$A$1:$F$21</definedName>
    <definedName name="_xlnm._FilterDatabase" localSheetId="11" hidden="1">'Fragment_Conditions'!$A$1:$H$5</definedName>
    <definedName name="_xlnm._FilterDatabase" localSheetId="12" hidden="1">'Acids_Bases'!$A$1:$G$25</definedName>
    <definedName name="_xlnm._FilterDatabase" localSheetId="13" hidden="1">'Interferences'!$A$1:$AF$264</definedName>
    <definedName name="_xlnm._FilterDatabase" localSheetId="15" hidden="1">'Reagents'!$A$1:$J$1201</definedName>
    <definedName name="_xlnm._FilterDatabase" localSheetId="16" hidden="1">'Byproducts'!$A$1:$F$578</definedName>
  </definedNames>
  <calcPr calcId="124519" fullCalcOnLoad="1"/>
</workbook>
</file>

<file path=xl/styles.xml><?xml version="1.0" encoding="utf-8"?>
<styleSheet xmlns="http://schemas.openxmlformats.org/spreadsheetml/2006/main">
  <numFmts count="3">
    <numFmt numFmtId="164" formatCode="0.0E+0"/>
    <numFmt numFmtId="165" formatCode="0.0%"/>
    <numFmt numFmtId="166" formatCode="+0.00;-0.00;0.00"/>
  </numFmts>
  <fonts count="7">
    <font>
      <name val="Calibri"/>
      <family val="2"/>
      <color theme="1"/>
      <sz val="11"/>
      <scheme val="minor"/>
    </font>
    <font>
      <name val="Arial"/>
      <b val="1"/>
      <color rgb="00FFFFFF"/>
      <sz val="10"/>
    </font>
    <font>
      <name val="Arial"/>
      <sz val="10"/>
    </font>
    <font>
      <name val="Consolas"/>
      <sz val="10"/>
    </font>
    <font>
      <name val="Arial"/>
      <i val="1"/>
      <sz val="9"/>
    </font>
    <font>
      <name val="Arial"/>
      <b val="1"/>
      <sz val="12"/>
    </font>
    <font>
      <name val="Arial"/>
      <b val="1"/>
      <color rgb="FFFFFFFF"/>
      <sz val="10"/>
    </font>
  </fonts>
  <fills count="4">
    <fill>
      <patternFill/>
    </fill>
    <fill>
      <patternFill patternType="gray125"/>
    </fill>
    <fill>
      <patternFill patternType="solid">
        <fgColor rgb="001F4E78"/>
      </patternFill>
    </fill>
    <fill>
      <patternFill patternType="solid">
        <fgColor rgb="FF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164" fontId="2" fillId="0" borderId="1"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2" fillId="0" borderId="0" applyAlignment="1" pivotButton="0" quotePrefix="0" xfId="0">
      <alignment vertical="top" wrapText="1"/>
    </xf>
    <xf numFmtId="0" fontId="6" fillId="3" borderId="0" applyAlignment="1" pivotButton="0" quotePrefix="0" xfId="0">
      <alignment horizontal="center" vertical="center" wrapText="1"/>
    </xf>
    <xf numFmtId="165" fontId="2" fillId="0" borderId="0" applyAlignment="1" pivotButton="0" quotePrefix="0" xfId="0">
      <alignment vertical="top" wrapText="1"/>
    </xf>
    <xf numFmtId="166"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40" customWidth="1" min="2" max="2"/>
    <col width="18" customWidth="1" min="3" max="3"/>
    <col width="24" customWidth="1" min="4" max="4"/>
    <col width="24" customWidth="1" min="5" max="5"/>
    <col width="20" customWidth="1" min="6" max="6"/>
    <col width="18" customWidth="1" min="7" max="7"/>
    <col width="14" customWidth="1" min="8" max="8"/>
    <col width="24" customWidth="1" min="9" max="9"/>
    <col width="18" customWidth="1" min="10" max="10"/>
    <col width="18" customWidth="1" min="11" max="11"/>
    <col width="14" customWidth="1" min="12" max="12"/>
    <col width="46" customWidth="1" min="13" max="13"/>
    <col width="40" customWidth="1" min="14" max="14"/>
    <col width="16" customWidth="1" min="15" max="15"/>
    <col width="34" customWidth="1" min="16" max="16"/>
    <col width="44" customWidth="1" min="17" max="17"/>
    <col width="34" customWidth="1" min="18" max="18"/>
    <col width="30" customWidth="1" min="19" max="19"/>
    <col width="22" customWidth="1" min="20" max="20"/>
    <col width="22" customWidth="1" min="21" max="21"/>
    <col width="26" customWidth="1" min="22" max="22"/>
    <col width="50" customWidth="1" min="23" max="23"/>
    <col width="50" customWidth="1" min="24" max="24"/>
    <col width="30" customWidth="1" min="25" max="25"/>
    <col width="44" customWidth="1" min="26" max="26"/>
    <col width="14" customWidth="1" min="27" max="27"/>
    <col width="30" customWidth="1" min="28" max="28"/>
  </cols>
  <sheetData>
    <row r="1" ht="30" customHeight="1">
      <c r="A1" s="1" t="inlineStr">
        <is>
          <t>Reaction ID</t>
        </is>
      </c>
      <c r="B1" s="1" t="inlineStr">
        <is>
          <t>Reaction code</t>
        </is>
      </c>
      <c r="C1" s="1" t="inlineStr">
        <is>
          <t>Name</t>
        </is>
      </c>
      <c r="D1" s="1" t="inlineStr">
        <is>
          <t>Reactant 1</t>
        </is>
      </c>
      <c r="E1" s="1" t="inlineStr">
        <is>
          <t>Reactant 2</t>
        </is>
      </c>
      <c r="F1" s="1" t="inlineStr">
        <is>
          <t>Reagent / catalyst</t>
        </is>
      </c>
      <c r="G1" s="1" t="inlineStr">
        <is>
          <t>Conditions</t>
        </is>
      </c>
      <c r="H1" s="1" t="inlineStr">
        <is>
          <t>Required conditions</t>
        </is>
      </c>
      <c r="I1" s="1" t="inlineStr">
        <is>
          <t>Product</t>
        </is>
      </c>
      <c r="J1" s="1" t="inlineStr">
        <is>
          <t>By-product</t>
        </is>
      </c>
      <c r="K1" s="1" t="inlineStr">
        <is>
          <t>Fragments consumed</t>
        </is>
      </c>
      <c r="L1" s="1" t="inlineStr">
        <is>
          <t>Fragment formed</t>
        </is>
      </c>
      <c r="M1" s="1" t="inlineStr">
        <is>
          <t>Reaction SMARTS</t>
        </is>
      </c>
      <c r="N1" s="1" t="inlineStr">
        <is>
          <t>Atom mapping</t>
        </is>
      </c>
      <c r="O1" s="1" t="inlineStr">
        <is>
          <t>Stereo / regio</t>
        </is>
      </c>
      <c r="P1" s="1" t="inlineStr">
        <is>
          <t>Yield</t>
        </is>
      </c>
      <c r="Q1" s="1" t="inlineStr">
        <is>
          <t>Checked</t>
        </is>
      </c>
      <c r="R1" s="1" t="inlineStr">
        <is>
          <t>Source</t>
        </is>
      </c>
      <c r="S1" s="1" t="inlineStr">
        <is>
          <t>Acid/base needed (pKa): 'base: F019, ΔpKa ≥ -5' = any base from Acids_Bases strong enough to remove that fragment's H</t>
        </is>
      </c>
      <c r="T1" s="1" t="inlineStr">
        <is>
          <t>Chemoselectivity group (Reactivity_Order sheet)</t>
        </is>
      </c>
      <c r="U1" s="1" t="inlineStr">
        <is>
          <t>Aromatic substitution (Directing_Groups sheet decides the ring position)</t>
        </is>
      </c>
      <c r="V1" s="1" t="inlineStr">
        <is>
          <t>Stereo outcome</t>
        </is>
      </c>
      <c r="W1" s="1" t="inlineStr">
        <is>
          <t>Stereo template (cis C=C, ring C=C, or ring-fused epoxide)</t>
        </is>
      </c>
      <c r="X1" s="1" t="inlineStr">
        <is>
          <t>Stereo template (trans C=C)</t>
        </is>
      </c>
      <c r="Y1" s="1" t="inlineStr">
        <is>
          <t>Stereo template (chiral starting material)</t>
        </is>
      </c>
      <c r="Z1" s="1" t="inlineStr">
        <is>
          <t>Carbocation (rearrangement check): SMARTS | cation=atom | leaving=atom | then=add X / eliminate / rerun</t>
        </is>
      </c>
      <c r="AA1" s="1" t="inlineStr">
        <is>
          <t>Reagent equivalents per reaction (number, or catalytic)</t>
        </is>
      </c>
      <c r="AB1" s="1" t="inlineStr">
        <is>
          <t>Mechanism status</t>
        </is>
      </c>
    </row>
    <row r="2">
      <c r="A2" s="2" t="inlineStr">
        <is>
          <t>R001</t>
        </is>
      </c>
      <c r="B2" s="3" t="inlineStr">
        <is>
          <t>CC(=O)O.CCO&gt;O=S(=O)(O)O&gt;CCOC(C)=O.O | cond=ethanol, reflux</t>
        </is>
      </c>
      <c r="C2" s="2" t="inlineStr">
        <is>
          <t>Fischer esterification</t>
        </is>
      </c>
      <c r="D2" s="2" t="inlineStr">
        <is>
          <t>acetic acid (QTBSBXVTEAMEQO-UHFFFAOYSA-N)</t>
        </is>
      </c>
      <c r="E2" s="2" t="inlineStr">
        <is>
          <t>ethanol (LFQSCWFLJHTTHZ-UHFFFAOYSA-N)</t>
        </is>
      </c>
      <c r="F2" s="2" t="inlineStr">
        <is>
          <t>H2SO4, catalytic (QAOWNCQODCNURD-UHFFFAOYSA-N)</t>
        </is>
      </c>
      <c r="G2" s="2" t="inlineStr">
        <is>
          <t>60–120 °C: reflux in excess ethanol (78 °C) or toluene (111 °C, Dean–Stark), or heat to a set temperature</t>
        </is>
      </c>
      <c r="H2" s="2" t="inlineStr">
        <is>
          <t>60-120 °C</t>
        </is>
      </c>
      <c r="I2" s="2" t="inlineStr">
        <is>
          <t>ethyl acetate (XEKOWRVHYACXOJ-UHFFFAOYSA-N)</t>
        </is>
      </c>
      <c r="J2" s="2" t="inlineStr">
        <is>
          <t>water (XLYOFNOQVPJJNP-UHFFFAOYSA-N)</t>
        </is>
      </c>
      <c r="K2" s="2" t="inlineStr">
        <is>
          <t>F001 carboxylic acid + F003 alcohol (1°)</t>
        </is>
      </c>
      <c r="L2" s="2" t="inlineStr">
        <is>
          <t>F004 ester</t>
        </is>
      </c>
      <c r="M2" s="3" t="inlineStr">
        <is>
          <t>[C:1](=[O:2])[OX2H1].[OX2H1:3][CX4:4]&gt;&gt;[C:1](=[O:2])[O:3][C:4]</t>
        </is>
      </c>
      <c r="N2" s="2" t="inlineStr">
        <is>
          <t>The ester's single-bonded O (atom 3) comes from the ALCOHOL; the acid's OH leaves as water (shown with 18O-labelled alcohol)</t>
        </is>
      </c>
      <c r="O2" s="2" t="inlineStr">
        <is>
          <t>none: one product, no stereocentres</t>
        </is>
      </c>
      <c r="P2" s="2" t="inlineStr">
        <is>
          <t>equilibrium: about 65% at 1:1; driven further by excess ethanol or removing water</t>
        </is>
      </c>
      <c r="Q2" s="2" t="inlineStr">
        <is>
          <t>RDKit run of this SMARTS: acetic acid + ethanol gives CCOC(C)=O (ethyl acetate); acid + acid gives nothing</t>
        </is>
      </c>
      <c r="R2" s="2" t="inlineStr">
        <is>
          <t>standard textbook reaction</t>
        </is>
      </c>
      <c r="S2" s="2" t="inlineStr">
        <is>
          <t>acid: F001, ΔpKa ≥ -5</t>
        </is>
      </c>
      <c r="T2" s="2" t="inlineStr">
        <is>
          <t>esterification</t>
        </is>
      </c>
      <c r="U2" s="2" t="inlineStr"/>
      <c r="V2" s="2" t="inlineStr"/>
      <c r="W2" s="2" t="inlineStr"/>
      <c r="X2" s="2" t="inlineStr"/>
      <c r="Y2" s="2" t="inlineStr"/>
      <c r="Z2" s="2" t="inlineStr"/>
      <c r="AA2" s="2" t="inlineStr">
        <is>
          <t>catalytic</t>
        </is>
      </c>
      <c r="AB2" t="inlineStr">
        <is>
          <t>verified (replay passed)</t>
        </is>
      </c>
    </row>
    <row r="3">
      <c r="A3" s="2" t="inlineStr">
        <is>
          <t>R002</t>
        </is>
      </c>
      <c r="B3" s="3" t="inlineStr">
        <is>
          <t>C=C(C)C&gt;BrBr&gt;CC(C)(O)CBr.Br | cond=room temperature, water</t>
        </is>
      </c>
      <c r="C3" s="2" t="inlineStr">
        <is>
          <t>Halohydrin formation</t>
        </is>
      </c>
      <c r="D3" s="2" t="inlineStr">
        <is>
          <t>isobutylene (VQTUBCCKSQIDNK-UHFFFAOYSA-N)</t>
        </is>
      </c>
      <c r="E3" s="2" t="inlineStr"/>
      <c r="F3" s="2" t="inlineStr">
        <is>
          <t>Br2 in water (GDTBXPJZTBHREO-UHFFFAOYSA-N)</t>
        </is>
      </c>
      <c r="G3" s="2" t="inlineStr">
        <is>
          <t>Br2, water as the solvent, rt</t>
        </is>
      </c>
      <c r="H3" s="2" t="inlineStr">
        <is>
          <t>water</t>
        </is>
      </c>
      <c r="I3" s="2" t="inlineStr">
        <is>
          <t>bromohydrin of isobutylene (OBOTXOMQYNJWJJ-UHFFFAOYSA-N)</t>
        </is>
      </c>
      <c r="J3" s="2" t="inlineStr">
        <is>
          <t>hydrogen bromide (CPELXLSAUQHCOX-UHFFFAOYSA-N)</t>
        </is>
      </c>
      <c r="K3" s="2" t="inlineStr">
        <is>
          <t>F006 alkene, terminal (=CH2)</t>
        </is>
      </c>
      <c r="L3" s="2" t="inlineStr">
        <is>
          <t>F033 halohydrin (bromohydrin)</t>
        </is>
      </c>
      <c r="M3" s="3" t="inlineStr">
        <is>
          <t>[C;H0,H1:1]=[CH2:2]&gt;&gt;[C:1](O)[C:2]Br</t>
        </is>
      </c>
      <c r="N3" s="2" t="inlineStr"/>
      <c r="O3" s="2" t="inlineStr">
        <is>
          <t>Markovnikov: OH on the more substituted C (water opens the bromonium ion there); anti addition. SMARTS covers terminal alkenes.</t>
        </is>
      </c>
      <c r="P3" s="2" t="inlineStr"/>
      <c r="Q3" s="2" t="inlineStr">
        <is>
          <t>RDKit: the SMARTS on the reaction's molecules gives the expected product; consumed fragments found in the starting materials and formed fragments in the products</t>
        </is>
      </c>
      <c r="R3" s="2" t="inlineStr">
        <is>
          <t>standard textbook reaction (Clayden, Organic Chemistry; Klein, Organic Chemistry)</t>
        </is>
      </c>
      <c r="S3" s="2" t="inlineStr"/>
      <c r="T3" s="2" t="inlineStr"/>
      <c r="U3" s="2" t="inlineStr"/>
      <c r="V3" s="2" t="inlineStr">
        <is>
          <t>anti addition</t>
        </is>
      </c>
      <c r="W3" s="3" t="inlineStr"/>
      <c r="X3" s="3" t="inlineStr"/>
      <c r="Y3" s="3" t="inlineStr"/>
      <c r="Z3" s="3" t="inlineStr"/>
      <c r="AA3" s="2" t="n">
        <v>1</v>
      </c>
      <c r="AB3" t="inlineStr">
        <is>
          <t>verified (replay passed)</t>
        </is>
      </c>
    </row>
    <row r="4">
      <c r="A4" s="2" t="inlineStr">
        <is>
          <t>R003</t>
        </is>
      </c>
      <c r="B4" s="3" t="inlineStr">
        <is>
          <t>C1=CCCCC1&gt;BrBr&gt;Br[C@H]1CCCC[C@@H]1Br | cond=dichloromethane, room temperature</t>
        </is>
      </c>
      <c r="C4" s="2" t="inlineStr">
        <is>
          <t>Bromine addition to alkene</t>
        </is>
      </c>
      <c r="D4" s="2" t="inlineStr">
        <is>
          <t>cyclohexene (HGCIXCUEYOPUTN-UHFFFAOYSA-N)</t>
        </is>
      </c>
      <c r="E4" s="2" t="inlineStr"/>
      <c r="F4" s="2" t="inlineStr">
        <is>
          <t>Br2 (GDTBXPJZTBHREO-UHFFFAOYSA-N)</t>
        </is>
      </c>
      <c r="G4" s="2" t="inlineStr">
        <is>
          <t>Br2, CH2Cl2, rt, dark</t>
        </is>
      </c>
      <c r="H4" s="2" t="inlineStr"/>
      <c r="I4" s="2" t="inlineStr">
        <is>
          <t>1,2-dibromocyclohexane (CZNHKZKWKJNOTE-UHFFFAOYSA-N)</t>
        </is>
      </c>
      <c r="J4" s="2" t="inlineStr"/>
      <c r="K4" s="2" t="inlineStr">
        <is>
          <t>F005 alkene (C=C)</t>
        </is>
      </c>
      <c r="L4" s="2" t="inlineStr">
        <is>
          <t>F032 vicinal dibromide</t>
        </is>
      </c>
      <c r="M4" s="3" t="inlineStr">
        <is>
          <t>[C:1]=[C:2]&gt;&gt;[C:1](Br)[C:2]Br</t>
        </is>
      </c>
      <c r="N4" s="2" t="inlineStr"/>
      <c r="O4" s="2" t="inlineStr">
        <is>
          <t>Anti addition via the bromonium ion: cyclohexene gives trans-1,2-dibromocyclohexane (stereo not drawn).</t>
        </is>
      </c>
      <c r="P4" s="2" t="inlineStr"/>
      <c r="Q4" s="2" t="inlineStr">
        <is>
          <t>RDKit: the SMARTS on the reaction's molecules gives the expected product; consumed fragments found in the starting materials and formed fragments in the products</t>
        </is>
      </c>
      <c r="R4" s="2" t="inlineStr">
        <is>
          <t>standard textbook reaction (Clayden, Organic Chemistry; Klein, Organic Chemistry)</t>
        </is>
      </c>
      <c r="S4" s="2" t="inlineStr"/>
      <c r="T4" s="2" t="inlineStr"/>
      <c r="U4" s="2" t="inlineStr"/>
      <c r="V4" s="2" t="inlineStr">
        <is>
          <t>anti addition</t>
        </is>
      </c>
      <c r="W4" s="3" t="inlineStr">
        <is>
          <t>[#6:3][CH1:1]=[CH1:2][#6:4]&gt;&gt;[#6:3][C@H:1](Br)[C@@H:2](Br)[#6:4]</t>
        </is>
      </c>
      <c r="X4" s="3" t="inlineStr">
        <is>
          <t>[#6:3][CH1:1]=[CH1:2][#6:4]&gt;&gt;[#6:3][C@H:1](Br)[C@H:2](Br)[#6:4]</t>
        </is>
      </c>
      <c r="Y4" s="3" t="inlineStr"/>
      <c r="Z4" s="3" t="inlineStr"/>
      <c r="AA4" s="2" t="n">
        <v>1</v>
      </c>
      <c r="AB4" t="inlineStr">
        <is>
          <t>verified (replay passed)</t>
        </is>
      </c>
    </row>
    <row r="5">
      <c r="A5" s="2" t="inlineStr">
        <is>
          <t>R004</t>
        </is>
      </c>
      <c r="B5" s="3" t="inlineStr">
        <is>
          <t>C=CC&gt;Br&gt;CCCBr | cond=light</t>
        </is>
      </c>
      <c r="C5" s="2" t="inlineStr">
        <is>
          <t>Radical hydrobromination (anti-Markovnikov)</t>
        </is>
      </c>
      <c r="D5" s="2" t="inlineStr">
        <is>
          <t>propene (QQONPFPTGQHPMA-UHFFFAOYSA-N)</t>
        </is>
      </c>
      <c r="E5" s="2" t="inlineStr"/>
      <c r="F5" s="2" t="inlineStr">
        <is>
          <t>HBr with peroxide (ROOR) or light (CPELXLSAUQHCOX-UHFFFAOYSA-N)</t>
        </is>
      </c>
      <c r="G5" s="2" t="inlineStr">
        <is>
          <t>HBr, ROOR or hv</t>
        </is>
      </c>
      <c r="H5" s="2" t="inlineStr">
        <is>
          <t>light</t>
        </is>
      </c>
      <c r="I5" s="2" t="inlineStr">
        <is>
          <t>1-bromopropane (CYNYIHKIEHGYOZ-UHFFFAOYSA-N)</t>
        </is>
      </c>
      <c r="J5" s="2" t="inlineStr"/>
      <c r="K5" s="2" t="inlineStr">
        <is>
          <t>F006 alkene, terminal (=CH2)</t>
        </is>
      </c>
      <c r="L5" s="2" t="inlineStr">
        <is>
          <t>F010 alkyl bromide</t>
        </is>
      </c>
      <c r="M5" s="3" t="inlineStr">
        <is>
          <t>[C;H0,H1:1]=[CH2:2]&gt;&gt;[C:1][C:2]Br</t>
        </is>
      </c>
      <c r="N5" s="2" t="inlineStr"/>
      <c r="O5" s="2" t="inlineStr">
        <is>
          <t>Anti-Markovnikov: Br on the less substituted C (radical chain). HBr only.</t>
        </is>
      </c>
      <c r="P5" s="2" t="inlineStr"/>
      <c r="Q5" s="2" t="inlineStr">
        <is>
          <t>RDKit: the SMARTS on the reaction's molecules gives the expected product; consumed fragments found in the starting materials and formed fragments in the products</t>
        </is>
      </c>
      <c r="R5" s="2" t="inlineStr">
        <is>
          <t>standard textbook reaction (Clayden, Organic Chemistry; Klein, Organic Chemistry)</t>
        </is>
      </c>
      <c r="S5" s="2" t="inlineStr"/>
      <c r="T5" s="2" t="inlineStr"/>
      <c r="U5" s="2" t="inlineStr"/>
      <c r="V5" s="2" t="inlineStr"/>
      <c r="W5" s="3" t="inlineStr"/>
      <c r="X5" s="3" t="inlineStr"/>
      <c r="Y5" s="3" t="inlineStr"/>
      <c r="Z5" s="3" t="inlineStr"/>
      <c r="AA5" s="2" t="n">
        <v>1</v>
      </c>
      <c r="AB5" t="inlineStr">
        <is>
          <t>verified (replay passed)</t>
        </is>
      </c>
    </row>
    <row r="6">
      <c r="A6" s="2" t="inlineStr">
        <is>
          <t>R005</t>
        </is>
      </c>
      <c r="B6" s="3" t="inlineStr">
        <is>
          <t>C=CC&gt;Br&gt;CC(C)Br | cond=0 C, dichloromethane</t>
        </is>
      </c>
      <c r="C6" s="2" t="inlineStr">
        <is>
          <t>Hydrobromination (Markovnikov)</t>
        </is>
      </c>
      <c r="D6" s="2" t="inlineStr">
        <is>
          <t>propene (QQONPFPTGQHPMA-UHFFFAOYSA-N)</t>
        </is>
      </c>
      <c r="E6" s="2" t="inlineStr"/>
      <c r="F6" s="2" t="inlineStr">
        <is>
          <t>HBr (CPELXLSAUQHCOX-UHFFFAOYSA-N)</t>
        </is>
      </c>
      <c r="G6" s="2" t="inlineStr">
        <is>
          <t>HBr, no peroxide, no light</t>
        </is>
      </c>
      <c r="H6" s="2" t="inlineStr"/>
      <c r="I6" s="2" t="inlineStr">
        <is>
          <t>2-bromopropane (NAMYKGVDVNBCFQ-UHFFFAOYSA-N)</t>
        </is>
      </c>
      <c r="J6" s="2" t="inlineStr"/>
      <c r="K6" s="2" t="inlineStr">
        <is>
          <t>F006 alkene, terminal (=CH2)</t>
        </is>
      </c>
      <c r="L6" s="2" t="inlineStr">
        <is>
          <t>F010 alkyl bromide</t>
        </is>
      </c>
      <c r="M6" s="3" t="inlineStr">
        <is>
          <t>[C;H0,H1:1]=[CH2:2]&gt;&gt;[C:1](Br)[C:2]</t>
        </is>
      </c>
      <c r="N6" s="2" t="inlineStr"/>
      <c r="O6" s="2" t="inlineStr">
        <is>
          <t>Markovnikov: Br on the more substituted C (via the more stable carbocation).</t>
        </is>
      </c>
      <c r="P6" s="2" t="inlineStr"/>
      <c r="Q6" s="2" t="inlineStr">
        <is>
          <t>RDKit: the SMARTS on the reaction's molecules gives the expected product; consumed fragments found in the starting materials and formed fragments in the products</t>
        </is>
      </c>
      <c r="R6" s="2" t="inlineStr">
        <is>
          <t>standard textbook reaction (Clayden, Organic Chemistry; Klein, Organic Chemistry)</t>
        </is>
      </c>
      <c r="S6" s="2" t="inlineStr"/>
      <c r="T6" s="2" t="inlineStr"/>
      <c r="U6" s="2" t="inlineStr"/>
      <c r="V6" s="2" t="inlineStr"/>
      <c r="W6" s="3" t="inlineStr"/>
      <c r="X6" s="3" t="inlineStr"/>
      <c r="Y6" s="3" t="inlineStr"/>
      <c r="Z6" s="3" t="inlineStr">
        <is>
          <t>[C;H0,H1]=[CH2] | cation=1 | then=add Br</t>
        </is>
      </c>
      <c r="AA6" s="2" t="n">
        <v>1</v>
      </c>
      <c r="AB6" t="inlineStr">
        <is>
          <t>verified (replay passed)</t>
        </is>
      </c>
    </row>
    <row r="7">
      <c r="A7" s="2" t="inlineStr">
        <is>
          <t>R006</t>
        </is>
      </c>
      <c r="B7" s="3" t="inlineStr">
        <is>
          <t>C=C(C)C&gt;O=S(=O)(O)O&gt;CC(C)(C)O | cond=25 C, water</t>
        </is>
      </c>
      <c r="C7" s="2" t="inlineStr">
        <is>
          <t>Acid-catalysed hydration of alkene</t>
        </is>
      </c>
      <c r="D7" s="2" t="inlineStr">
        <is>
          <t>isobutylene (VQTUBCCKSQIDNK-UHFFFAOYSA-N)</t>
        </is>
      </c>
      <c r="E7" s="2" t="inlineStr"/>
      <c r="F7" s="2" t="inlineStr">
        <is>
          <t>H2SO4 (cat.) in water (QAOWNCQODCNURD-UHFFFAOYSA-N)</t>
        </is>
      </c>
      <c r="G7" s="2" t="inlineStr">
        <is>
          <t>dilute aqueous H2SO4</t>
        </is>
      </c>
      <c r="H7" s="2" t="inlineStr">
        <is>
          <t>water, dilute</t>
        </is>
      </c>
      <c r="I7" s="2" t="inlineStr">
        <is>
          <t>tert-butanol (DKGAVHZHDRPRBM-UHFFFAOYSA-N)</t>
        </is>
      </c>
      <c r="J7" s="2" t="inlineStr"/>
      <c r="K7" s="2" t="inlineStr">
        <is>
          <t>F006 alkene, terminal (=CH2)</t>
        </is>
      </c>
      <c r="L7" s="2" t="inlineStr">
        <is>
          <t>F016 alcohol (3°)</t>
        </is>
      </c>
      <c r="M7" s="3" t="inlineStr">
        <is>
          <t>[C;H0,H1:1]=[CH2:2]&gt;&gt;[C:1](O)[C:2]</t>
        </is>
      </c>
      <c r="N7" s="2" t="inlineStr"/>
      <c r="O7" s="2" t="inlineStr">
        <is>
          <t>Markovnikov: OH on the more substituted C; carbocations may rearrange.</t>
        </is>
      </c>
      <c r="P7" s="2" t="inlineStr"/>
      <c r="Q7" s="2" t="inlineStr">
        <is>
          <t>RDKit: the SMARTS on the reaction's molecules gives the expected product; consumed fragments found in the starting materials and formed fragments in the products</t>
        </is>
      </c>
      <c r="R7" s="2" t="inlineStr">
        <is>
          <t>standard textbook reaction (Clayden, Organic Chemistry; Klein, Organic Chemistry)</t>
        </is>
      </c>
      <c r="S7" s="2" t="inlineStr"/>
      <c r="T7" s="2" t="inlineStr"/>
      <c r="U7" s="2" t="inlineStr"/>
      <c r="V7" s="2" t="inlineStr"/>
      <c r="W7" s="3" t="inlineStr"/>
      <c r="X7" s="3" t="inlineStr"/>
      <c r="Y7" s="3" t="inlineStr"/>
      <c r="Z7" s="3" t="inlineStr">
        <is>
          <t>[C;H0,H1]=[CH2] | cation=1 | then=add O</t>
        </is>
      </c>
      <c r="AA7" s="2" t="inlineStr">
        <is>
          <t>catalytic</t>
        </is>
      </c>
      <c r="AB7" t="inlineStr">
        <is>
          <t>verified (replay passed)</t>
        </is>
      </c>
    </row>
    <row r="8">
      <c r="A8" s="2" t="inlineStr">
        <is>
          <t>R007</t>
        </is>
      </c>
      <c r="B8" s="3" t="inlineStr">
        <is>
          <t>C=CC&gt;B&gt;CCCO | cond=0 C, tetrahydrofuran</t>
        </is>
      </c>
      <c r="C8" s="2" t="inlineStr">
        <is>
          <t>Hydroboration-oxidation</t>
        </is>
      </c>
      <c r="D8" s="2" t="inlineStr">
        <is>
          <t>propene (QQONPFPTGQHPMA-UHFFFAOYSA-N)</t>
        </is>
      </c>
      <c r="E8" s="2" t="inlineStr"/>
      <c r="F8" s="2" t="inlineStr">
        <is>
          <t>1) BH3·THF; 2) H2O2, NaOH (UORVGPXVDQYIDP-UHFFFAOYSA-N)</t>
        </is>
      </c>
      <c r="G8" s="2" t="inlineStr">
        <is>
          <t>BH3 in THF, 0 °C; then H2O2, NaOH</t>
        </is>
      </c>
      <c r="H8" s="2" t="inlineStr"/>
      <c r="I8" s="2" t="inlineStr">
        <is>
          <t>1-propanol (BDERNNFJNOPAEC-UHFFFAOYSA-N)</t>
        </is>
      </c>
      <c r="J8" s="2" t="inlineStr"/>
      <c r="K8" s="2" t="inlineStr">
        <is>
          <t>F006 alkene, terminal (=CH2)</t>
        </is>
      </c>
      <c r="L8" s="2" t="inlineStr">
        <is>
          <t>F003 alcohol (1°)</t>
        </is>
      </c>
      <c r="M8" s="3" t="inlineStr">
        <is>
          <t>[C;H0,H1:1]=[CH2:2]&gt;&gt;[C:1][C:2]O</t>
        </is>
      </c>
      <c r="N8" s="2" t="inlineStr"/>
      <c r="O8" s="2" t="inlineStr">
        <is>
          <t>Anti-Markovnikov: OH on the less substituted C; syn addition of H and OH; no rearrangement.</t>
        </is>
      </c>
      <c r="P8" s="2" t="inlineStr"/>
      <c r="Q8" s="2" t="inlineStr">
        <is>
          <t>RDKit: the SMARTS on the reaction's molecules gives the expected product; consumed fragments found in the starting materials and formed fragments in the products</t>
        </is>
      </c>
      <c r="R8" s="2" t="inlineStr">
        <is>
          <t>standard textbook reaction (Clayden, Organic Chemistry; Klein, Organic Chemistry)</t>
        </is>
      </c>
      <c r="S8" s="2" t="inlineStr"/>
      <c r="T8" s="2" t="inlineStr"/>
      <c r="U8" s="2" t="inlineStr"/>
      <c r="V8" s="2" t="inlineStr"/>
      <c r="W8" s="3" t="inlineStr"/>
      <c r="X8" s="3" t="inlineStr"/>
      <c r="Y8" s="3" t="inlineStr"/>
      <c r="Z8" s="3" t="inlineStr"/>
      <c r="AA8" s="2" t="n">
        <v>0.34</v>
      </c>
      <c r="AB8" t="inlineStr">
        <is>
          <t>verified (replay passed)</t>
        </is>
      </c>
    </row>
    <row r="9">
      <c r="A9" s="2" t="inlineStr">
        <is>
          <t>R008</t>
        </is>
      </c>
      <c r="B9" s="3" t="inlineStr">
        <is>
          <t>C1=CCCCC1&gt;[H][H]&gt;C1CCCCC1 | cond=ethanol, room temperature</t>
        </is>
      </c>
      <c r="C9" s="2" t="inlineStr">
        <is>
          <t>Catalytic hydrogenation of alkene</t>
        </is>
      </c>
      <c r="D9" s="2" t="inlineStr">
        <is>
          <t>cyclohexene (HGCIXCUEYOPUTN-UHFFFAOYSA-N)</t>
        </is>
      </c>
      <c r="E9" s="2" t="inlineStr"/>
      <c r="F9" s="2" t="inlineStr">
        <is>
          <t>H2, Pd/C (UFHFLCQGNIYNRP-UHFFFAOYSA-N)</t>
        </is>
      </c>
      <c r="G9" s="2" t="inlineStr">
        <is>
          <t>H2 (1 atm), Pd/C, EtOH, rt</t>
        </is>
      </c>
      <c r="H9" s="2" t="inlineStr"/>
      <c r="I9" s="2" t="inlineStr">
        <is>
          <t>cyclohexane (XDTMQSROBMDMFD-UHFFFAOYSA-N)</t>
        </is>
      </c>
      <c r="J9" s="2" t="inlineStr"/>
      <c r="K9" s="2" t="inlineStr">
        <is>
          <t>F005 alkene (C=C)</t>
        </is>
      </c>
      <c r="L9" s="2" t="inlineStr">
        <is>
          <t>none (C–C/C–H only)</t>
        </is>
      </c>
      <c r="M9" s="3" t="inlineStr">
        <is>
          <t>[C:1]=[C:2]&gt;&gt;[C:1][C:2]</t>
        </is>
      </c>
      <c r="N9" s="2" t="inlineStr"/>
      <c r="O9" s="2" t="inlineStr">
        <is>
          <t>Syn addition of both H from the catalyst surface.</t>
        </is>
      </c>
      <c r="P9" s="2" t="inlineStr"/>
      <c r="Q9" s="2" t="inlineStr">
        <is>
          <t>RDKit: the SMARTS on the reaction's molecules gives the expected product; consumed fragments found in the starting materials and formed fragments in the products</t>
        </is>
      </c>
      <c r="R9" s="2" t="inlineStr">
        <is>
          <t>standard textbook reaction (Clayden, Organic Chemistry; Klein, Organic Chemistry)</t>
        </is>
      </c>
      <c r="S9" s="2" t="inlineStr"/>
      <c r="T9" s="2" t="inlineStr">
        <is>
          <t>hydrogenation (H2, Pd)</t>
        </is>
      </c>
      <c r="U9" s="2" t="inlineStr"/>
      <c r="V9" s="2" t="inlineStr">
        <is>
          <t>syn addition</t>
        </is>
      </c>
      <c r="W9" s="3" t="inlineStr"/>
      <c r="X9" s="3" t="inlineStr"/>
      <c r="Y9" s="3" t="inlineStr"/>
      <c r="Z9" s="3" t="inlineStr"/>
      <c r="AA9" s="2" t="n">
        <v>1</v>
      </c>
      <c r="AB9" t="inlineStr">
        <is>
          <t>verified (replay passed)</t>
        </is>
      </c>
    </row>
    <row r="10">
      <c r="A10" s="2" t="inlineStr">
        <is>
          <t>R009</t>
        </is>
      </c>
      <c r="B10" s="3" t="inlineStr">
        <is>
          <t>C1=CCCCC1&gt;O=C(OO)c1cccc(Cl)c1&gt;O=C(O)c1cccc(Cl)c1.C1CC[C@H]2O[C@H]2C1 | cond=dichloromethane, room temperature</t>
        </is>
      </c>
      <c r="C10" s="2" t="inlineStr">
        <is>
          <t>Epoxidation</t>
        </is>
      </c>
      <c r="D10" s="2" t="inlineStr">
        <is>
          <t>cyclohexene (HGCIXCUEYOPUTN-UHFFFAOYSA-N)</t>
        </is>
      </c>
      <c r="E10" s="2" t="inlineStr"/>
      <c r="F10" s="2" t="inlineStr">
        <is>
          <t>mCPBA (NHQDETIJWKXCTC-UHFFFAOYSA-N)</t>
        </is>
      </c>
      <c r="G10" s="2" t="inlineStr">
        <is>
          <t>mCPBA, CH2Cl2, rt</t>
        </is>
      </c>
      <c r="H10" s="2" t="inlineStr"/>
      <c r="I10" s="2" t="inlineStr">
        <is>
          <t>cyclohexene oxide (ZWAJLVLEBYIOTI-UHFFFAOYSA-N)</t>
        </is>
      </c>
      <c r="J10" s="2" t="inlineStr">
        <is>
          <t>3-chlorobenzoic acid (LULAYUGMBFYYEX-UHFFFAOYSA-N)</t>
        </is>
      </c>
      <c r="K10" s="2" t="inlineStr">
        <is>
          <t>F005 alkene (C=C)</t>
        </is>
      </c>
      <c r="L10" s="2" t="inlineStr">
        <is>
          <t>F023 epoxide</t>
        </is>
      </c>
      <c r="M10" s="3" t="inlineStr">
        <is>
          <t>[C:1]=[C:2]&gt;&gt;[C:1]1O[C:2]1</t>
        </is>
      </c>
      <c r="N10" s="2" t="inlineStr"/>
      <c r="O10" s="2" t="inlineStr">
        <is>
          <t>Concerted syn addition: the alkene's geometry is kept (cis-alkene gives cis-epoxide).</t>
        </is>
      </c>
      <c r="P10" s="2" t="inlineStr"/>
      <c r="Q10" s="2" t="inlineStr">
        <is>
          <t>RDKit: the SMARTS on the reaction's molecules gives the expected product; consumed fragments found in the starting materials and formed fragments in the products</t>
        </is>
      </c>
      <c r="R10" s="2" t="inlineStr">
        <is>
          <t>standard textbook reaction (Clayden, Organic Chemistry; Klein, Organic Chemistry)</t>
        </is>
      </c>
      <c r="S10" s="2" t="inlineStr"/>
      <c r="T10" s="2" t="inlineStr">
        <is>
          <t>peracid oxidation (mCPBA)</t>
        </is>
      </c>
      <c r="U10" s="2" t="inlineStr"/>
      <c r="V10" s="2" t="inlineStr">
        <is>
          <t>syn addition (the epoxide keeps the alkene's geometry)</t>
        </is>
      </c>
      <c r="W10" s="3" t="inlineStr">
        <is>
          <t>[#6:3][CH1:1]=[CH1:2][#6:4]&gt;&gt;[#6:3][C@H:1]1O[C@H:2]1[#6:4]</t>
        </is>
      </c>
      <c r="X10" s="3" t="inlineStr">
        <is>
          <t>[#6:3][CH1:1]=[CH1:2][#6:4]&gt;&gt;[#6:3][C@H:1]1O[C@@H:2]1[#6:4]</t>
        </is>
      </c>
      <c r="Y10" s="3" t="inlineStr"/>
      <c r="Z10" s="3" t="inlineStr"/>
      <c r="AA10" s="2" t="n">
        <v>1</v>
      </c>
      <c r="AB10" t="inlineStr">
        <is>
          <t>verified (replay passed)</t>
        </is>
      </c>
    </row>
    <row r="11">
      <c r="A11" s="2" t="inlineStr">
        <is>
          <t>R010</t>
        </is>
      </c>
      <c r="B11" s="3" t="inlineStr">
        <is>
          <t>C1=CCCCC1&gt;[O]=[Os](=[O])(=[O])=[O]&gt;O[C@@H]1CCCC[C@@H]1O | cond=acetone, room temperature, water</t>
        </is>
      </c>
      <c r="C11" s="2" t="inlineStr">
        <is>
          <t>Syn dihydroxylation</t>
        </is>
      </c>
      <c r="D11" s="2" t="inlineStr">
        <is>
          <t>cyclohexene (HGCIXCUEYOPUTN-UHFFFAOYSA-N)</t>
        </is>
      </c>
      <c r="E11" s="2" t="inlineStr"/>
      <c r="F11" s="2" t="inlineStr">
        <is>
          <t>OsO4 (cat.), NMO (VUVGYHUDAICLFK-UHFFFAOYSA-N)</t>
        </is>
      </c>
      <c r="G11" s="2" t="inlineStr">
        <is>
          <t>OsO4 (cat.), NMO, acetone/water, rt</t>
        </is>
      </c>
      <c r="H11" s="2" t="inlineStr"/>
      <c r="I11" s="2" t="inlineStr">
        <is>
          <t>1,2-cyclohexanediol (PFURGBBHAOXLIO-UHFFFAOYSA-N)</t>
        </is>
      </c>
      <c r="J11" s="2" t="inlineStr"/>
      <c r="K11" s="2" t="inlineStr">
        <is>
          <t>F005 alkene (C=C)</t>
        </is>
      </c>
      <c r="L11" s="2" t="inlineStr">
        <is>
          <t>F017 1,2-diol</t>
        </is>
      </c>
      <c r="M11" s="3" t="inlineStr">
        <is>
          <t>[C:1]=[C:2]&gt;&gt;[C:1](O)[C:2]O</t>
        </is>
      </c>
      <c r="N11" s="2" t="inlineStr"/>
      <c r="O11" s="2" t="inlineStr">
        <is>
          <t>Syn: both OH on the same face, cis-1,2-cyclohexanediol (stereo not drawn).</t>
        </is>
      </c>
      <c r="P11" s="2" t="inlineStr"/>
      <c r="Q11" s="2" t="inlineStr">
        <is>
          <t>RDKit: the SMARTS on the reaction's molecules gives the expected product; consumed fragments found in the starting materials and formed fragments in the products</t>
        </is>
      </c>
      <c r="R11" s="2" t="inlineStr">
        <is>
          <t>standard textbook reaction (Clayden, Organic Chemistry; Klein, Organic Chemistry)</t>
        </is>
      </c>
      <c r="S11" s="2" t="inlineStr"/>
      <c r="T11" s="2" t="inlineStr"/>
      <c r="U11" s="2" t="inlineStr"/>
      <c r="V11" s="2" t="inlineStr">
        <is>
          <t>syn addition</t>
        </is>
      </c>
      <c r="W11" s="3" t="inlineStr">
        <is>
          <t>[#6:3][CH1:1]=[CH1:2][#6:4]&gt;&gt;[#6:3][C@H:1](O)[C@H:2](O)[#6:4]</t>
        </is>
      </c>
      <c r="X11" s="3" t="inlineStr">
        <is>
          <t>[#6:3][CH1:1]=[CH1:2][#6:4]&gt;&gt;[#6:3][C@H:1](O)[C@@H:2](O)[#6:4]</t>
        </is>
      </c>
      <c r="Y11" s="3" t="inlineStr"/>
      <c r="Z11" s="3" t="inlineStr"/>
      <c r="AA11" s="2" t="inlineStr">
        <is>
          <t>catalytic</t>
        </is>
      </c>
      <c r="AB11" t="inlineStr">
        <is>
          <t>verified (replay passed)</t>
        </is>
      </c>
    </row>
    <row r="12">
      <c r="A12" s="2" t="inlineStr">
        <is>
          <t>R011</t>
        </is>
      </c>
      <c r="B12" s="3" t="inlineStr">
        <is>
          <t>CC=C(C)C&gt;O=[O+][O-]&gt;CC(C)=O.CC=O | cond=-78 C, dichloromethane</t>
        </is>
      </c>
      <c r="C12" s="2" t="inlineStr">
        <is>
          <t>Ozonolysis (reductive work-up)</t>
        </is>
      </c>
      <c r="D12" s="2" t="inlineStr">
        <is>
          <t>2-methyl-2-butene (BKOOMYPCSUNDGP-UHFFFAOYSA-N)</t>
        </is>
      </c>
      <c r="E12" s="2" t="inlineStr"/>
      <c r="F12" s="2" t="inlineStr">
        <is>
          <t>1) O3; 2) Me2S (CBENFWSGALASAD-UHFFFAOYSA-N)</t>
        </is>
      </c>
      <c r="G12" s="2" t="inlineStr">
        <is>
          <t>O3, CH2Cl2, -78 °C; then Me2S</t>
        </is>
      </c>
      <c r="H12" s="2" t="inlineStr">
        <is>
          <t>-78 °C</t>
        </is>
      </c>
      <c r="I12" s="2" t="inlineStr">
        <is>
          <t>acetaldehyde (IKHGUXGNUITLKF-UHFFFAOYSA-N); acetone (CSCPPACGZOOCGX-UHFFFAOYSA-N)</t>
        </is>
      </c>
      <c r="J12" s="2" t="inlineStr"/>
      <c r="K12" s="2" t="inlineStr">
        <is>
          <t>F005 alkene (C=C)</t>
        </is>
      </c>
      <c r="L12" s="2" t="inlineStr">
        <is>
          <t>F018 aldehyde + F019 ketone</t>
        </is>
      </c>
      <c r="M12" s="3" t="inlineStr">
        <is>
          <t>[C:1]=[C:2]&gt;&gt;[C:1]=O.[C:2]=O</t>
        </is>
      </c>
      <c r="N12" s="2" t="inlineStr"/>
      <c r="O12" s="2" t="inlineStr">
        <is>
          <t>The C=C is cut; each carbon becomes a C=O (aldehyde or ketone).</t>
        </is>
      </c>
      <c r="P12" s="2" t="inlineStr"/>
      <c r="Q12" s="2" t="inlineStr">
        <is>
          <t>RDKit: the SMARTS on the reaction's molecules gives the expected product; consumed fragments found in the starting materials and formed fragments in the products</t>
        </is>
      </c>
      <c r="R12" s="2" t="inlineStr">
        <is>
          <t>standard textbook reaction (Clayden, Organic Chemistry; Klein, Organic Chemistry)</t>
        </is>
      </c>
      <c r="S12" s="2" t="inlineStr"/>
      <c r="T12" s="2" t="inlineStr"/>
      <c r="U12" s="2" t="inlineStr"/>
      <c r="V12" s="2" t="inlineStr"/>
      <c r="W12" s="3" t="inlineStr"/>
      <c r="X12" s="3" t="inlineStr"/>
      <c r="Y12" s="3" t="inlineStr"/>
      <c r="Z12" s="3" t="inlineStr"/>
      <c r="AA12" s="2" t="n">
        <v>1</v>
      </c>
      <c r="AB12" t="inlineStr">
        <is>
          <t>verified (replay passed)</t>
        </is>
      </c>
    </row>
    <row r="13">
      <c r="A13" s="2" t="inlineStr">
        <is>
          <t>R012</t>
        </is>
      </c>
      <c r="B13" s="3" t="inlineStr">
        <is>
          <t>C1=CCCCC1&gt;O=C1CCC(=O)N1Br&gt;BrC1C=CCCC1.O=C1CCC(=O)N1 | cond=light</t>
        </is>
      </c>
      <c r="C13" s="2" t="inlineStr">
        <is>
          <t>Allylic bromination</t>
        </is>
      </c>
      <c r="D13" s="2" t="inlineStr">
        <is>
          <t>cyclohexene (HGCIXCUEYOPUTN-UHFFFAOYSA-N)</t>
        </is>
      </c>
      <c r="E13" s="2" t="inlineStr"/>
      <c r="F13" s="2" t="inlineStr">
        <is>
          <t>NBS (PCLIMKBDDGJMGD-UHFFFAOYSA-N)</t>
        </is>
      </c>
      <c r="G13" s="2" t="inlineStr">
        <is>
          <t>NBS, CCl4, hv</t>
        </is>
      </c>
      <c r="H13" s="2" t="inlineStr">
        <is>
          <t>light</t>
        </is>
      </c>
      <c r="I13" s="2" t="inlineStr">
        <is>
          <t>3-bromocyclohexene (AJKDUJRRWLQXHM-UHFFFAOYSA-N)</t>
        </is>
      </c>
      <c r="J13" s="2" t="inlineStr">
        <is>
          <t>succinimide (KZNICNPSHKQLFF-UHFFFAOYSA-N)</t>
        </is>
      </c>
      <c r="K13" s="2" t="inlineStr">
        <is>
          <t>F037 allylic CH2</t>
        </is>
      </c>
      <c r="L13" s="2" t="inlineStr">
        <is>
          <t>F010 alkyl bromide</t>
        </is>
      </c>
      <c r="M13" s="3" t="inlineStr">
        <is>
          <t>[C:1]=[C:2][CH2:3]&gt;&gt;[C:1]=[C:2][C:3]Br</t>
        </is>
      </c>
      <c r="N13" s="2" t="inlineStr"/>
      <c r="O13" s="2" t="inlineStr">
        <is>
          <t>Radical substitution at the allylic C–H; the allylic radical can put Br at either end.</t>
        </is>
      </c>
      <c r="P13" s="2" t="inlineStr"/>
      <c r="Q13" s="2" t="inlineStr">
        <is>
          <t>RDKit: the SMARTS on the reaction's molecules gives the expected product; consumed fragments found in the starting materials and formed fragments in the products</t>
        </is>
      </c>
      <c r="R13" s="2" t="inlineStr">
        <is>
          <t>standard textbook reaction (Clayden, Organic Chemistry; Klein, Organic Chemistry)</t>
        </is>
      </c>
      <c r="S13" s="2" t="inlineStr"/>
      <c r="T13" s="2" t="inlineStr"/>
      <c r="U13" s="2" t="inlineStr"/>
      <c r="V13" s="2" t="inlineStr"/>
      <c r="W13" s="3" t="inlineStr"/>
      <c r="X13" s="3" t="inlineStr"/>
      <c r="Y13" s="3" t="inlineStr"/>
      <c r="Z13" s="3" t="inlineStr"/>
      <c r="AA13" s="2" t="n">
        <v>1</v>
      </c>
      <c r="AB13" t="inlineStr">
        <is>
          <t>verified (replay passed)</t>
        </is>
      </c>
    </row>
    <row r="14">
      <c r="A14" s="2" t="inlineStr">
        <is>
          <t>R013</t>
        </is>
      </c>
      <c r="B14" s="3" t="inlineStr">
        <is>
          <t>CC#CC&gt;[H][H]&gt;CCCC | cond=ethanol, room temperature</t>
        </is>
      </c>
      <c r="C14" s="2" t="inlineStr">
        <is>
          <t>Full hydrogenation of alkyne</t>
        </is>
      </c>
      <c r="D14" s="2" t="inlineStr">
        <is>
          <t>2-butyne (XNMQEEKYCVKGBD-UHFFFAOYSA-N)</t>
        </is>
      </c>
      <c r="E14" s="2" t="inlineStr"/>
      <c r="F14" s="2" t="inlineStr">
        <is>
          <t>H2 (excess), Pd/C (UFHFLCQGNIYNRP-UHFFFAOYSA-N)</t>
        </is>
      </c>
      <c r="G14" s="2" t="inlineStr">
        <is>
          <t>H2 (excess), Pd/C, rt</t>
        </is>
      </c>
      <c r="H14" s="2" t="inlineStr"/>
      <c r="I14" s="2" t="inlineStr">
        <is>
          <t>butane (IJDNQMDRQITEOD-UHFFFAOYSA-N)</t>
        </is>
      </c>
      <c r="J14" s="2" t="inlineStr"/>
      <c r="K14" s="2" t="inlineStr">
        <is>
          <t>F007 alkyne (C≡C)</t>
        </is>
      </c>
      <c r="L14" s="2" t="inlineStr">
        <is>
          <t>none (C–C/C–H only)</t>
        </is>
      </c>
      <c r="M14" s="3" t="inlineStr">
        <is>
          <t>[C:1]#[C:2]&gt;&gt;[C:1][C:2]</t>
        </is>
      </c>
      <c r="N14" s="2" t="inlineStr"/>
      <c r="O14" s="2" t="inlineStr">
        <is>
          <t>Both π bonds are reduced: alkyne to alkane.</t>
        </is>
      </c>
      <c r="P14" s="2" t="inlineStr"/>
      <c r="Q14" s="2" t="inlineStr">
        <is>
          <t>RDKit: the SMARTS on the reaction's molecules gives the expected product; consumed fragments found in the starting materials and formed fragments in the products</t>
        </is>
      </c>
      <c r="R14" s="2" t="inlineStr">
        <is>
          <t>standard textbook reaction (Clayden, Organic Chemistry; Klein, Organic Chemistry)</t>
        </is>
      </c>
      <c r="S14" s="2" t="inlineStr"/>
      <c r="T14" s="2" t="inlineStr">
        <is>
          <t>hydrogenation (H2, Pd)</t>
        </is>
      </c>
      <c r="U14" s="2" t="inlineStr"/>
      <c r="V14" s="2" t="inlineStr"/>
      <c r="W14" s="3" t="inlineStr"/>
      <c r="X14" s="3" t="inlineStr"/>
      <c r="Y14" s="3" t="inlineStr"/>
      <c r="Z14" s="3" t="inlineStr"/>
      <c r="AA14" s="2" t="n">
        <v>2</v>
      </c>
      <c r="AB14" t="inlineStr">
        <is>
          <t>verified (replay passed)</t>
        </is>
      </c>
    </row>
    <row r="15">
      <c r="A15" s="2" t="inlineStr">
        <is>
          <t>R014</t>
        </is>
      </c>
      <c r="B15" s="3" t="inlineStr">
        <is>
          <t>CC#CC&gt;[H][H].[Pb].[Pd]&gt;C/C=C\C | cond=room temperature</t>
        </is>
      </c>
      <c r="C15" s="2" t="inlineStr">
        <is>
          <t>Lindlar reduction to cis-alkene</t>
        </is>
      </c>
      <c r="D15" s="2" t="inlineStr">
        <is>
          <t>2-butyne (XNMQEEKYCVKGBD-UHFFFAOYSA-N)</t>
        </is>
      </c>
      <c r="E15" s="2" t="inlineStr"/>
      <c r="F15" s="2" t="inlineStr">
        <is>
          <t>H2, Lindlar catalyst (Pd/CaCO3, Pb) (AOMPCFQVUOCSSV-UHFFFAOYSA-N)</t>
        </is>
      </c>
      <c r="G15" s="2" t="inlineStr">
        <is>
          <t>H2, Lindlar catalyst, quinoline, rt</t>
        </is>
      </c>
      <c r="H15" s="2" t="inlineStr"/>
      <c r="I15" s="2" t="inlineStr">
        <is>
          <t>cis-2-butene (IAQRGUVFOMOMEM-ARJAWSKDSA-N)</t>
        </is>
      </c>
      <c r="J15" s="2" t="inlineStr"/>
      <c r="K15" s="2" t="inlineStr">
        <is>
          <t>F007 alkyne (C≡C)</t>
        </is>
      </c>
      <c r="L15" s="2" t="inlineStr">
        <is>
          <t>F005 alkene (C=C)</t>
        </is>
      </c>
      <c r="M15" s="3" t="inlineStr">
        <is>
          <t>[C:3][C:1]#[C:2][C:4]&gt;&gt;[C:3]/[C:1]=[C:2]\[C:4]</t>
        </is>
      </c>
      <c r="N15" s="2" t="inlineStr"/>
      <c r="O15" s="2" t="inlineStr">
        <is>
          <t>Syn addition on the poisoned catalyst stops at the Z (cis) alkene.</t>
        </is>
      </c>
      <c r="P15" s="2" t="inlineStr"/>
      <c r="Q15" s="2" t="inlineStr">
        <is>
          <t>RDKit: the SMARTS on the reaction's molecules gives the expected product; consumed fragments found in the starting materials and formed fragments in the products</t>
        </is>
      </c>
      <c r="R15" s="2" t="inlineStr">
        <is>
          <t>standard textbook reaction (Clayden, Organic Chemistry; Klein, Organic Chemistry)</t>
        </is>
      </c>
      <c r="S15" s="2" t="inlineStr"/>
      <c r="T15" s="2" t="inlineStr"/>
      <c r="U15" s="2" t="inlineStr"/>
      <c r="V15" s="2" t="inlineStr">
        <is>
          <t>syn addition: Z (cis) alkene</t>
        </is>
      </c>
      <c r="W15" s="3" t="inlineStr"/>
      <c r="X15" s="3" t="inlineStr"/>
      <c r="Y15" s="3" t="inlineStr"/>
      <c r="Z15" s="3" t="inlineStr"/>
      <c r="AA15" s="2" t="n">
        <v>1</v>
      </c>
      <c r="AB15" t="inlineStr">
        <is>
          <t>verified (replay passed)</t>
        </is>
      </c>
    </row>
    <row r="16">
      <c r="A16" s="2" t="inlineStr">
        <is>
          <t>R015</t>
        </is>
      </c>
      <c r="B16" s="3" t="inlineStr">
        <is>
          <t>CC#CC&gt;N.[Na]&gt;C/C=C/C | cond=-33 C</t>
        </is>
      </c>
      <c r="C16" s="2" t="inlineStr">
        <is>
          <t>Dissolving-metal reduction to trans-alkene</t>
        </is>
      </c>
      <c r="D16" s="2" t="inlineStr">
        <is>
          <t>2-butyne (XNMQEEKYCVKGBD-UHFFFAOYSA-N)</t>
        </is>
      </c>
      <c r="E16" s="2" t="inlineStr"/>
      <c r="F16" s="2" t="inlineStr">
        <is>
          <t>Na in liquid NH3 (KDFQYGBJUYYWDJ-UHFFFAOYSA-N)</t>
        </is>
      </c>
      <c r="G16" s="2" t="inlineStr">
        <is>
          <t>Na, NH3 (l), -33 °C</t>
        </is>
      </c>
      <c r="H16" s="2" t="inlineStr">
        <is>
          <t>&lt;= -30 °C</t>
        </is>
      </c>
      <c r="I16" s="2" t="inlineStr">
        <is>
          <t>trans-2-butene (IAQRGUVFOMOMEM-ONEGZZNKSA-N)</t>
        </is>
      </c>
      <c r="J16" s="2" t="inlineStr"/>
      <c r="K16" s="2" t="inlineStr">
        <is>
          <t>F007 alkyne (C≡C)</t>
        </is>
      </c>
      <c r="L16" s="2" t="inlineStr">
        <is>
          <t>F005 alkene (C=C)</t>
        </is>
      </c>
      <c r="M16" s="3" t="inlineStr">
        <is>
          <t>[C:3][C:1]#[C:2][C:4]&gt;&gt;[C:3]/[C:1]=[C:2]/[C:4]</t>
        </is>
      </c>
      <c r="N16" s="2" t="inlineStr"/>
      <c r="O16" s="2" t="inlineStr">
        <is>
          <t>Anti addition (radical anion, then vinyl anion) gives the E (trans) alkene.</t>
        </is>
      </c>
      <c r="P16" s="2" t="inlineStr"/>
      <c r="Q16" s="2" t="inlineStr">
        <is>
          <t>RDKit: the SMARTS on the reaction's molecules gives the expected product; consumed fragments found in the starting materials and formed fragments in the products</t>
        </is>
      </c>
      <c r="R16" s="2" t="inlineStr">
        <is>
          <t>standard textbook reaction (Clayden, Organic Chemistry; Klein, Organic Chemistry)</t>
        </is>
      </c>
      <c r="S16" s="2" t="inlineStr"/>
      <c r="T16" s="2" t="inlineStr"/>
      <c r="U16" s="2" t="inlineStr"/>
      <c r="V16" s="2" t="inlineStr">
        <is>
          <t>anti addition: E (trans) alkene</t>
        </is>
      </c>
      <c r="W16" s="3" t="inlineStr"/>
      <c r="X16" s="3" t="inlineStr"/>
      <c r="Y16" s="3" t="inlineStr"/>
      <c r="Z16" s="3" t="inlineStr"/>
      <c r="AA16" s="2" t="n">
        <v>2</v>
      </c>
      <c r="AB16" t="inlineStr">
        <is>
          <t>verified (replay passed)</t>
        </is>
      </c>
    </row>
    <row r="17">
      <c r="A17" s="2" t="inlineStr">
        <is>
          <t>R016</t>
        </is>
      </c>
      <c r="B17" s="3" t="inlineStr">
        <is>
          <t>C#CC&gt;O=S(=O)([O-])[O-].[Hg+2]&gt;CC(C)=O | cond=60 C, water</t>
        </is>
      </c>
      <c r="C17" s="2" t="inlineStr">
        <is>
          <t>Alkyne hydration (Hg2+)</t>
        </is>
      </c>
      <c r="D17" s="2" t="inlineStr">
        <is>
          <t>propyne (MWWATHDPGQKSAR-UHFFFAOYSA-N)</t>
        </is>
      </c>
      <c r="E17" s="2" t="inlineStr"/>
      <c r="F17" s="2" t="inlineStr">
        <is>
          <t>HgSO4, H2SO4, water (DOBUSJIVSSJEDA-UHFFFAOYSA-L)</t>
        </is>
      </c>
      <c r="G17" s="2" t="inlineStr">
        <is>
          <t>HgSO4, aqueous H2SO4, warm</t>
        </is>
      </c>
      <c r="H17" s="2" t="inlineStr">
        <is>
          <t>water</t>
        </is>
      </c>
      <c r="I17" s="2" t="inlineStr">
        <is>
          <t>acetone (CSCPPACGZOOCGX-UHFFFAOYSA-N)</t>
        </is>
      </c>
      <c r="J17" s="2" t="inlineStr"/>
      <c r="K17" s="2" t="inlineStr">
        <is>
          <t>F008 alkyne, terminal (C≡C–H)</t>
        </is>
      </c>
      <c r="L17" s="2" t="inlineStr">
        <is>
          <t>F019 ketone</t>
        </is>
      </c>
      <c r="M17" s="3" t="inlineStr">
        <is>
          <t>[C:1]#[CH1:2]&gt;&gt;[C:1](=O)[C:2]</t>
        </is>
      </c>
      <c r="N17" s="2" t="inlineStr"/>
      <c r="O17" s="2" t="inlineStr">
        <is>
          <t>Markovnikov: the enol tautomerises to the methyl ketone.</t>
        </is>
      </c>
      <c r="P17" s="2" t="inlineStr"/>
      <c r="Q17" s="2" t="inlineStr">
        <is>
          <t>RDKit: the SMARTS on the reaction's molecules gives the expected product; consumed fragments found in the starting materials and formed fragments in the products</t>
        </is>
      </c>
      <c r="R17" s="2" t="inlineStr">
        <is>
          <t>standard textbook reaction (Clayden, Organic Chemistry; Klein, Organic Chemistry)</t>
        </is>
      </c>
      <c r="S17" s="2" t="inlineStr"/>
      <c r="T17" s="2" t="inlineStr"/>
      <c r="U17" s="2" t="inlineStr"/>
      <c r="V17" s="2" t="inlineStr"/>
      <c r="W17" s="3" t="inlineStr"/>
      <c r="X17" s="3" t="inlineStr"/>
      <c r="Y17" s="3" t="inlineStr"/>
      <c r="Z17" s="3" t="inlineStr"/>
      <c r="AA17" s="2" t="inlineStr">
        <is>
          <t>catalytic</t>
        </is>
      </c>
      <c r="AB17" t="inlineStr">
        <is>
          <t>verified (replay passed)</t>
        </is>
      </c>
    </row>
    <row r="18">
      <c r="A18" s="2" t="inlineStr">
        <is>
          <t>R017</t>
        </is>
      </c>
      <c r="B18" s="3" t="inlineStr">
        <is>
          <t>c1ccccc1&gt;BrBr.[Br][Fe]([Br])[Br]&gt;Brc1ccccc1.Br | cond=anhydrous, room temperature</t>
        </is>
      </c>
      <c r="C18" s="2" t="inlineStr">
        <is>
          <t>Aromatic bromination</t>
        </is>
      </c>
      <c r="D18" s="2" t="inlineStr">
        <is>
          <t>benzene (UHOVQNZJYSORNB-UHFFFAOYSA-N)</t>
        </is>
      </c>
      <c r="E18" s="2" t="inlineStr"/>
      <c r="F18" s="2" t="inlineStr">
        <is>
          <t>Br2, FeBr3 (UNUQRBHTHXQLSB-UHFFFAOYSA-K)</t>
        </is>
      </c>
      <c r="G18" s="2" t="inlineStr">
        <is>
          <t>Br2, FeBr3 (Lewis acid), anhydrous</t>
        </is>
      </c>
      <c r="H18" s="2" t="inlineStr">
        <is>
          <t>anhydrous</t>
        </is>
      </c>
      <c r="I18" s="2" t="inlineStr">
        <is>
          <t>bromobenzene (QARVLSVVCXYDNA-UHFFFAOYSA-N)</t>
        </is>
      </c>
      <c r="J18" s="2" t="inlineStr">
        <is>
          <t>hydrogen bromide (CPELXLSAUQHCOX-UHFFFAOYSA-N)</t>
        </is>
      </c>
      <c r="K18" s="2" t="inlineStr">
        <is>
          <t>F009 arene C–H</t>
        </is>
      </c>
      <c r="L18" s="2" t="inlineStr">
        <is>
          <t>F013 aryl bromide</t>
        </is>
      </c>
      <c r="M18" s="3" t="inlineStr">
        <is>
          <t>[cH:1]&gt;&gt;[c:1]Br</t>
        </is>
      </c>
      <c r="N18" s="2" t="inlineStr"/>
      <c r="O18" s="2" t="inlineStr">
        <is>
          <t>Electrophilic aromatic substitution. On substituted rings the directing groups decide the position (not in this SMARTS).</t>
        </is>
      </c>
      <c r="P18" s="2" t="inlineStr"/>
      <c r="Q18" s="2" t="inlineStr">
        <is>
          <t>RDKit: the SMARTS on the reaction's molecules gives the expected product; consumed fragments found in the starting materials and formed fragments in the products</t>
        </is>
      </c>
      <c r="R18" s="2" t="inlineStr">
        <is>
          <t>standard textbook reaction (Clayden, Organic Chemistry; Klein, Organic Chemistry)</t>
        </is>
      </c>
      <c r="S18" s="2" t="inlineStr"/>
      <c r="T18" s="2" t="inlineStr"/>
      <c r="U18" s="2" t="inlineStr">
        <is>
          <t>yes</t>
        </is>
      </c>
      <c r="V18" s="2" t="inlineStr"/>
      <c r="W18" s="3" t="inlineStr"/>
      <c r="X18" s="3" t="inlineStr"/>
      <c r="Y18" s="3" t="inlineStr"/>
      <c r="Z18" s="3" t="inlineStr"/>
      <c r="AA18" s="2" t="n">
        <v>1</v>
      </c>
      <c r="AB18" t="inlineStr">
        <is>
          <t>verified (replay passed)</t>
        </is>
      </c>
    </row>
    <row r="19">
      <c r="A19" s="2" t="inlineStr">
        <is>
          <t>R018</t>
        </is>
      </c>
      <c r="B19" s="3" t="inlineStr">
        <is>
          <t>c1ccccc1&gt;O=S(=O)(O)O.O=[N+]([O-])O&gt;O=[N+]([O-])c1ccccc1.O | cond=50 C</t>
        </is>
      </c>
      <c r="C19" s="2" t="inlineStr">
        <is>
          <t>Nitration</t>
        </is>
      </c>
      <c r="D19" s="2" t="inlineStr">
        <is>
          <t>benzene (UHOVQNZJYSORNB-UHFFFAOYSA-N)</t>
        </is>
      </c>
      <c r="E19" s="2" t="inlineStr"/>
      <c r="F19" s="2" t="inlineStr">
        <is>
          <t>HNO3, H2SO4 (ZODDGFAZWTZOSI-UHFFFAOYSA-N)</t>
        </is>
      </c>
      <c r="G19" s="2" t="inlineStr">
        <is>
          <t>conc. HNO3 + conc. H2SO4 (NO2+), 50 °C</t>
        </is>
      </c>
      <c r="H19" s="2" t="inlineStr">
        <is>
          <t>0-60 °C, concentrated</t>
        </is>
      </c>
      <c r="I19" s="2" t="inlineStr">
        <is>
          <t>nitrobenzene (LQNUZADURLCDLV-UHFFFAOYSA-N)</t>
        </is>
      </c>
      <c r="J19" s="2" t="inlineStr">
        <is>
          <t>water (XLYOFNOQVPJJNP-UHFFFAOYSA-N)</t>
        </is>
      </c>
      <c r="K19" s="2" t="inlineStr">
        <is>
          <t>F009 arene C–H</t>
        </is>
      </c>
      <c r="L19" s="2" t="inlineStr">
        <is>
          <t>F025 nitroarene</t>
        </is>
      </c>
      <c r="M19" s="3" t="inlineStr">
        <is>
          <t>[cH:1]&gt;&gt;[c:1][N+](=O)[O-]</t>
        </is>
      </c>
      <c r="N19" s="2" t="inlineStr"/>
      <c r="O19" s="2" t="inlineStr">
        <is>
          <t>Electrophilic aromatic substitution by the nitronium ion; above about 60 °C dinitration starts.</t>
        </is>
      </c>
      <c r="P19" s="2" t="inlineStr"/>
      <c r="Q19" s="2" t="inlineStr">
        <is>
          <t>RDKit: the SMARTS on the reaction's molecules gives the expected product; consumed fragments found in the starting materials and formed fragments in the products</t>
        </is>
      </c>
      <c r="R19" s="2" t="inlineStr">
        <is>
          <t>standard textbook reaction (Clayden, Organic Chemistry; Klein, Organic Chemistry)</t>
        </is>
      </c>
      <c r="S19" s="2" t="inlineStr"/>
      <c r="T19" s="2" t="inlineStr"/>
      <c r="U19" s="2" t="inlineStr">
        <is>
          <t>yes</t>
        </is>
      </c>
      <c r="V19" s="2" t="inlineStr"/>
      <c r="W19" s="3" t="inlineStr"/>
      <c r="X19" s="3" t="inlineStr"/>
      <c r="Y19" s="3" t="inlineStr"/>
      <c r="Z19" s="3" t="inlineStr"/>
      <c r="AA19" s="2" t="n">
        <v>1</v>
      </c>
      <c r="AB19" t="inlineStr">
        <is>
          <t>verified (replay passed)</t>
        </is>
      </c>
    </row>
    <row r="20">
      <c r="A20" s="2" t="inlineStr">
        <is>
          <t>R019</t>
        </is>
      </c>
      <c r="B20" s="3" t="inlineStr">
        <is>
          <t>c1ccccc1.CC(=O)Cl&gt;[Cl][Al]([Cl])[Cl]&gt;CC(=O)c1ccccc1.Cl | cond=anhydrous, dichloromethane</t>
        </is>
      </c>
      <c r="C20" s="2" t="inlineStr">
        <is>
          <t>Friedel-Crafts acylation</t>
        </is>
      </c>
      <c r="D20" s="2" t="inlineStr">
        <is>
          <t>benzene (UHOVQNZJYSORNB-UHFFFAOYSA-N)</t>
        </is>
      </c>
      <c r="E20" s="2" t="inlineStr">
        <is>
          <t>acetyl chloride (WETWJCDKMRHUPV-UHFFFAOYSA-N)</t>
        </is>
      </c>
      <c r="F20" s="2" t="inlineStr">
        <is>
          <t>AlCl3 (VSCWAEJMTAWNJL-UHFFFAOYSA-K)</t>
        </is>
      </c>
      <c r="G20" s="2" t="inlineStr">
        <is>
          <t>RCOCl, AlCl3, anhydrous; then water</t>
        </is>
      </c>
      <c r="H20" s="2" t="inlineStr">
        <is>
          <t>anhydrous</t>
        </is>
      </c>
      <c r="I20" s="2" t="inlineStr">
        <is>
          <t>acetophenone (KWOLFJPFCHCOCG-UHFFFAOYSA-N)</t>
        </is>
      </c>
      <c r="J20" s="2" t="inlineStr">
        <is>
          <t>hydrogen chloride (VEXZGXHMUGYJMC-UHFFFAOYSA-N)</t>
        </is>
      </c>
      <c r="K20" s="2" t="inlineStr">
        <is>
          <t>F009 arene C–H + F020 acyl chloride</t>
        </is>
      </c>
      <c r="L20" s="2" t="inlineStr">
        <is>
          <t>F019 ketone</t>
        </is>
      </c>
      <c r="M20" s="3" t="inlineStr">
        <is>
          <t>[cH:1].[C:2](=[O:3])Cl&gt;&gt;[c:1][C:2]=[O:3]</t>
        </is>
      </c>
      <c r="N20" s="2" t="inlineStr"/>
      <c r="O20" s="2" t="inlineStr">
        <is>
          <t>Acylium ion; no rearrangement; only one acyl group adds (the ketone deactivates the ring).</t>
        </is>
      </c>
      <c r="P20" s="2" t="inlineStr"/>
      <c r="Q20" s="2" t="inlineStr">
        <is>
          <t>RDKit: the SMARTS on the reaction's molecules gives the expected product; consumed fragments found in the starting materials and formed fragments in the products</t>
        </is>
      </c>
      <c r="R20" s="2" t="inlineStr">
        <is>
          <t>standard textbook reaction (Clayden, Organic Chemistry; Klein, Organic Chemistry)</t>
        </is>
      </c>
      <c r="S20" s="2" t="inlineStr"/>
      <c r="T20" s="2" t="inlineStr"/>
      <c r="U20" s="2" t="inlineStr">
        <is>
          <t>yes, Friedel–Crafts</t>
        </is>
      </c>
      <c r="V20" s="2" t="inlineStr"/>
      <c r="W20" s="3" t="inlineStr"/>
      <c r="X20" s="3" t="inlineStr"/>
      <c r="Y20" s="3" t="inlineStr"/>
      <c r="Z20" s="3" t="inlineStr"/>
      <c r="AA20" s="2" t="n">
        <v>1</v>
      </c>
      <c r="AB20" t="inlineStr">
        <is>
          <t>verified (replay passed)</t>
        </is>
      </c>
    </row>
    <row r="21">
      <c r="A21" s="2" t="inlineStr">
        <is>
          <t>R020</t>
        </is>
      </c>
      <c r="B21" s="3" t="inlineStr">
        <is>
          <t>c1ccccc1.CC(C)(C)Cl&gt;[Cl][Al]([Cl])[Cl]&gt;CC(C)(C)c1ccccc1.Cl | cond=anhydrous, dichloromethane</t>
        </is>
      </c>
      <c r="C21" s="2" t="inlineStr">
        <is>
          <t>Friedel-Crafts alkylation</t>
        </is>
      </c>
      <c r="D21" s="2" t="inlineStr">
        <is>
          <t>benzene (UHOVQNZJYSORNB-UHFFFAOYSA-N)</t>
        </is>
      </c>
      <c r="E21" s="2" t="inlineStr">
        <is>
          <t>tert-butyl chloride (NBRKLOOSMBRFMH-UHFFFAOYSA-N)</t>
        </is>
      </c>
      <c r="F21" s="2" t="inlineStr">
        <is>
          <t>AlCl3 (VSCWAEJMTAWNJL-UHFFFAOYSA-K)</t>
        </is>
      </c>
      <c r="G21" s="2" t="inlineStr">
        <is>
          <t>R–Cl, AlCl3, anhydrous</t>
        </is>
      </c>
      <c r="H21" s="2" t="inlineStr">
        <is>
          <t>anhydrous</t>
        </is>
      </c>
      <c r="I21" s="2" t="inlineStr">
        <is>
          <t>tert-butylbenzene (YTZKOQUCBOVLHL-UHFFFAOYSA-N)</t>
        </is>
      </c>
      <c r="J21" s="2" t="inlineStr">
        <is>
          <t>hydrogen chloride (VEXZGXHMUGYJMC-UHFFFAOYSA-N)</t>
        </is>
      </c>
      <c r="K21" s="2" t="inlineStr">
        <is>
          <t>F009 arene C–H + F011 alkyl chloride</t>
        </is>
      </c>
      <c r="L21" s="2" t="inlineStr">
        <is>
          <t>F038 alkyl arene (aryl–C sp3)</t>
        </is>
      </c>
      <c r="M21" s="3" t="inlineStr">
        <is>
          <t>[cH:1].[CX4:2]Cl&gt;&gt;[c:1][C:2]</t>
        </is>
      </c>
      <c r="N21" s="2" t="inlineStr"/>
      <c r="O21" s="2" t="inlineStr">
        <is>
          <t>Carbocation: rearrangements and polyalkylation are common (tert-butyl is a clean case).</t>
        </is>
      </c>
      <c r="P21" s="2" t="inlineStr"/>
      <c r="Q21" s="2" t="inlineStr">
        <is>
          <t>RDKit: the SMARTS on the reaction's molecules gives the expected product; consumed fragments found in the starting materials and formed fragments in the products</t>
        </is>
      </c>
      <c r="R21" s="2" t="inlineStr">
        <is>
          <t>standard textbook reaction (Clayden, Organic Chemistry; Klein, Organic Chemistry)</t>
        </is>
      </c>
      <c r="S21" s="2" t="inlineStr"/>
      <c r="T21" s="2" t="inlineStr"/>
      <c r="U21" s="2" t="inlineStr">
        <is>
          <t>yes, Friedel–Crafts</t>
        </is>
      </c>
      <c r="V21" s="2" t="inlineStr"/>
      <c r="W21" s="3" t="inlineStr"/>
      <c r="X21" s="3" t="inlineStr"/>
      <c r="Y21" s="3" t="inlineStr"/>
      <c r="Z21" s="3" t="inlineStr">
        <is>
          <t>[CX4]Cl | cation=1 | leaving=2 | then=rerun</t>
        </is>
      </c>
      <c r="AA21" s="2" t="inlineStr">
        <is>
          <t>catalytic</t>
        </is>
      </c>
      <c r="AB21" t="inlineStr">
        <is>
          <t>verified (replay passed)</t>
        </is>
      </c>
    </row>
    <row r="22">
      <c r="A22" s="2" t="inlineStr">
        <is>
          <t>R021</t>
        </is>
      </c>
      <c r="B22" s="3" t="inlineStr">
        <is>
          <t>Cc1ccccc1&gt;O=C1CCC(=O)N1Br&gt;BrCc1ccccc1.O=C1CCC(=O)N1 | cond=light</t>
        </is>
      </c>
      <c r="C22" s="2" t="inlineStr">
        <is>
          <t>Benzylic bromination</t>
        </is>
      </c>
      <c r="D22" s="2" t="inlineStr">
        <is>
          <t>toluene (YXFVVABEGXRONW-UHFFFAOYSA-N)</t>
        </is>
      </c>
      <c r="E22" s="2" t="inlineStr"/>
      <c r="F22" s="2" t="inlineStr">
        <is>
          <t>NBS (PCLIMKBDDGJMGD-UHFFFAOYSA-N)</t>
        </is>
      </c>
      <c r="G22" s="2" t="inlineStr">
        <is>
          <t>NBS, CCl4, hv</t>
        </is>
      </c>
      <c r="H22" s="2" t="inlineStr">
        <is>
          <t>light</t>
        </is>
      </c>
      <c r="I22" s="2" t="inlineStr">
        <is>
          <t>benzyl bromide (AGEZXYOZHKGVCM-UHFFFAOYSA-N)</t>
        </is>
      </c>
      <c r="J22" s="2" t="inlineStr">
        <is>
          <t>succinimide (KZNICNPSHKQLFF-UHFFFAOYSA-N)</t>
        </is>
      </c>
      <c r="K22" s="2" t="inlineStr">
        <is>
          <t>F035 aryl methyl (benzylic C–H)</t>
        </is>
      </c>
      <c r="L22" s="2" t="inlineStr">
        <is>
          <t>F036 benzylic bromide</t>
        </is>
      </c>
      <c r="M22" s="3" t="inlineStr">
        <is>
          <t>[c:1][CH3:2]&gt;&gt;[c:1][C:2]Br</t>
        </is>
      </c>
      <c r="N22" s="2" t="inlineStr"/>
      <c r="O22" s="2" t="inlineStr">
        <is>
          <t>Radical substitution at the benzylic C–H (resonance-stabilised benzyl radical).</t>
        </is>
      </c>
      <c r="P22" s="2" t="inlineStr"/>
      <c r="Q22" s="2" t="inlineStr">
        <is>
          <t>RDKit: the SMARTS on the reaction's molecules gives the expected product; consumed fragments found in the starting materials and formed fragments in the products</t>
        </is>
      </c>
      <c r="R22" s="2" t="inlineStr">
        <is>
          <t>standard textbook reaction (Clayden, Organic Chemistry; Klein, Organic Chemistry)</t>
        </is>
      </c>
      <c r="S22" s="2" t="inlineStr"/>
      <c r="T22" s="2" t="inlineStr"/>
      <c r="U22" s="2" t="inlineStr"/>
      <c r="V22" s="2" t="inlineStr"/>
      <c r="W22" s="3" t="inlineStr"/>
      <c r="X22" s="3" t="inlineStr"/>
      <c r="Y22" s="3" t="inlineStr"/>
      <c r="Z22" s="3" t="inlineStr"/>
      <c r="AA22" s="2" t="n">
        <v>1</v>
      </c>
      <c r="AB22" t="inlineStr">
        <is>
          <t>verified (replay passed)</t>
        </is>
      </c>
    </row>
    <row r="23">
      <c r="A23" s="2" t="inlineStr">
        <is>
          <t>R022</t>
        </is>
      </c>
      <c r="B23" s="3" t="inlineStr">
        <is>
          <t>Cc1ccccc1&gt;[K+].[O]=[Mn](=[O])(=[O])[O-]&gt;O=C(O)c1ccccc1 | cond=reflux, water</t>
        </is>
      </c>
      <c r="C23" s="2" t="inlineStr">
        <is>
          <t>Side-chain oxidation (KMnO4)</t>
        </is>
      </c>
      <c r="D23" s="2" t="inlineStr">
        <is>
          <t>toluene (YXFVVABEGXRONW-UHFFFAOYSA-N)</t>
        </is>
      </c>
      <c r="E23" s="2" t="inlineStr"/>
      <c r="F23" s="2" t="inlineStr">
        <is>
          <t>KMnO4, then H3O+ (VZJVWSHVAAUDKD-UHFFFAOYSA-N)</t>
        </is>
      </c>
      <c r="G23" s="2" t="inlineStr">
        <is>
          <t>KMnO4, water, reflux; then acid</t>
        </is>
      </c>
      <c r="H23" s="2" t="inlineStr">
        <is>
          <t>water, &gt;= 80 °C</t>
        </is>
      </c>
      <c r="I23" s="2" t="inlineStr">
        <is>
          <t>benzoic acid (WPYMKLBDIGXBTP-UHFFFAOYSA-N)</t>
        </is>
      </c>
      <c r="J23" s="2" t="inlineStr"/>
      <c r="K23" s="2" t="inlineStr">
        <is>
          <t>F035 aryl methyl (benzylic C–H)</t>
        </is>
      </c>
      <c r="L23" s="2" t="inlineStr">
        <is>
          <t>F001 carboxylic acid</t>
        </is>
      </c>
      <c r="M23" s="3" t="inlineStr">
        <is>
          <t>[c:1][CH3:2]&gt;&gt;[c:1][C:2](=O)O</t>
        </is>
      </c>
      <c r="N23" s="2" t="inlineStr"/>
      <c r="O23" s="2" t="inlineStr">
        <is>
          <t>Any benzylic C with an H is oxidised to COOH; a tert-butyl group is not.</t>
        </is>
      </c>
      <c r="P23" s="2" t="inlineStr"/>
      <c r="Q23" s="2" t="inlineStr">
        <is>
          <t>RDKit: the SMARTS on the reaction's molecules gives the expected product; consumed fragments found in the starting materials and formed fragments in the products</t>
        </is>
      </c>
      <c r="R23" s="2" t="inlineStr">
        <is>
          <t>standard textbook reaction (Clayden, Organic Chemistry; Klein, Organic Chemistry)</t>
        </is>
      </c>
      <c r="S23" s="2" t="inlineStr"/>
      <c r="T23" s="2" t="inlineStr"/>
      <c r="U23" s="2" t="inlineStr"/>
      <c r="V23" s="2" t="inlineStr"/>
      <c r="W23" s="3" t="inlineStr"/>
      <c r="X23" s="3" t="inlineStr"/>
      <c r="Y23" s="3" t="inlineStr"/>
      <c r="Z23" s="3" t="inlineStr"/>
      <c r="AA23" s="2" t="n">
        <v>2</v>
      </c>
      <c r="AB23" t="inlineStr">
        <is>
          <t>verified (replay passed)</t>
        </is>
      </c>
    </row>
    <row r="24">
      <c r="A24" s="2" t="inlineStr">
        <is>
          <t>R023</t>
        </is>
      </c>
      <c r="B24" s="3" t="inlineStr">
        <is>
          <t>O=[N+]([O-])c1ccccc1&gt;Cl.[Fe]&gt;Nc1ccccc1.O | cond=ethanol, reflux</t>
        </is>
      </c>
      <c r="C24" s="2" t="inlineStr">
        <is>
          <t>Nitro reduction (Fe/HCl)</t>
        </is>
      </c>
      <c r="D24" s="2" t="inlineStr">
        <is>
          <t>nitrobenzene (LQNUZADURLCDLV-UHFFFAOYSA-N)</t>
        </is>
      </c>
      <c r="E24" s="2" t="inlineStr"/>
      <c r="F24" s="2" t="inlineStr">
        <is>
          <t>Fe, HCl (FBAFATDZDUQKNH-UHFFFAOYSA-N)</t>
        </is>
      </c>
      <c r="G24" s="2" t="inlineStr">
        <is>
          <t>Fe, HCl (aq), heat; then base</t>
        </is>
      </c>
      <c r="H24" s="2" t="inlineStr"/>
      <c r="I24" s="2" t="inlineStr">
        <is>
          <t>aniline (PAYRUJLWNCNPSJ-UHFFFAOYSA-N)</t>
        </is>
      </c>
      <c r="J24" s="2" t="inlineStr">
        <is>
          <t>water (XLYOFNOQVPJJNP-UHFFFAOYSA-N)</t>
        </is>
      </c>
      <c r="K24" s="2" t="inlineStr">
        <is>
          <t>F025 nitroarene</t>
        </is>
      </c>
      <c r="L24" s="2" t="inlineStr">
        <is>
          <t>F026 arylamine (aniline NH2)</t>
        </is>
      </c>
      <c r="M24" s="3" t="inlineStr">
        <is>
          <t>[c:1][N+](=O)[O-]&gt;&gt;[c:1]N</t>
        </is>
      </c>
      <c r="N24" s="2" t="inlineStr"/>
      <c r="O24" s="2" t="inlineStr">
        <is>
          <t>Nitroarene to aniline (6 electrons).</t>
        </is>
      </c>
      <c r="P24" s="2" t="inlineStr"/>
      <c r="Q24" s="2" t="inlineStr">
        <is>
          <t>RDKit: the SMARTS on the reaction's molecules gives the expected product; consumed fragments found in the starting materials and formed fragments in the products</t>
        </is>
      </c>
      <c r="R24" s="2" t="inlineStr">
        <is>
          <t>standard textbook reaction (Clayden, Organic Chemistry; Klein, Organic Chemistry)</t>
        </is>
      </c>
      <c r="S24" s="2" t="inlineStr"/>
      <c r="T24" s="2" t="inlineStr"/>
      <c r="U24" s="2" t="inlineStr"/>
      <c r="V24" s="2" t="inlineStr"/>
      <c r="W24" s="3" t="inlineStr"/>
      <c r="X24" s="3" t="inlineStr"/>
      <c r="Y24" s="3" t="inlineStr"/>
      <c r="Z24" s="3" t="inlineStr"/>
      <c r="AA24" s="2" t="n">
        <v>3</v>
      </c>
      <c r="AB24" t="inlineStr">
        <is>
          <t>verified (replay passed)</t>
        </is>
      </c>
    </row>
    <row r="25">
      <c r="A25" s="2" t="inlineStr">
        <is>
          <t>R024</t>
        </is>
      </c>
      <c r="B25" s="3" t="inlineStr">
        <is>
          <t>Nc1ccccc1&gt;Cl.O=N[O-].[Na+]&gt;N#[N+]c1ccccc1.O | cond=0 C, water</t>
        </is>
      </c>
      <c r="C25" s="2" t="inlineStr">
        <is>
          <t>Diazotisation</t>
        </is>
      </c>
      <c r="D25" s="2" t="inlineStr">
        <is>
          <t>aniline (PAYRUJLWNCNPSJ-UHFFFAOYSA-N)</t>
        </is>
      </c>
      <c r="E25" s="2" t="inlineStr"/>
      <c r="F25" s="2" t="inlineStr">
        <is>
          <t>NaNO2, HCl (BXQYQBFZTKKPHI-UHFFFAOYSA-M)</t>
        </is>
      </c>
      <c r="G25" s="2" t="inlineStr">
        <is>
          <t>NaNO2, HCl (aq), 0-5 °C</t>
        </is>
      </c>
      <c r="H25" s="2" t="inlineStr">
        <is>
          <t>0-5 °C</t>
        </is>
      </c>
      <c r="I25" s="2" t="inlineStr">
        <is>
          <t>benzenediazonium (CIZVQWNPBGYCGK-UHFFFAOYSA-N)</t>
        </is>
      </c>
      <c r="J25" s="2" t="inlineStr">
        <is>
          <t>water (XLYOFNOQVPJJNP-UHFFFAOYSA-N)</t>
        </is>
      </c>
      <c r="K25" s="2" t="inlineStr">
        <is>
          <t>F026 arylamine (aniline NH2)</t>
        </is>
      </c>
      <c r="L25" s="2" t="inlineStr">
        <is>
          <t>F027 aryl diazonium</t>
        </is>
      </c>
      <c r="M25" s="3" t="inlineStr">
        <is>
          <t>[c:1][NH2]&gt;&gt;[c:1][N+]#N</t>
        </is>
      </c>
      <c r="N25" s="2" t="inlineStr"/>
      <c r="O25" s="2" t="inlineStr">
        <is>
          <t>Aryl diazonium salt (chloride); it decomposes above about 5 °C.</t>
        </is>
      </c>
      <c r="P25" s="2" t="inlineStr"/>
      <c r="Q25" s="2" t="inlineStr">
        <is>
          <t>RDKit: the SMARTS on the reaction's molecules gives the expected product; consumed fragments found in the starting materials and formed fragments in the products</t>
        </is>
      </c>
      <c r="R25" s="2" t="inlineStr">
        <is>
          <t>standard textbook reaction (Clayden, Organic Chemistry; Klein, Organic Chemistry)</t>
        </is>
      </c>
      <c r="S25" s="2" t="inlineStr"/>
      <c r="T25" s="2" t="inlineStr"/>
      <c r="U25" s="2" t="inlineStr"/>
      <c r="V25" s="2" t="inlineStr"/>
      <c r="W25" s="3" t="inlineStr"/>
      <c r="X25" s="3" t="inlineStr"/>
      <c r="Y25" s="3" t="inlineStr"/>
      <c r="Z25" s="3" t="inlineStr"/>
      <c r="AA25" s="2" t="n">
        <v>1</v>
      </c>
      <c r="AB25" t="inlineStr">
        <is>
          <t>verified (replay passed)</t>
        </is>
      </c>
    </row>
    <row r="26">
      <c r="A26" s="2" t="inlineStr">
        <is>
          <t>R025</t>
        </is>
      </c>
      <c r="B26" s="3" t="inlineStr">
        <is>
          <t>N#[N+]c1ccccc1&gt;[Cu][Br]&gt;Brc1ccccc1.N#N | cond=room temperature</t>
        </is>
      </c>
      <c r="C26" s="2" t="inlineStr">
        <is>
          <t>Sandmeyer bromination</t>
        </is>
      </c>
      <c r="D26" s="2" t="inlineStr">
        <is>
          <t>benzenediazonium (CIZVQWNPBGYCGK-UHFFFAOYSA-N)</t>
        </is>
      </c>
      <c r="E26" s="2" t="inlineStr"/>
      <c r="F26" s="2" t="inlineStr">
        <is>
          <t>CuBr (NKNDPYCGAZPOFS-UHFFFAOYSA-M)</t>
        </is>
      </c>
      <c r="G26" s="2" t="inlineStr">
        <is>
          <t>CuBr, rt to warm</t>
        </is>
      </c>
      <c r="H26" s="2" t="inlineStr"/>
      <c r="I26" s="2" t="inlineStr">
        <is>
          <t>bromobenzene (QARVLSVVCXYDNA-UHFFFAOYSA-N)</t>
        </is>
      </c>
      <c r="J26" s="2" t="inlineStr">
        <is>
          <t>nitrogen (IJGRMHOSHXDMSA-UHFFFAOYSA-N)</t>
        </is>
      </c>
      <c r="K26" s="2" t="inlineStr">
        <is>
          <t>F027 aryl diazonium</t>
        </is>
      </c>
      <c r="L26" s="2" t="inlineStr">
        <is>
          <t>F013 aryl bromide</t>
        </is>
      </c>
      <c r="M26" s="3" t="inlineStr">
        <is>
          <t>[c:1][N+]#N&gt;&gt;[c:1]Br</t>
        </is>
      </c>
      <c r="N26" s="2" t="inlineStr"/>
      <c r="O26" s="2" t="inlineStr">
        <is>
          <t>Radical mechanism through Cu(I)/Cu(II); N2 leaves.</t>
        </is>
      </c>
      <c r="P26" s="2" t="inlineStr"/>
      <c r="Q26" s="2" t="inlineStr">
        <is>
          <t>RDKit: the SMARTS on the reaction's molecules gives the expected product; consumed fragments found in the starting materials and formed fragments in the products</t>
        </is>
      </c>
      <c r="R26" s="2" t="inlineStr">
        <is>
          <t>standard textbook reaction (Clayden, Organic Chemistry; Klein, Organic Chemistry)</t>
        </is>
      </c>
      <c r="S26" s="2" t="inlineStr"/>
      <c r="T26" s="2" t="inlineStr"/>
      <c r="U26" s="2" t="inlineStr"/>
      <c r="V26" s="2" t="inlineStr"/>
      <c r="W26" s="3" t="inlineStr"/>
      <c r="X26" s="3" t="inlineStr"/>
      <c r="Y26" s="3" t="inlineStr"/>
      <c r="Z26" s="3" t="inlineStr"/>
      <c r="AA26" s="2" t="n">
        <v>1</v>
      </c>
      <c r="AB26" t="inlineStr">
        <is>
          <t>verified (replay passed)</t>
        </is>
      </c>
    </row>
    <row r="27">
      <c r="A27" s="2" t="inlineStr">
        <is>
          <t>R026</t>
        </is>
      </c>
      <c r="B27" s="3" t="inlineStr">
        <is>
          <t>CCCCBr&gt;[C-]#N.[Na+]&gt;CCCCC#N.[Br-].[Na+] | cond=DMSO</t>
        </is>
      </c>
      <c r="C27" s="2" t="inlineStr">
        <is>
          <t>SN2 with cyanide</t>
        </is>
      </c>
      <c r="D27" s="2" t="inlineStr">
        <is>
          <t>1-bromobutane (MPPPKRYCTPRNTB-UHFFFAOYSA-N)</t>
        </is>
      </c>
      <c r="E27" s="2" t="inlineStr"/>
      <c r="F27" s="2" t="inlineStr">
        <is>
          <t>NaCN (MNWBNISUBARLIT-UHFFFAOYSA-N)</t>
        </is>
      </c>
      <c r="G27" s="2" t="inlineStr">
        <is>
          <t>NaCN, polar aprotic solvent (DMSO)</t>
        </is>
      </c>
      <c r="H27" s="2" t="inlineStr">
        <is>
          <t>DMSO | DMF | acetone</t>
        </is>
      </c>
      <c r="I27" s="2" t="inlineStr">
        <is>
          <t>pentanenitrile (valeronitrile) (RFFFKMOABOFIDF-UHFFFAOYSA-N)</t>
        </is>
      </c>
      <c r="J27" s="2" t="inlineStr">
        <is>
          <t>sodium bromide (JHJLBTNAGRQEKS-UHFFFAOYSA-M)</t>
        </is>
      </c>
      <c r="K27" s="2" t="inlineStr">
        <is>
          <t>F010 alkyl bromide</t>
        </is>
      </c>
      <c r="L27" s="2" t="inlineStr">
        <is>
          <t>F022 nitrile</t>
        </is>
      </c>
      <c r="M27" s="3" t="inlineStr">
        <is>
          <t>[CH2:1]Br&gt;&gt;[C:1]C#N</t>
        </is>
      </c>
      <c r="N27" s="2" t="inlineStr"/>
      <c r="O27" s="2" t="inlineStr">
        <is>
          <t>Backside attack: inversion at a stereocentre; primary carbon (fastest SN2 after methyl).</t>
        </is>
      </c>
      <c r="P27" s="2" t="inlineStr"/>
      <c r="Q27" s="2" t="inlineStr">
        <is>
          <t>RDKit: the SMARTS on the reaction's molecules gives the expected product; consumed fragments found in the starting materials and formed fragments in the products</t>
        </is>
      </c>
      <c r="R27" s="2" t="inlineStr">
        <is>
          <t>standard textbook reaction (Clayden, Organic Chemistry; Klein, Organic Chemistry)</t>
        </is>
      </c>
      <c r="S27" s="2" t="inlineStr"/>
      <c r="T27" s="2" t="inlineStr">
        <is>
          <t>SN2 at an alkyl halide</t>
        </is>
      </c>
      <c r="U27" s="2" t="inlineStr"/>
      <c r="V27" s="2" t="inlineStr">
        <is>
          <t>inversion (SN2)</t>
        </is>
      </c>
      <c r="W27" s="3" t="inlineStr"/>
      <c r="X27" s="3" t="inlineStr"/>
      <c r="Y27" s="3" t="inlineStr"/>
      <c r="Z27" s="3" t="inlineStr"/>
      <c r="AA27" s="2" t="n">
        <v>1</v>
      </c>
      <c r="AB27" t="inlineStr">
        <is>
          <t>verified (replay passed)</t>
        </is>
      </c>
    </row>
    <row r="28">
      <c r="A28" s="2" t="inlineStr">
        <is>
          <t>R027</t>
        </is>
      </c>
      <c r="B28" s="3" t="inlineStr">
        <is>
          <t>CCBr&gt;CC[O-].[Na+]&gt;CCOCC.[Br-].[Na+] | cond=ethanol</t>
        </is>
      </c>
      <c r="C28" s="2" t="inlineStr">
        <is>
          <t>Williamson ether synthesis</t>
        </is>
      </c>
      <c r="D28" s="2" t="inlineStr">
        <is>
          <t>bromoethane (RDHPKYGYEGBMSE-UHFFFAOYSA-N)</t>
        </is>
      </c>
      <c r="E28" s="2" t="inlineStr"/>
      <c r="F28" s="2" t="inlineStr">
        <is>
          <t>NaOEt (QDRKDTQENPPHOJ-UHFFFAOYSA-N)</t>
        </is>
      </c>
      <c r="G28" s="2" t="inlineStr">
        <is>
          <t>NaOEt, EtOH</t>
        </is>
      </c>
      <c r="H28" s="2" t="inlineStr"/>
      <c r="I28" s="2" t="inlineStr">
        <is>
          <t>diethyl ether (RTZKZFJDLAIYFH-UHFFFAOYSA-N)</t>
        </is>
      </c>
      <c r="J28" s="2" t="inlineStr">
        <is>
          <t>sodium bromide (JHJLBTNAGRQEKS-UHFFFAOYSA-M)</t>
        </is>
      </c>
      <c r="K28" s="2" t="inlineStr">
        <is>
          <t>F010 alkyl bromide</t>
        </is>
      </c>
      <c r="L28" s="2" t="inlineStr">
        <is>
          <t>F024 ether (dialkyl)</t>
        </is>
      </c>
      <c r="M28" s="3" t="inlineStr">
        <is>
          <t>[CX4;H2,H3:1]Br&gt;&gt;[C:1]OCC</t>
        </is>
      </c>
      <c r="N28" s="2" t="inlineStr"/>
      <c r="O28" s="2" t="inlineStr">
        <is>
          <t>SN2: works on methyl and primary halides; secondary and tertiary halides give E2 instead.</t>
        </is>
      </c>
      <c r="P28" s="2" t="inlineStr"/>
      <c r="Q28" s="2" t="inlineStr">
        <is>
          <t>RDKit: the SMARTS on the reaction's molecules gives the expected product; consumed fragments found in the starting materials and formed fragments in the products</t>
        </is>
      </c>
      <c r="R28" s="2" t="inlineStr">
        <is>
          <t>standard textbook reaction (Clayden, Organic Chemistry; Klein, Organic Chemistry)</t>
        </is>
      </c>
      <c r="S28" s="2" t="inlineStr"/>
      <c r="T28" s="2" t="inlineStr">
        <is>
          <t>SN2 at an alkyl halide</t>
        </is>
      </c>
      <c r="U28" s="2" t="inlineStr"/>
      <c r="V28" s="2" t="inlineStr">
        <is>
          <t>inversion (SN2)</t>
        </is>
      </c>
      <c r="W28" s="3" t="inlineStr"/>
      <c r="X28" s="3" t="inlineStr"/>
      <c r="Y28" s="3" t="inlineStr"/>
      <c r="Z28" s="3" t="inlineStr"/>
      <c r="AA28" s="2" t="n">
        <v>1</v>
      </c>
      <c r="AB28" t="inlineStr">
        <is>
          <t>verified (replay passed)</t>
        </is>
      </c>
    </row>
    <row r="29">
      <c r="A29" s="2" t="inlineStr">
        <is>
          <t>R028</t>
        </is>
      </c>
      <c r="B29" s="3" t="inlineStr">
        <is>
          <t>CCCCCl&gt;[I-].[Na+]&gt;CCCCI.[Cl-].[Na+] | cond=acetone, reflux</t>
        </is>
      </c>
      <c r="C29" s="2" t="inlineStr">
        <is>
          <t>Finkelstein reaction</t>
        </is>
      </c>
      <c r="D29" s="2" t="inlineStr">
        <is>
          <t>1-chlorobutane (VFWCMGCRMGJXDK-UHFFFAOYSA-N)</t>
        </is>
      </c>
      <c r="E29" s="2" t="inlineStr"/>
      <c r="F29" s="2" t="inlineStr">
        <is>
          <t>NaI (FVAUCKIRQBBSSJ-UHFFFAOYSA-M)</t>
        </is>
      </c>
      <c r="G29" s="2" t="inlineStr">
        <is>
          <t>NaI, acetone, reflux</t>
        </is>
      </c>
      <c r="H29" s="2" t="inlineStr">
        <is>
          <t>acetone</t>
        </is>
      </c>
      <c r="I29" s="2" t="inlineStr">
        <is>
          <t>1-iodobutane (KMGBZBJJOKUPIA-UHFFFAOYSA-N)</t>
        </is>
      </c>
      <c r="J29" s="2" t="inlineStr">
        <is>
          <t>sodium chloride (FAPWRFPIFSIZLT-UHFFFAOYSA-M)</t>
        </is>
      </c>
      <c r="K29" s="2" t="inlineStr">
        <is>
          <t>F011 alkyl chloride</t>
        </is>
      </c>
      <c r="L29" s="2" t="inlineStr">
        <is>
          <t>F012 alkyl iodide</t>
        </is>
      </c>
      <c r="M29" s="3" t="inlineStr">
        <is>
          <t>[CH2:1]Cl&gt;&gt;[C:1]I</t>
        </is>
      </c>
      <c r="N29" s="2" t="inlineStr"/>
      <c r="O29" s="2" t="inlineStr">
        <is>
          <t>SN2; NaCl is insoluble in acetone and precipitates, which drives the equilibrium.</t>
        </is>
      </c>
      <c r="P29" s="2" t="inlineStr"/>
      <c r="Q29" s="2" t="inlineStr">
        <is>
          <t>RDKit: the SMARTS on the reaction's molecules gives the expected product; consumed fragments found in the starting materials and formed fragments in the products</t>
        </is>
      </c>
      <c r="R29" s="2" t="inlineStr">
        <is>
          <t>standard textbook reaction (Clayden, Organic Chemistry; Klein, Organic Chemistry)</t>
        </is>
      </c>
      <c r="S29" s="2" t="inlineStr"/>
      <c r="T29" s="2" t="inlineStr">
        <is>
          <t>SN2 at an alkyl halide</t>
        </is>
      </c>
      <c r="U29" s="2" t="inlineStr"/>
      <c r="V29" s="2" t="inlineStr">
        <is>
          <t>inversion (SN2)</t>
        </is>
      </c>
      <c r="W29" s="3" t="inlineStr"/>
      <c r="X29" s="3" t="inlineStr"/>
      <c r="Y29" s="3" t="inlineStr"/>
      <c r="Z29" s="3" t="inlineStr"/>
      <c r="AA29" s="2" t="n">
        <v>1</v>
      </c>
      <c r="AB29" t="inlineStr">
        <is>
          <t>verified (replay passed)</t>
        </is>
      </c>
    </row>
    <row r="30">
      <c r="A30" s="2" t="inlineStr">
        <is>
          <t>R029</t>
        </is>
      </c>
      <c r="B30" s="3" t="inlineStr">
        <is>
          <t>CCC(C)(C)Br&gt;CC(C)(C)[O-].[K+]&gt;C=C(C)CC.CC(C)(C)O.[Br-].[K+] | cond=room temperature, tetrahydrofuran</t>
        </is>
      </c>
      <c r="C30" s="2" t="inlineStr">
        <is>
          <t>E2 with a bulky base (Hofmann)</t>
        </is>
      </c>
      <c r="D30" s="2" t="inlineStr">
        <is>
          <t>tert-amyl bromide (JOUWCKCVTDSMHF-UHFFFAOYSA-N)</t>
        </is>
      </c>
      <c r="E30" s="2" t="inlineStr"/>
      <c r="F30" s="2" t="inlineStr">
        <is>
          <t>t-BuOK (LPNYRYFBWFDTMA-UHFFFAOYSA-N)</t>
        </is>
      </c>
      <c r="G30" s="2" t="inlineStr">
        <is>
          <t>t-BuOK, t-BuOH or THF</t>
        </is>
      </c>
      <c r="H30" s="2" t="inlineStr"/>
      <c r="I30" s="2" t="inlineStr">
        <is>
          <t>2-methyl-1-butene (MHNNAWXXUZQSNM-UHFFFAOYSA-N)</t>
        </is>
      </c>
      <c r="J30" s="2" t="inlineStr">
        <is>
          <t>tert-butanol (DKGAVHZHDRPRBM-UHFFFAOYSA-N); potassium bromide (IOLCXVTUBQKXJR-UHFFFAOYSA-M)</t>
        </is>
      </c>
      <c r="K30" s="2" t="inlineStr">
        <is>
          <t>F010 alkyl bromide</t>
        </is>
      </c>
      <c r="L30" s="2" t="inlineStr">
        <is>
          <t>F006 alkene, terminal (=CH2)</t>
        </is>
      </c>
      <c r="M30" s="3" t="inlineStr">
        <is>
          <t>[CH3:1][C;H0:2]Br&gt;&gt;[C:1]=[C:2]</t>
        </is>
      </c>
      <c r="N30" s="2" t="inlineStr"/>
      <c r="O30" s="2" t="inlineStr">
        <is>
          <t>Hofmann: the bulky base takes the most accessible H, giving the less substituted alkene.</t>
        </is>
      </c>
      <c r="P30" s="2" t="inlineStr"/>
      <c r="Q30" s="2" t="inlineStr">
        <is>
          <t>RDKit: the SMARTS on the reaction's molecules gives the expected product; consumed fragments found in the starting materials and formed fragments in the products</t>
        </is>
      </c>
      <c r="R30" s="2" t="inlineStr">
        <is>
          <t>standard textbook reaction (Clayden, Organic Chemistry; Klein, Organic Chemistry)</t>
        </is>
      </c>
      <c r="S30" s="2" t="inlineStr"/>
      <c r="T30" s="2" t="inlineStr"/>
      <c r="U30" s="2" t="inlineStr"/>
      <c r="V30" s="2" t="inlineStr"/>
      <c r="W30" s="3" t="inlineStr"/>
      <c r="X30" s="3" t="inlineStr"/>
      <c r="Y30" s="3" t="inlineStr"/>
      <c r="Z30" s="3" t="inlineStr"/>
      <c r="AA30" s="2" t="n">
        <v>1</v>
      </c>
      <c r="AB30" t="inlineStr">
        <is>
          <t>verified (replay passed)</t>
        </is>
      </c>
    </row>
    <row r="31">
      <c r="A31" s="2" t="inlineStr">
        <is>
          <t>R030</t>
        </is>
      </c>
      <c r="B31" s="3" t="inlineStr">
        <is>
          <t>CCC(C)(C)Br&gt;CC[O-].[Na+]&gt;CC=C(C)C.CCO.[Br-].[Na+] | cond=ethanol, reflux</t>
        </is>
      </c>
      <c r="C31" s="2" t="inlineStr">
        <is>
          <t>E2 with a small base (Zaitsev)</t>
        </is>
      </c>
      <c r="D31" s="2" t="inlineStr">
        <is>
          <t>tert-amyl bromide (JOUWCKCVTDSMHF-UHFFFAOYSA-N)</t>
        </is>
      </c>
      <c r="E31" s="2" t="inlineStr"/>
      <c r="F31" s="2" t="inlineStr">
        <is>
          <t>NaOEt (QDRKDTQENPPHOJ-UHFFFAOYSA-N)</t>
        </is>
      </c>
      <c r="G31" s="2" t="inlineStr">
        <is>
          <t>NaOEt, EtOH, heat</t>
        </is>
      </c>
      <c r="H31" s="2" t="inlineStr">
        <is>
          <t>heat</t>
        </is>
      </c>
      <c r="I31" s="2" t="inlineStr">
        <is>
          <t>2-methyl-2-butene (BKOOMYPCSUNDGP-UHFFFAOYSA-N)</t>
        </is>
      </c>
      <c r="J31" s="2" t="inlineStr">
        <is>
          <t>ethanol (LFQSCWFLJHTTHZ-UHFFFAOYSA-N); sodium bromide (JHJLBTNAGRQEKS-UHFFFAOYSA-M)</t>
        </is>
      </c>
      <c r="K31" s="2" t="inlineStr">
        <is>
          <t>F010 alkyl bromide</t>
        </is>
      </c>
      <c r="L31" s="2" t="inlineStr">
        <is>
          <t>F005 alkene (C=C)</t>
        </is>
      </c>
      <c r="M31" s="3" t="inlineStr">
        <is>
          <t>[CH2:1][C;H0:2]Br&gt;&gt;[C:1]=[C:2]</t>
        </is>
      </c>
      <c r="N31" s="2" t="inlineStr"/>
      <c r="O31" s="2" t="inlineStr">
        <is>
          <t>Zaitsev: the more substituted (more stable) alkene; anti-periplanar H and Br.</t>
        </is>
      </c>
      <c r="P31" s="2" t="inlineStr"/>
      <c r="Q31" s="2" t="inlineStr">
        <is>
          <t>RDKit: the SMARTS on the reaction's molecules gives the expected product; consumed fragments found in the starting materials and formed fragments in the products</t>
        </is>
      </c>
      <c r="R31" s="2" t="inlineStr">
        <is>
          <t>standard textbook reaction (Clayden, Organic Chemistry; Klein, Organic Chemistry)</t>
        </is>
      </c>
      <c r="S31" s="2" t="inlineStr"/>
      <c r="T31" s="2" t="inlineStr"/>
      <c r="U31" s="2" t="inlineStr"/>
      <c r="V31" s="2" t="inlineStr"/>
      <c r="W31" s="3" t="inlineStr"/>
      <c r="X31" s="3" t="inlineStr"/>
      <c r="Y31" s="3" t="inlineStr"/>
      <c r="Z31" s="3" t="inlineStr"/>
      <c r="AA31" s="2" t="n">
        <v>1</v>
      </c>
      <c r="AB31" t="inlineStr">
        <is>
          <t>verified (replay passed)</t>
        </is>
      </c>
    </row>
    <row r="32">
      <c r="A32" s="2" t="inlineStr">
        <is>
          <t>R031</t>
        </is>
      </c>
      <c r="B32" s="3" t="inlineStr">
        <is>
          <t>CCCCO&gt;BrP(Br)Br&gt;CCCCBr.OP(O)O | cond=0 C, diethyl ether</t>
        </is>
      </c>
      <c r="C32" s="2" t="inlineStr">
        <is>
          <t>Alcohol to alkyl bromide (PBr3)</t>
        </is>
      </c>
      <c r="D32" s="2" t="inlineStr">
        <is>
          <t>1-butanol (LRHPLDYGYMQRHN-UHFFFAOYSA-N)</t>
        </is>
      </c>
      <c r="E32" s="2" t="inlineStr"/>
      <c r="F32" s="2" t="inlineStr">
        <is>
          <t>PBr3 (IPNPIHIZVLFAFP-UHFFFAOYSA-N)</t>
        </is>
      </c>
      <c r="G32" s="2" t="inlineStr">
        <is>
          <t>PBr3, ether, 0 °C</t>
        </is>
      </c>
      <c r="H32" s="2" t="inlineStr"/>
      <c r="I32" s="2" t="inlineStr">
        <is>
          <t>1-bromobutane (MPPPKRYCTPRNTB-UHFFFAOYSA-N)</t>
        </is>
      </c>
      <c r="J32" s="2" t="inlineStr">
        <is>
          <t>phosphorous acid (OJMIONKXNSYLSR-UHFFFAOYSA-N)</t>
        </is>
      </c>
      <c r="K32" s="2" t="inlineStr">
        <is>
          <t>F014 alcohol (on sp3 C)</t>
        </is>
      </c>
      <c r="L32" s="2" t="inlineStr">
        <is>
          <t>F010 alkyl bromide</t>
        </is>
      </c>
      <c r="M32" s="3" t="inlineStr">
        <is>
          <t>[CX4;H2,H1:1][OH]&gt;&gt;[C:1]Br</t>
        </is>
      </c>
      <c r="N32" s="2" t="inlineStr"/>
      <c r="O32" s="2" t="inlineStr">
        <is>
          <t>SN2: inversion at a stereocentre; no rearrangement; not for tertiary alcohols.</t>
        </is>
      </c>
      <c r="P32" s="2" t="inlineStr"/>
      <c r="Q32" s="2" t="inlineStr">
        <is>
          <t>RDKit: the SMARTS on the reaction's molecules gives the expected product; consumed fragments found in the starting materials and formed fragments in the products</t>
        </is>
      </c>
      <c r="R32" s="2" t="inlineStr">
        <is>
          <t>standard textbook reaction (Clayden, Organic Chemistry; Klein, Organic Chemistry)</t>
        </is>
      </c>
      <c r="S32" s="2" t="inlineStr"/>
      <c r="T32" s="2" t="inlineStr">
        <is>
          <t>alcohol substitution</t>
        </is>
      </c>
      <c r="U32" s="2" t="inlineStr"/>
      <c r="V32" s="2" t="inlineStr">
        <is>
          <t>inversion (SN2)</t>
        </is>
      </c>
      <c r="W32" s="3" t="inlineStr"/>
      <c r="X32" s="3" t="inlineStr"/>
      <c r="Y32" s="3" t="inlineStr">
        <is>
          <t>[C@:1][OH]&gt;&gt;[C@@:1]Br</t>
        </is>
      </c>
      <c r="Z32" s="3" t="inlineStr"/>
      <c r="AA32" s="2" t="n">
        <v>0.34</v>
      </c>
      <c r="AB32" t="inlineStr">
        <is>
          <t>verified (replay passed)</t>
        </is>
      </c>
    </row>
    <row r="33">
      <c r="A33" s="2" t="inlineStr">
        <is>
          <t>R032</t>
        </is>
      </c>
      <c r="B33" s="3" t="inlineStr">
        <is>
          <t>CCCCO&gt;O=S(Cl)Cl&gt;CCCCCl.O=S=O.Cl | cond=reflux</t>
        </is>
      </c>
      <c r="C33" s="2" t="inlineStr">
        <is>
          <t>Alcohol to alkyl chloride (SOCl2)</t>
        </is>
      </c>
      <c r="D33" s="2" t="inlineStr">
        <is>
          <t>1-butanol (LRHPLDYGYMQRHN-UHFFFAOYSA-N)</t>
        </is>
      </c>
      <c r="E33" s="2" t="inlineStr"/>
      <c r="F33" s="2" t="inlineStr">
        <is>
          <t>SOCl2 (FYSNRJHAOHDILO-UHFFFAOYSA-N)</t>
        </is>
      </c>
      <c r="G33" s="2" t="inlineStr">
        <is>
          <t>SOCl2 (pyridine), reflux</t>
        </is>
      </c>
      <c r="H33" s="2" t="inlineStr"/>
      <c r="I33" s="2" t="inlineStr">
        <is>
          <t>1-chlorobutane (VFWCMGCRMGJXDK-UHFFFAOYSA-N)</t>
        </is>
      </c>
      <c r="J33" s="2" t="inlineStr">
        <is>
          <t>sulfur dioxide (RAHZWNYVWXNFOC-UHFFFAOYSA-N); hydrogen chloride (VEXZGXHMUGYJMC-UHFFFAOYSA-N)</t>
        </is>
      </c>
      <c r="K33" s="2" t="inlineStr">
        <is>
          <t>F014 alcohol (on sp3 C)</t>
        </is>
      </c>
      <c r="L33" s="2" t="inlineStr">
        <is>
          <t>F011 alkyl chloride</t>
        </is>
      </c>
      <c r="M33" s="3" t="inlineStr">
        <is>
          <t>[CX4;H2,H1:1][OH]&gt;&gt;[C:1]Cl</t>
        </is>
      </c>
      <c r="N33" s="2" t="inlineStr"/>
      <c r="O33" s="2" t="inlineStr">
        <is>
          <t>SO2 and HCl leave as gases; inversion with pyridine.</t>
        </is>
      </c>
      <c r="P33" s="2" t="inlineStr"/>
      <c r="Q33" s="2" t="inlineStr">
        <is>
          <t>RDKit: the SMARTS on the reaction's molecules gives the expected product; consumed fragments found in the starting materials and formed fragments in the products</t>
        </is>
      </c>
      <c r="R33" s="2" t="inlineStr">
        <is>
          <t>standard textbook reaction (Clayden, Organic Chemistry; Klein, Organic Chemistry)</t>
        </is>
      </c>
      <c r="S33" s="2" t="inlineStr"/>
      <c r="T33" s="2" t="inlineStr">
        <is>
          <t>alcohol substitution</t>
        </is>
      </c>
      <c r="U33" s="2" t="inlineStr"/>
      <c r="V33" s="2" t="inlineStr">
        <is>
          <t>inversion (SN2, with pyridine)</t>
        </is>
      </c>
      <c r="W33" s="3" t="inlineStr"/>
      <c r="X33" s="3" t="inlineStr"/>
      <c r="Y33" s="3" t="inlineStr">
        <is>
          <t>[C@:1][OH]&gt;&gt;[C@@:1]Cl</t>
        </is>
      </c>
      <c r="Z33" s="3" t="inlineStr"/>
      <c r="AA33" s="2" t="n">
        <v>1</v>
      </c>
      <c r="AB33" t="inlineStr">
        <is>
          <t>verified (replay passed)</t>
        </is>
      </c>
    </row>
    <row r="34">
      <c r="A34" s="2" t="inlineStr">
        <is>
          <t>R033</t>
        </is>
      </c>
      <c r="B34" s="3" t="inlineStr">
        <is>
          <t>CCCCO&gt;[O]=[Cr](=[O])([O-])[Cl].c1cc[nH+]cc1&gt;CCCC=O | cond=anhydrous, dichloromethane</t>
        </is>
      </c>
      <c r="C34" s="2" t="inlineStr">
        <is>
          <t>PCC oxidation</t>
        </is>
      </c>
      <c r="D34" s="2" t="inlineStr">
        <is>
          <t>1-butanol (LRHPLDYGYMQRHN-UHFFFAOYSA-N)</t>
        </is>
      </c>
      <c r="E34" s="2" t="inlineStr"/>
      <c r="F34" s="2" t="inlineStr">
        <is>
          <t>PCC (LEHBURLTIWGHEM-UHFFFAOYSA-N)</t>
        </is>
      </c>
      <c r="G34" s="2" t="inlineStr">
        <is>
          <t>PCC, CH2Cl2, anhydrous</t>
        </is>
      </c>
      <c r="H34" s="2" t="inlineStr">
        <is>
          <t>anhydrous</t>
        </is>
      </c>
      <c r="I34" s="2" t="inlineStr">
        <is>
          <t>butanal (butyraldehyde) (ZTQSAGDEMFDKMZ-UHFFFAOYSA-N)</t>
        </is>
      </c>
      <c r="J34" s="2" t="inlineStr"/>
      <c r="K34" s="2" t="inlineStr">
        <is>
          <t>F014 alcohol (on sp3 C)</t>
        </is>
      </c>
      <c r="L34" s="2" t="inlineStr">
        <is>
          <t>F018 aldehyde | F019 ketone</t>
        </is>
      </c>
      <c r="M34" s="3" t="inlineStr">
        <is>
          <t>[CX4;H2,H1:1][OH:2]&gt;&gt;[C:1]=[O:2]</t>
        </is>
      </c>
      <c r="N34" s="2" t="inlineStr"/>
      <c r="O34" s="2" t="inlineStr">
        <is>
          <t>Primary alcohol stops at the aldehyde (no water to form the hydrate); secondary gives a ketone.</t>
        </is>
      </c>
      <c r="P34" s="2" t="inlineStr"/>
      <c r="Q34" s="2" t="inlineStr">
        <is>
          <t>RDKit: the SMARTS on the reaction's molecules gives the expected product; consumed fragments found in the starting materials and formed fragments in the products</t>
        </is>
      </c>
      <c r="R34" s="2" t="inlineStr">
        <is>
          <t>standard textbook reaction (Clayden, Organic Chemistry; Klein, Organic Chemistry)</t>
        </is>
      </c>
      <c r="S34" s="2" t="inlineStr"/>
      <c r="T34" s="2" t="inlineStr">
        <is>
          <t>alcohol oxidation</t>
        </is>
      </c>
      <c r="U34" s="2" t="inlineStr"/>
      <c r="V34" s="2" t="inlineStr"/>
      <c r="W34" s="3" t="inlineStr"/>
      <c r="X34" s="3" t="inlineStr"/>
      <c r="Y34" s="3" t="inlineStr"/>
      <c r="Z34" s="3" t="inlineStr"/>
      <c r="AA34" s="2" t="n">
        <v>1</v>
      </c>
      <c r="AB34" t="inlineStr">
        <is>
          <t>verified (replay passed)</t>
        </is>
      </c>
    </row>
    <row r="35">
      <c r="A35" s="2" t="inlineStr">
        <is>
          <t>R034</t>
        </is>
      </c>
      <c r="B35" s="3" t="inlineStr">
        <is>
          <t>CCCCO&gt;O=S(=O)(O)O.[O]=[Cr](=[O])=[O]&gt;CCCC(=O)O | cond=0 C, acetone</t>
        </is>
      </c>
      <c r="C35" s="2" t="inlineStr">
        <is>
          <t>Jones oxidation</t>
        </is>
      </c>
      <c r="D35" s="2" t="inlineStr">
        <is>
          <t>1-butanol (LRHPLDYGYMQRHN-UHFFFAOYSA-N)</t>
        </is>
      </c>
      <c r="E35" s="2" t="inlineStr"/>
      <c r="F35" s="2" t="inlineStr">
        <is>
          <t>CrO3, H2SO4, acetone (Jones) (HNPXHFOTGAXAJY-UHFFFAOYSA-N)</t>
        </is>
      </c>
      <c r="G35" s="2" t="inlineStr">
        <is>
          <t>CrO3, aqueous H2SO4, acetone, 0 °C</t>
        </is>
      </c>
      <c r="H35" s="2" t="inlineStr"/>
      <c r="I35" s="2" t="inlineStr">
        <is>
          <t>butyric acid (FERIUCNNQQJTOY-UHFFFAOYSA-N)</t>
        </is>
      </c>
      <c r="J35" s="2" t="inlineStr"/>
      <c r="K35" s="2" t="inlineStr">
        <is>
          <t>F003 alcohol (1°)</t>
        </is>
      </c>
      <c r="L35" s="2" t="inlineStr">
        <is>
          <t>F001 carboxylic acid</t>
        </is>
      </c>
      <c r="M35" s="3" t="inlineStr">
        <is>
          <t>[CH2:1][OH:2]&gt;&gt;[C:1](=[O:2])O</t>
        </is>
      </c>
      <c r="N35" s="2" t="inlineStr"/>
      <c r="O35" s="2" t="inlineStr">
        <is>
          <t>Primary alcohol goes on to the carboxylic acid (through the aldehyde hydrate).</t>
        </is>
      </c>
      <c r="P35" s="2" t="inlineStr"/>
      <c r="Q35" s="2" t="inlineStr">
        <is>
          <t>RDKit: the SMARTS on the reaction's molecules gives the expected product; consumed fragments found in the starting materials and formed fragments in the products</t>
        </is>
      </c>
      <c r="R35" s="2" t="inlineStr">
        <is>
          <t>standard textbook reaction (Clayden, Organic Chemistry; Klein, Organic Chemistry)</t>
        </is>
      </c>
      <c r="S35" s="2" t="inlineStr"/>
      <c r="T35" s="2" t="inlineStr">
        <is>
          <t>alcohol oxidation</t>
        </is>
      </c>
      <c r="U35" s="2" t="inlineStr"/>
      <c r="V35" s="2" t="inlineStr"/>
      <c r="W35" s="3" t="inlineStr"/>
      <c r="X35" s="3" t="inlineStr"/>
      <c r="Y35" s="3" t="inlineStr"/>
      <c r="Z35" s="3" t="inlineStr"/>
      <c r="AA35" s="2" t="n">
        <v>0.67</v>
      </c>
      <c r="AB35" t="inlineStr">
        <is>
          <t>verified (replay passed)</t>
        </is>
      </c>
    </row>
    <row r="36">
      <c r="A36" s="2" t="inlineStr">
        <is>
          <t>R035</t>
        </is>
      </c>
      <c r="B36" s="3" t="inlineStr">
        <is>
          <t>OC1CCCCC1&gt;O=S(=O)(O)O&gt;C1=CCCCC1.O | cond=160 C</t>
        </is>
      </c>
      <c r="C36" s="2" t="inlineStr">
        <is>
          <t>Acid-catalysed dehydration of alcohol</t>
        </is>
      </c>
      <c r="D36" s="2" t="inlineStr">
        <is>
          <t>cyclohexanol (HPXRVTGHNJAIIH-UHFFFAOYSA-N)</t>
        </is>
      </c>
      <c r="E36" s="2" t="inlineStr"/>
      <c r="F36" s="2" t="inlineStr">
        <is>
          <t>conc. H2SO4 (or H3PO4) (QAOWNCQODCNURD-UHFFFAOYSA-N)</t>
        </is>
      </c>
      <c r="G36" s="2" t="inlineStr">
        <is>
          <t>conc. H2SO4, 160 °C, distil the alkene</t>
        </is>
      </c>
      <c r="H36" s="2" t="inlineStr">
        <is>
          <t>120-180 °C, concentrated</t>
        </is>
      </c>
      <c r="I36" s="2" t="inlineStr">
        <is>
          <t>cyclohexene (HGCIXCUEYOPUTN-UHFFFAOYSA-N)</t>
        </is>
      </c>
      <c r="J36" s="2" t="inlineStr">
        <is>
          <t>water (XLYOFNOQVPJJNP-UHFFFAOYSA-N)</t>
        </is>
      </c>
      <c r="K36" s="2" t="inlineStr">
        <is>
          <t>F014 alcohol (on sp3 C)</t>
        </is>
      </c>
      <c r="L36" s="2" t="inlineStr">
        <is>
          <t>F005 alkene (C=C)</t>
        </is>
      </c>
      <c r="M36" s="3" t="inlineStr">
        <is>
          <t>[CX4;!H0:1][CX4:2][OH]&gt;&gt;[C:1]=[C:2]</t>
        </is>
      </c>
      <c r="N36" s="2" t="inlineStr"/>
      <c r="O36" s="2" t="inlineStr">
        <is>
          <t>E1 via the carbocation; Zaitsev alkene; distilling the alkene out drives it.</t>
        </is>
      </c>
      <c r="P36" s="2" t="inlineStr"/>
      <c r="Q36" s="2" t="inlineStr">
        <is>
          <t>RDKit: the SMARTS on the reaction's molecules gives the expected product; consumed fragments found in the starting materials and formed fragments in the products</t>
        </is>
      </c>
      <c r="R36" s="2" t="inlineStr">
        <is>
          <t>standard textbook reaction (Clayden, Organic Chemistry; Klein, Organic Chemistry)</t>
        </is>
      </c>
      <c r="S36" s="2" t="inlineStr">
        <is>
          <t>acid: F014, ΔpKa ≥ -5</t>
        </is>
      </c>
      <c r="T36" s="2" t="inlineStr"/>
      <c r="U36" s="2" t="inlineStr"/>
      <c r="V36" s="2" t="inlineStr"/>
      <c r="W36" s="3" t="inlineStr"/>
      <c r="X36" s="3" t="inlineStr"/>
      <c r="Y36" s="3" t="inlineStr"/>
      <c r="Z36" s="3" t="inlineStr">
        <is>
          <t>[CX4][OH] | cation=1 | leaving=2 | then=eliminate</t>
        </is>
      </c>
      <c r="AA36" s="2" t="inlineStr">
        <is>
          <t>catalytic</t>
        </is>
      </c>
      <c r="AB36" t="inlineStr">
        <is>
          <t>verified (replay passed)</t>
        </is>
      </c>
    </row>
    <row r="37">
      <c r="A37" s="2" t="inlineStr">
        <is>
          <t>R036</t>
        </is>
      </c>
      <c r="B37" s="3" t="inlineStr">
        <is>
          <t>O=C(O)c1ccccc1&gt;O=S(Cl)Cl&gt;O=C(Cl)c1ccccc1.O=S=O.Cl | cond=reflux</t>
        </is>
      </c>
      <c r="C37" s="2" t="inlineStr">
        <is>
          <t>Carboxylic acid to acyl chloride (SOCl2)</t>
        </is>
      </c>
      <c r="D37" s="2" t="inlineStr">
        <is>
          <t>benzoic acid (WPYMKLBDIGXBTP-UHFFFAOYSA-N)</t>
        </is>
      </c>
      <c r="E37" s="2" t="inlineStr"/>
      <c r="F37" s="2" t="inlineStr">
        <is>
          <t>SOCl2 (FYSNRJHAOHDILO-UHFFFAOYSA-N)</t>
        </is>
      </c>
      <c r="G37" s="2" t="inlineStr">
        <is>
          <t>SOCl2, reflux</t>
        </is>
      </c>
      <c r="H37" s="2" t="inlineStr"/>
      <c r="I37" s="2" t="inlineStr">
        <is>
          <t>benzoyl chloride (PASDCCFISLVPSO-UHFFFAOYSA-N)</t>
        </is>
      </c>
      <c r="J37" s="2" t="inlineStr">
        <is>
          <t>sulfur dioxide (RAHZWNYVWXNFOC-UHFFFAOYSA-N); hydrogen chloride (VEXZGXHMUGYJMC-UHFFFAOYSA-N)</t>
        </is>
      </c>
      <c r="K37" s="2" t="inlineStr">
        <is>
          <t>F001 carboxylic acid</t>
        </is>
      </c>
      <c r="L37" s="2" t="inlineStr">
        <is>
          <t>F020 acyl chloride</t>
        </is>
      </c>
      <c r="M37" s="3" t="inlineStr">
        <is>
          <t>[C:1](=[O:2])[OH]&gt;&gt;[C:1](=[O:2])Cl</t>
        </is>
      </c>
      <c r="N37" s="2" t="inlineStr"/>
      <c r="O37" s="2" t="inlineStr">
        <is>
          <t>The OH becomes a chlorosulfite, a good leaving group; SO2 and HCl leave.</t>
        </is>
      </c>
      <c r="P37" s="2" t="inlineStr"/>
      <c r="Q37" s="2" t="inlineStr">
        <is>
          <t>RDKit: the SMARTS on the reaction's molecules gives the expected product; consumed fragments found in the starting materials and formed fragments in the products</t>
        </is>
      </c>
      <c r="R37" s="2" t="inlineStr">
        <is>
          <t>standard textbook reaction (Clayden, Organic Chemistry; Klein, Organic Chemistry)</t>
        </is>
      </c>
      <c r="S37" s="2" t="inlineStr"/>
      <c r="T37" s="2" t="inlineStr"/>
      <c r="U37" s="2" t="inlineStr"/>
      <c r="V37" s="2" t="inlineStr"/>
      <c r="W37" s="3" t="inlineStr"/>
      <c r="X37" s="3" t="inlineStr"/>
      <c r="Y37" s="3" t="inlineStr"/>
      <c r="Z37" s="3" t="inlineStr"/>
      <c r="AA37" s="2" t="n">
        <v>1</v>
      </c>
      <c r="AB37" t="inlineStr">
        <is>
          <t>verified (replay passed)</t>
        </is>
      </c>
    </row>
    <row r="38">
      <c r="A38" s="2" t="inlineStr">
        <is>
          <t>R037</t>
        </is>
      </c>
      <c r="B38" s="3" t="inlineStr">
        <is>
          <t>O=C1CCCCC1&gt;[BH4-].[Na+]&gt;OC1CCCCC1 | cond=0 C, methanol</t>
        </is>
      </c>
      <c r="C38" s="2" t="inlineStr">
        <is>
          <t>Ketone reduction (NaBH4)</t>
        </is>
      </c>
      <c r="D38" s="2" t="inlineStr">
        <is>
          <t>cyclohexanone (JHIVVAPYMSGYDF-UHFFFAOYSA-N)</t>
        </is>
      </c>
      <c r="E38" s="2" t="inlineStr"/>
      <c r="F38" s="2" t="inlineStr">
        <is>
          <t>NaBH4 (YOQDYZUWIQVZSF-UHFFFAOYSA-N)</t>
        </is>
      </c>
      <c r="G38" s="2" t="inlineStr">
        <is>
          <t>NaBH4, MeOH, 0 °C</t>
        </is>
      </c>
      <c r="H38" s="2" t="inlineStr"/>
      <c r="I38" s="2" t="inlineStr">
        <is>
          <t>cyclohexanol (HPXRVTGHNJAIIH-UHFFFAOYSA-N)</t>
        </is>
      </c>
      <c r="J38" s="2" t="inlineStr"/>
      <c r="K38" s="2" t="inlineStr">
        <is>
          <t>F018 aldehyde | F019 ketone</t>
        </is>
      </c>
      <c r="L38" s="2" t="inlineStr">
        <is>
          <t>F014 alcohol (on sp3 C)</t>
        </is>
      </c>
      <c r="M38" s="3" t="inlineStr">
        <is>
          <t>[CX3;$(C([#6])[#6]),$([CH1][#6]):1]=[OX1:2]&gt;&gt;[C:1][O:2]</t>
        </is>
      </c>
      <c r="N38" s="2" t="inlineStr"/>
      <c r="O38" s="2" t="inlineStr">
        <is>
          <t>Hydride adds to the C=O; ketone gives a secondary alcohol, aldehyde a primary one. Esters and acids are not touched.</t>
        </is>
      </c>
      <c r="P38" s="2" t="inlineStr"/>
      <c r="Q38" s="2" t="inlineStr">
        <is>
          <t>RDKit: the SMARTS on the reaction's molecules gives the expected product; consumed fragments found in the starting materials and formed fragments in the products</t>
        </is>
      </c>
      <c r="R38" s="2" t="inlineStr">
        <is>
          <t>standard textbook reaction (Clayden, Organic Chemistry; Klein, Organic Chemistry)</t>
        </is>
      </c>
      <c r="S38" s="2" t="inlineStr"/>
      <c r="T38" s="2" t="inlineStr">
        <is>
          <t>carbonyl addition</t>
        </is>
      </c>
      <c r="U38" s="2" t="inlineStr"/>
      <c r="V38" s="2" t="inlineStr">
        <is>
          <t>new stereocentre: racemic</t>
        </is>
      </c>
      <c r="W38" s="3" t="inlineStr"/>
      <c r="X38" s="3" t="inlineStr"/>
      <c r="Y38" s="3" t="inlineStr"/>
      <c r="Z38" s="3" t="inlineStr"/>
      <c r="AA38" s="2" t="n">
        <v>0.25</v>
      </c>
      <c r="AB38" t="inlineStr">
        <is>
          <t>verified (replay passed)</t>
        </is>
      </c>
    </row>
    <row r="39">
      <c r="A39" s="2" t="inlineStr">
        <is>
          <t>R038</t>
        </is>
      </c>
      <c r="B39" s="3" t="inlineStr">
        <is>
          <t>COC(=O)c1ccccc1&gt;[AlH4-].[Li+]&gt;OCc1ccccc1.CO | cond=anhydrous, tetrahydrofuran</t>
        </is>
      </c>
      <c r="C39" s="2" t="inlineStr">
        <is>
          <t>Ester reduction (LiAlH4)</t>
        </is>
      </c>
      <c r="D39" s="2" t="inlineStr">
        <is>
          <t>methyl benzoate (QPJVMBTYPHYUOC-UHFFFAOYSA-N)</t>
        </is>
      </c>
      <c r="E39" s="2" t="inlineStr"/>
      <c r="F39" s="2" t="inlineStr">
        <is>
          <t>1) LiAlH4; 2) H3O+ (OCZDCIYGECBNKL-UHFFFAOYSA-N)</t>
        </is>
      </c>
      <c r="G39" s="2" t="inlineStr">
        <is>
          <t>LiAlH4, dry THF; then aqueous acid</t>
        </is>
      </c>
      <c r="H39" s="2" t="inlineStr">
        <is>
          <t>anhydrous</t>
        </is>
      </c>
      <c r="I39" s="2" t="inlineStr">
        <is>
          <t>benzyl alcohol (WVDDGKGOMKODPV-UHFFFAOYSA-N); methanol (OKKJLVBELUTLKV-UHFFFAOYSA-N)</t>
        </is>
      </c>
      <c r="J39" s="2" t="inlineStr"/>
      <c r="K39" s="2" t="inlineStr">
        <is>
          <t>F004 ester</t>
        </is>
      </c>
      <c r="L39" s="2" t="inlineStr">
        <is>
          <t>F014 alcohol (on sp3 C)</t>
        </is>
      </c>
      <c r="M39" s="3" t="inlineStr">
        <is>
          <t>[C:1](=[O:2])[O:3][C:4]&gt;&gt;[C:1][O:2].[O:3][C:4]</t>
        </is>
      </c>
      <c r="N39" s="2" t="inlineStr"/>
      <c r="O39" s="2" t="inlineStr">
        <is>
          <t>Two hydrides: the acyl part becomes a primary alcohol and the OR part is released as its alcohol.</t>
        </is>
      </c>
      <c r="P39" s="2" t="inlineStr"/>
      <c r="Q39" s="2" t="inlineStr">
        <is>
          <t>RDKit: the SMARTS on the reaction's molecules gives the expected product; consumed fragments found in the starting materials and formed fragments in the products</t>
        </is>
      </c>
      <c r="R39" s="2" t="inlineStr">
        <is>
          <t>standard textbook reaction (Clayden, Organic Chemistry; Klein, Organic Chemistry)</t>
        </is>
      </c>
      <c r="S39" s="2" t="inlineStr"/>
      <c r="T39" s="2" t="inlineStr"/>
      <c r="U39" s="2" t="inlineStr"/>
      <c r="V39" s="2" t="inlineStr"/>
      <c r="W39" s="3" t="inlineStr"/>
      <c r="X39" s="3" t="inlineStr"/>
      <c r="Y39" s="3" t="inlineStr"/>
      <c r="Z39" s="3" t="inlineStr"/>
      <c r="AA39" s="2" t="n">
        <v>0.5</v>
      </c>
      <c r="AB39" t="inlineStr">
        <is>
          <t>verified (replay passed)</t>
        </is>
      </c>
    </row>
    <row r="40">
      <c r="A40" s="2" t="inlineStr">
        <is>
          <t>R039</t>
        </is>
      </c>
      <c r="B40" s="3" t="inlineStr">
        <is>
          <t>CC(C)=O&gt;[CH3][Mg][Br]&gt;CC(C)(C)O | cond=anhydrous, diethyl ether</t>
        </is>
      </c>
      <c r="C40" s="2" t="inlineStr">
        <is>
          <t>Grignard addition to ketone</t>
        </is>
      </c>
      <c r="D40" s="2" t="inlineStr">
        <is>
          <t>acetone (CSCPPACGZOOCGX-UHFFFAOYSA-N)</t>
        </is>
      </c>
      <c r="E40" s="2" t="inlineStr"/>
      <c r="F40" s="2" t="inlineStr">
        <is>
          <t>1) MeMgBr; 2) H3O+ (AVFUHBJCUUTGCD-UHFFFAOYSA-M)</t>
        </is>
      </c>
      <c r="G40" s="2" t="inlineStr">
        <is>
          <t>MeMgBr, dry ether; then aqueous acid</t>
        </is>
      </c>
      <c r="H40" s="2" t="inlineStr">
        <is>
          <t>anhydrous</t>
        </is>
      </c>
      <c r="I40" s="2" t="inlineStr">
        <is>
          <t>tert-butanol (DKGAVHZHDRPRBM-UHFFFAOYSA-N)</t>
        </is>
      </c>
      <c r="J40" s="2" t="inlineStr"/>
      <c r="K40" s="2" t="inlineStr">
        <is>
          <t>F018 aldehyde | F019 ketone</t>
        </is>
      </c>
      <c r="L40" s="2" t="inlineStr">
        <is>
          <t>F014 alcohol (on sp3 C)</t>
        </is>
      </c>
      <c r="M40" s="3" t="inlineStr">
        <is>
          <t>[CX3;$(C([#6])[#6]),$([CH1][#6]):1]=[OX1:2]&gt;&gt;[C:1](C)[O:2]</t>
        </is>
      </c>
      <c r="N40" s="2" t="inlineStr"/>
      <c r="O40" s="2" t="inlineStr">
        <is>
          <t>New C–C bond; ketone gives a tertiary alcohol. Any O–H or N–H in the substrate destroys the Grignard.</t>
        </is>
      </c>
      <c r="P40" s="2" t="inlineStr"/>
      <c r="Q40" s="2" t="inlineStr">
        <is>
          <t>RDKit: the SMARTS on the reaction's molecules gives the expected product; consumed fragments found in the starting materials and formed fragments in the products</t>
        </is>
      </c>
      <c r="R40" s="2" t="inlineStr">
        <is>
          <t>standard textbook reaction (Clayden, Organic Chemistry; Klein, Organic Chemistry)</t>
        </is>
      </c>
      <c r="S40" s="2" t="inlineStr"/>
      <c r="T40" s="2" t="inlineStr">
        <is>
          <t>carbonyl addition</t>
        </is>
      </c>
      <c r="U40" s="2" t="inlineStr"/>
      <c r="V40" s="2" t="inlineStr">
        <is>
          <t>new stereocentre: racemic</t>
        </is>
      </c>
      <c r="W40" s="3" t="inlineStr"/>
      <c r="X40" s="3" t="inlineStr"/>
      <c r="Y40" s="3" t="inlineStr"/>
      <c r="Z40" s="3" t="inlineStr"/>
      <c r="AA40" s="2" t="n">
        <v>1</v>
      </c>
      <c r="AB40" t="inlineStr">
        <is>
          <t>verified (replay passed)</t>
        </is>
      </c>
    </row>
    <row r="41">
      <c r="A41" s="2" t="inlineStr">
        <is>
          <t>R040</t>
        </is>
      </c>
      <c r="B41" s="3" t="inlineStr">
        <is>
          <t>[Br][Mg][c]1ccccc1&gt;O=C=O&gt;O=C(O)c1ccccc1 | cond=anhydrous, diethyl ether</t>
        </is>
      </c>
      <c r="C41" s="2" t="inlineStr">
        <is>
          <t>Grignard carboxylation (CO2)</t>
        </is>
      </c>
      <c r="D41" s="2" t="inlineStr">
        <is>
          <t>phenylmagnesium bromide (ANRQGKOBLBYXFM-UHFFFAOYSA-M)</t>
        </is>
      </c>
      <c r="E41" s="2" t="inlineStr"/>
      <c r="F41" s="2" t="inlineStr">
        <is>
          <t>1) CO2 (dry ice); 2) H3O+ (CURLTUGMZLYLDI-UHFFFAOYSA-N)</t>
        </is>
      </c>
      <c r="G41" s="2" t="inlineStr">
        <is>
          <t>CO2, dry ether; then aqueous acid</t>
        </is>
      </c>
      <c r="H41" s="2" t="inlineStr">
        <is>
          <t>anhydrous</t>
        </is>
      </c>
      <c r="I41" s="2" t="inlineStr">
        <is>
          <t>benzoic acid (WPYMKLBDIGXBTP-UHFFFAOYSA-N)</t>
        </is>
      </c>
      <c r="J41" s="2" t="inlineStr"/>
      <c r="K41" s="2" t="inlineStr">
        <is>
          <t>F029 Grignard (C–MgBr)</t>
        </is>
      </c>
      <c r="L41" s="2" t="inlineStr">
        <is>
          <t>F001 carboxylic acid</t>
        </is>
      </c>
      <c r="M41" s="3" t="inlineStr">
        <is>
          <t>[c:1][Mg]Br&gt;&gt;[c:1]C(=O)O</t>
        </is>
      </c>
      <c r="N41" s="2" t="inlineStr"/>
      <c r="O41" s="2" t="inlineStr">
        <is>
          <t>The Grignard carbon adds to CO2; the carboxylate is protonated in the work-up.</t>
        </is>
      </c>
      <c r="P41" s="2" t="inlineStr"/>
      <c r="Q41" s="2" t="inlineStr">
        <is>
          <t>RDKit: the SMARTS on the reaction's molecules gives the expected product; consumed fragments found in the starting materials and formed fragments in the products</t>
        </is>
      </c>
      <c r="R41" s="2" t="inlineStr">
        <is>
          <t>standard textbook reaction (Clayden, Organic Chemistry; Klein, Organic Chemistry)</t>
        </is>
      </c>
      <c r="S41" s="2" t="inlineStr"/>
      <c r="T41" s="2" t="inlineStr"/>
      <c r="U41" s="2" t="inlineStr"/>
      <c r="V41" s="2" t="inlineStr"/>
      <c r="W41" s="3" t="inlineStr"/>
      <c r="X41" s="3" t="inlineStr"/>
      <c r="Y41" s="3" t="inlineStr"/>
      <c r="Z41" s="3" t="inlineStr"/>
      <c r="AA41" s="2" t="n">
        <v>1</v>
      </c>
      <c r="AB41" t="inlineStr">
        <is>
          <t>verified (replay passed)</t>
        </is>
      </c>
    </row>
    <row r="42">
      <c r="A42" s="2" t="inlineStr">
        <is>
          <t>R041</t>
        </is>
      </c>
      <c r="B42" s="3" t="inlineStr">
        <is>
          <t>O=C1CCCCC1&gt;C=P(c1ccccc1)(c1ccccc1)c1ccccc1&gt;O=P(c1ccccc1)(c1ccccc1)c1ccccc1.C=C1CCCCC1 | cond=room temperature, tetrahydrofuran</t>
        </is>
      </c>
      <c r="C42" s="2" t="inlineStr">
        <is>
          <t>Wittig reaction</t>
        </is>
      </c>
      <c r="D42" s="2" t="inlineStr">
        <is>
          <t>cyclohexanone (JHIVVAPYMSGYDF-UHFFFAOYSA-N)</t>
        </is>
      </c>
      <c r="E42" s="2" t="inlineStr"/>
      <c r="F42" s="2" t="inlineStr">
        <is>
          <t>Ph3P=CH2 (XYDYWTJEGDZLTH-UHFFFAOYSA-N)</t>
        </is>
      </c>
      <c r="G42" s="2" t="inlineStr">
        <is>
          <t>Ph3P=CH2, THF, rt</t>
        </is>
      </c>
      <c r="H42" s="2" t="inlineStr"/>
      <c r="I42" s="2" t="inlineStr">
        <is>
          <t>methylenecyclohexane (YULMNMJFAZWLLN-UHFFFAOYSA-N)</t>
        </is>
      </c>
      <c r="J42" s="2" t="inlineStr">
        <is>
          <t>triphenylphosphine oxide (FIQMHBFVRAXMOP-UHFFFAOYSA-N)</t>
        </is>
      </c>
      <c r="K42" s="2" t="inlineStr">
        <is>
          <t>F018 aldehyde | F019 ketone</t>
        </is>
      </c>
      <c r="L42" s="2" t="inlineStr">
        <is>
          <t>F006 alkene, terminal (=CH2)</t>
        </is>
      </c>
      <c r="M42" s="3" t="inlineStr">
        <is>
          <t>[CX3;$(C([#6])[#6]),$([CH1][#6]):1]=[OX1]&gt;&gt;[C:1]=C</t>
        </is>
      </c>
      <c r="N42" s="2" t="inlineStr"/>
      <c r="O42" s="2" t="inlineStr">
        <is>
          <t>The C=O becomes C=CH2 exactly where the C=O was (via the oxaphosphetane); Ph3P=O is the driving force.</t>
        </is>
      </c>
      <c r="P42" s="2" t="inlineStr"/>
      <c r="Q42" s="2" t="inlineStr">
        <is>
          <t>RDKit: the SMARTS on the reaction's molecules gives the expected product; consumed fragments found in the starting materials and formed fragments in the products</t>
        </is>
      </c>
      <c r="R42" s="2" t="inlineStr">
        <is>
          <t>standard textbook reaction (Clayden, Organic Chemistry; Klein, Organic Chemistry)</t>
        </is>
      </c>
      <c r="S42" s="2" t="inlineStr"/>
      <c r="T42" s="2" t="inlineStr">
        <is>
          <t>carbonyl addition</t>
        </is>
      </c>
      <c r="U42" s="2" t="inlineStr"/>
      <c r="V42" s="2" t="inlineStr"/>
      <c r="W42" s="3" t="inlineStr"/>
      <c r="X42" s="3" t="inlineStr"/>
      <c r="Y42" s="3" t="inlineStr"/>
      <c r="Z42" s="3" t="inlineStr"/>
      <c r="AA42" s="2" t="n">
        <v>1</v>
      </c>
      <c r="AB42" t="inlineStr">
        <is>
          <t>verified (replay passed)</t>
        </is>
      </c>
    </row>
    <row r="43">
      <c r="A43" s="2" t="inlineStr">
        <is>
          <t>R042</t>
        </is>
      </c>
      <c r="B43" s="3" t="inlineStr">
        <is>
          <t>O=C1CCCCC1.OCCO&gt;Cc1ccc(S(=O)(=O)O)cc1&gt;C1CCC2(CC1)OCCO2.O | cond=reflux, toluene</t>
        </is>
      </c>
      <c r="C43" s="2" t="inlineStr">
        <is>
          <t>Acetal (dioxolane) formation</t>
        </is>
      </c>
      <c r="D43" s="2" t="inlineStr">
        <is>
          <t>cyclohexanone (JHIVVAPYMSGYDF-UHFFFAOYSA-N)</t>
        </is>
      </c>
      <c r="E43" s="2" t="inlineStr">
        <is>
          <t>ethylene glycol (LYCAIKOWRPUZTN-UHFFFAOYSA-N)</t>
        </is>
      </c>
      <c r="F43" s="2" t="inlineStr">
        <is>
          <t>TsOH (cat.) (JOXIMZWYDAKGHI-UHFFFAOYSA-N)</t>
        </is>
      </c>
      <c r="G43" s="2" t="inlineStr">
        <is>
          <t>ethylene glycol, TsOH, toluene, reflux (Dean–Stark)</t>
        </is>
      </c>
      <c r="H43" s="2" t="inlineStr">
        <is>
          <t>80-120 °C</t>
        </is>
      </c>
      <c r="I43" s="2" t="inlineStr">
        <is>
          <t>cyclohexanone ethylene ketal (GZGPRZYZKBQPBQ-UHFFFAOYSA-N)</t>
        </is>
      </c>
      <c r="J43" s="2" t="inlineStr">
        <is>
          <t>water (XLYOFNOQVPJJNP-UHFFFAOYSA-N)</t>
        </is>
      </c>
      <c r="K43" s="2" t="inlineStr">
        <is>
          <t>F018 aldehyde | F019 ketone + F017 1,2-diol</t>
        </is>
      </c>
      <c r="L43" s="2" t="inlineStr">
        <is>
          <t>F039 acetal / ketal</t>
        </is>
      </c>
      <c r="M43" s="3" t="inlineStr">
        <is>
          <t>[CX3;$(C([#6])[#6]),$([CH1][#6]):1]=[OX1].[OH:2][CH2:3][CH2:4][OH:5]&gt;&gt;[C:1]1[O:2][C:3][C:4][O:5]1</t>
        </is>
      </c>
      <c r="N43" s="2" t="inlineStr"/>
      <c r="O43" s="2" t="inlineStr">
        <is>
          <t>Protects the ketone; removing water drives the equilibrium.</t>
        </is>
      </c>
      <c r="P43" s="2" t="inlineStr"/>
      <c r="Q43" s="2" t="inlineStr">
        <is>
          <t>RDKit: the SMARTS on the reaction's molecules gives the expected product; consumed fragments found in the starting materials and formed fragments in the products</t>
        </is>
      </c>
      <c r="R43" s="2" t="inlineStr">
        <is>
          <t>standard textbook reaction (Clayden, Organic Chemistry; Klein, Organic Chemistry)</t>
        </is>
      </c>
      <c r="S43" s="2" t="inlineStr">
        <is>
          <t>acid: F019, ΔpKa ≥ -6</t>
        </is>
      </c>
      <c r="T43" s="2" t="inlineStr">
        <is>
          <t>carbonyl addition</t>
        </is>
      </c>
      <c r="U43" s="2" t="inlineStr"/>
      <c r="V43" s="2" t="inlineStr"/>
      <c r="W43" s="3" t="inlineStr"/>
      <c r="X43" s="3" t="inlineStr"/>
      <c r="Y43" s="3" t="inlineStr"/>
      <c r="Z43" s="3" t="inlineStr"/>
      <c r="AA43" s="2" t="inlineStr">
        <is>
          <t>catalytic</t>
        </is>
      </c>
      <c r="AB43" t="inlineStr">
        <is>
          <t>verified (replay passed)</t>
        </is>
      </c>
    </row>
    <row r="44">
      <c r="A44" s="2" t="inlineStr">
        <is>
          <t>R043</t>
        </is>
      </c>
      <c r="B44" s="3" t="inlineStr">
        <is>
          <t>O=Cc1ccccc1.Nc1ccccc1&gt;Cc1ccc(S(=O)(=O)O)cc1&gt;C(=Nc1ccccc1)c1ccccc1.O | cond=reflux, toluene</t>
        </is>
      </c>
      <c r="C44" s="2" t="inlineStr">
        <is>
          <t>Imine formation</t>
        </is>
      </c>
      <c r="D44" s="2" t="inlineStr">
        <is>
          <t>benzaldehyde (HUMNYLRZRPPJDN-UHFFFAOYSA-N)</t>
        </is>
      </c>
      <c r="E44" s="2" t="inlineStr">
        <is>
          <t>aniline (PAYRUJLWNCNPSJ-UHFFFAOYSA-N)</t>
        </is>
      </c>
      <c r="F44" s="2" t="inlineStr">
        <is>
          <t>TsOH (cat.) (JOXIMZWYDAKGHI-UHFFFAOYSA-N)</t>
        </is>
      </c>
      <c r="G44" s="2" t="inlineStr">
        <is>
          <t>primary amine, acid catalyst, remove water</t>
        </is>
      </c>
      <c r="H44" s="2" t="inlineStr"/>
      <c r="I44" s="2" t="inlineStr">
        <is>
          <t>N-benzylideneaniline (UVEWQKMPXAHFST-UHFFFAOYSA-N)</t>
        </is>
      </c>
      <c r="J44" s="2" t="inlineStr">
        <is>
          <t>water (XLYOFNOQVPJJNP-UHFFFAOYSA-N)</t>
        </is>
      </c>
      <c r="K44" s="2" t="inlineStr">
        <is>
          <t>F018 aldehyde | F019 ketone + F002 amine (1°) | F026 arylamine (aniline NH2)</t>
        </is>
      </c>
      <c r="L44" s="2" t="inlineStr">
        <is>
          <t>F031 imine</t>
        </is>
      </c>
      <c r="M44" s="3" t="inlineStr">
        <is>
          <t>[CX3;$(C([#6])[#6]),$([CH1][#6]):1]=[OX1].[NX3;H2:2][#6:3]&gt;&gt;[C:1]=[N:2][#6:3]</t>
        </is>
      </c>
      <c r="N44" s="2" t="inlineStr"/>
      <c r="O44" s="2" t="inlineStr">
        <is>
          <t>Addition of the amine, then loss of water; best near pH 4–5.</t>
        </is>
      </c>
      <c r="P44" s="2" t="inlineStr"/>
      <c r="Q44" s="2" t="inlineStr">
        <is>
          <t>RDKit: the SMARTS on the reaction's molecules gives the expected product; consumed fragments found in the starting materials and formed fragments in the products</t>
        </is>
      </c>
      <c r="R44" s="2" t="inlineStr">
        <is>
          <t>standard textbook reaction (Clayden, Organic Chemistry; Klein, Organic Chemistry)</t>
        </is>
      </c>
      <c r="S44" s="2" t="inlineStr"/>
      <c r="T44" s="2" t="inlineStr">
        <is>
          <t>carbonyl addition</t>
        </is>
      </c>
      <c r="U44" s="2" t="inlineStr"/>
      <c r="V44" s="2" t="inlineStr"/>
      <c r="W44" s="3" t="inlineStr"/>
      <c r="X44" s="3" t="inlineStr"/>
      <c r="Y44" s="3" t="inlineStr"/>
      <c r="Z44" s="3" t="inlineStr"/>
      <c r="AA44" s="2" t="inlineStr">
        <is>
          <t>catalytic</t>
        </is>
      </c>
      <c r="AB44" t="inlineStr">
        <is>
          <t>verified (replay passed)</t>
        </is>
      </c>
    </row>
    <row r="45">
      <c r="A45" s="2" t="inlineStr">
        <is>
          <t>R044</t>
        </is>
      </c>
      <c r="B45" s="3" t="inlineStr">
        <is>
          <t>O=C1CCCCC1.CN&gt;[BH3-]C#N.[Na+]&gt;CNC1CCCCC1.O | cond=methanol</t>
        </is>
      </c>
      <c r="C45" s="2" t="inlineStr">
        <is>
          <t>Reductive amination</t>
        </is>
      </c>
      <c r="D45" s="2" t="inlineStr">
        <is>
          <t>cyclohexanone (JHIVVAPYMSGYDF-UHFFFAOYSA-N)</t>
        </is>
      </c>
      <c r="E45" s="2" t="inlineStr">
        <is>
          <t>methylamine (BAVYZALUXZFZLV-UHFFFAOYSA-N)</t>
        </is>
      </c>
      <c r="F45" s="2" t="inlineStr">
        <is>
          <t>NaBH3CN (CVDUGUOQTVTBJH-UHFFFAOYSA-N)</t>
        </is>
      </c>
      <c r="G45" s="2" t="inlineStr">
        <is>
          <t>amine, NaBH3CN, MeOH, pH 6</t>
        </is>
      </c>
      <c r="H45" s="2" t="inlineStr"/>
      <c r="I45" s="2" t="inlineStr">
        <is>
          <t>N-methylcyclohexylamine (XTUVJUMINZSXGF-UHFFFAOYSA-N)</t>
        </is>
      </c>
      <c r="J45" s="2" t="inlineStr">
        <is>
          <t>water (XLYOFNOQVPJJNP-UHFFFAOYSA-N)</t>
        </is>
      </c>
      <c r="K45" s="2" t="inlineStr">
        <is>
          <t>F018 aldehyde | F019 ketone + F002 amine (1°) | F034 amine (2°)</t>
        </is>
      </c>
      <c r="L45" s="2" t="inlineStr">
        <is>
          <t>F034 amine (2°)</t>
        </is>
      </c>
      <c r="M45" s="3" t="inlineStr">
        <is>
          <t>[CX3;$(C([#6])[#6]),$([CH1][#6]):1]=[OX1].[NX3;H2,H1;!$(NC=O):2]&gt;&gt;[C:1][N:2]</t>
        </is>
      </c>
      <c r="N45" s="2" t="inlineStr"/>
      <c r="O45" s="2" t="inlineStr">
        <is>
          <t>The iminium ion forms first and is reduced faster than the ketone.</t>
        </is>
      </c>
      <c r="P45" s="2" t="inlineStr"/>
      <c r="Q45" s="2" t="inlineStr">
        <is>
          <t>RDKit: the SMARTS on the reaction's molecules gives the expected product; consumed fragments found in the starting materials and formed fragments in the products</t>
        </is>
      </c>
      <c r="R45" s="2" t="inlineStr">
        <is>
          <t>standard textbook reaction (Clayden, Organic Chemistry; Klein, Organic Chemistry)</t>
        </is>
      </c>
      <c r="S45" s="2" t="inlineStr"/>
      <c r="T45" s="2" t="inlineStr">
        <is>
          <t>carbonyl addition</t>
        </is>
      </c>
      <c r="U45" s="2" t="inlineStr"/>
      <c r="V45" s="2" t="inlineStr"/>
      <c r="W45" s="3" t="inlineStr"/>
      <c r="X45" s="3" t="inlineStr"/>
      <c r="Y45" s="3" t="inlineStr"/>
      <c r="Z45" s="3" t="inlineStr"/>
      <c r="AA45" s="2" t="n">
        <v>1</v>
      </c>
      <c r="AB45" t="inlineStr">
        <is>
          <t>verified (replay passed)</t>
        </is>
      </c>
    </row>
    <row r="46">
      <c r="A46" s="2" t="inlineStr">
        <is>
          <t>R045</t>
        </is>
      </c>
      <c r="B46" s="3" t="inlineStr">
        <is>
          <t>O=Cc1ccccc1.CC(C)=O&gt;[Na+].[OH-]&gt;CC(=O)C=Cc1ccccc1.O | cond=ethanol, room temperature, water</t>
        </is>
      </c>
      <c r="C46" s="2" t="inlineStr">
        <is>
          <t>Aldol condensation (Claisen–Schmidt)</t>
        </is>
      </c>
      <c r="D46" s="2" t="inlineStr">
        <is>
          <t>acetone (CSCPPACGZOOCGX-UHFFFAOYSA-N)</t>
        </is>
      </c>
      <c r="E46" s="2" t="inlineStr">
        <is>
          <t>benzaldehyde (HUMNYLRZRPPJDN-UHFFFAOYSA-N)</t>
        </is>
      </c>
      <c r="F46" s="2" t="inlineStr">
        <is>
          <t>NaOH (HEMHJVSKTPXQMS-UHFFFAOYSA-M)</t>
        </is>
      </c>
      <c r="G46" s="2" t="inlineStr">
        <is>
          <t>NaOH, EtOH/water, rt</t>
        </is>
      </c>
      <c r="H46" s="2" t="inlineStr"/>
      <c r="I46" s="2" t="inlineStr">
        <is>
          <t>benzalacetone (BWHOZHOGCMHOBV-UHFFFAOYSA-N)</t>
        </is>
      </c>
      <c r="J46" s="2" t="inlineStr">
        <is>
          <t>water (XLYOFNOQVPJJNP-UHFFFAOYSA-N)</t>
        </is>
      </c>
      <c r="K46" s="2" t="inlineStr">
        <is>
          <t>F019 ketone + F018 aldehyde</t>
        </is>
      </c>
      <c r="L46" s="2" t="inlineStr">
        <is>
          <t>F040 enone (α,β-unsaturated carbonyl)</t>
        </is>
      </c>
      <c r="M46" s="3" t="inlineStr">
        <is>
          <t>[CH3:1][C:2](=[O:3])[#6:4].[CH1:5](=O)[c:6]&gt;&gt;[#6:4][C:2](=[O:3])[C:1]=[C:5][c:6]</t>
        </is>
      </c>
      <c r="N46" s="2" t="inlineStr"/>
      <c r="O46" s="2" t="inlineStr">
        <is>
          <t>The enolate of acetone adds to benzaldehyde (no α-H, cannot self-condense); dehydration gives the conjugated enone (E).</t>
        </is>
      </c>
      <c r="P46" s="2" t="inlineStr"/>
      <c r="Q46" s="2" t="inlineStr">
        <is>
          <t>RDKit: the SMARTS on the reaction's molecules gives the expected product; consumed fragments found in the starting materials and formed fragments in the products</t>
        </is>
      </c>
      <c r="R46" s="2" t="inlineStr">
        <is>
          <t>standard textbook reaction (Clayden, Organic Chemistry; Klein, Organic Chemistry)</t>
        </is>
      </c>
      <c r="S46" s="2" t="inlineStr">
        <is>
          <t>base: F019, ΔpKa ≥ -5</t>
        </is>
      </c>
      <c r="T46" s="2" t="inlineStr"/>
      <c r="U46" s="2" t="inlineStr"/>
      <c r="V46" s="2" t="inlineStr"/>
      <c r="W46" s="3" t="inlineStr"/>
      <c r="X46" s="3" t="inlineStr"/>
      <c r="Y46" s="3" t="inlineStr"/>
      <c r="Z46" s="3" t="inlineStr"/>
      <c r="AA46" s="2" t="inlineStr">
        <is>
          <t>catalytic</t>
        </is>
      </c>
      <c r="AB46" t="inlineStr">
        <is>
          <t>verified (replay passed)</t>
        </is>
      </c>
    </row>
    <row r="47">
      <c r="A47" s="2" t="inlineStr">
        <is>
          <t>R046</t>
        </is>
      </c>
      <c r="B47" s="3" t="inlineStr">
        <is>
          <t>O=C1CCCCC1&gt;O=C(OO)c1cccc(Cl)c1&gt;O=C(O)c1cccc(Cl)c1.O=C1CCCCCO1 | cond=dichloromethane, room temperature</t>
        </is>
      </c>
      <c r="C47" s="2" t="inlineStr">
        <is>
          <t>Baeyer–Villiger oxidation</t>
        </is>
      </c>
      <c r="D47" s="2" t="inlineStr">
        <is>
          <t>cyclohexanone (JHIVVAPYMSGYDF-UHFFFAOYSA-N)</t>
        </is>
      </c>
      <c r="E47" s="2" t="inlineStr"/>
      <c r="F47" s="2" t="inlineStr">
        <is>
          <t>mCPBA (NHQDETIJWKXCTC-UHFFFAOYSA-N)</t>
        </is>
      </c>
      <c r="G47" s="2" t="inlineStr">
        <is>
          <t>mCPBA, CH2Cl2, rt</t>
        </is>
      </c>
      <c r="H47" s="2" t="inlineStr"/>
      <c r="I47" s="2" t="inlineStr">
        <is>
          <t>ε-caprolactone (PAPBSGBWRJIAAV-UHFFFAOYSA-N)</t>
        </is>
      </c>
      <c r="J47" s="2" t="inlineStr">
        <is>
          <t>3-chlorobenzoic acid (LULAYUGMBFYYEX-UHFFFAOYSA-N)</t>
        </is>
      </c>
      <c r="K47" s="2" t="inlineStr">
        <is>
          <t>F019 ketone</t>
        </is>
      </c>
      <c r="L47" s="2" t="inlineStr">
        <is>
          <t>F004 ester</t>
        </is>
      </c>
      <c r="M47" s="3" t="inlineStr">
        <is>
          <t>[C:1](=[O:2])[CH2:3]&gt;&gt;[C:1](=[O:2])O[C:3]</t>
        </is>
      </c>
      <c r="N47" s="2" t="inlineStr"/>
      <c r="O47" s="2" t="inlineStr">
        <is>
          <t>An O is inserted next to the C=O; the more substituted group migrates (tertiary &gt; secondary &gt; aryl &gt; primary &gt; methyl).</t>
        </is>
      </c>
      <c r="P47" s="2" t="inlineStr"/>
      <c r="Q47" s="2" t="inlineStr">
        <is>
          <t>RDKit: the SMARTS on the reaction's molecules gives the expected product; consumed fragments found in the starting materials and formed fragments in the products</t>
        </is>
      </c>
      <c r="R47" s="2" t="inlineStr">
        <is>
          <t>standard textbook reaction (Clayden, Organic Chemistry; Klein, Organic Chemistry)</t>
        </is>
      </c>
      <c r="S47" s="2" t="inlineStr"/>
      <c r="T47" s="2" t="inlineStr">
        <is>
          <t>peracid oxidation (mCPBA)</t>
        </is>
      </c>
      <c r="U47" s="2" t="inlineStr"/>
      <c r="V47" s="2" t="inlineStr">
        <is>
          <t>retention (the migrating carbon keeps its configuration)</t>
        </is>
      </c>
      <c r="W47" s="3" t="inlineStr"/>
      <c r="X47" s="3" t="inlineStr"/>
      <c r="Y47" s="3" t="inlineStr"/>
      <c r="Z47" s="3" t="inlineStr"/>
      <c r="AA47" s="2" t="n">
        <v>1</v>
      </c>
      <c r="AB47" t="inlineStr">
        <is>
          <t>verified (replay passed)</t>
        </is>
      </c>
    </row>
    <row r="48">
      <c r="A48" s="2" t="inlineStr">
        <is>
          <t>R047</t>
        </is>
      </c>
      <c r="B48" s="3" t="inlineStr">
        <is>
          <t>CCOC(=O)c1ccccc1&gt;[Na+].[OH-]&gt;O=C(O)c1ccccc1.CCO | cond=reflux, water</t>
        </is>
      </c>
      <c r="C48" s="2" t="inlineStr">
        <is>
          <t>Saponification (then acid work-up)</t>
        </is>
      </c>
      <c r="D48" s="2" t="inlineStr">
        <is>
          <t>ethyl benzoate (MTZQAGJQAFMTAQ-UHFFFAOYSA-N)</t>
        </is>
      </c>
      <c r="E48" s="2" t="inlineStr"/>
      <c r="F48" s="2" t="inlineStr">
        <is>
          <t>1) NaOH, water; 2) H3O+ (HEMHJVSKTPXQMS-UHFFFAOYSA-M)</t>
        </is>
      </c>
      <c r="G48" s="2" t="inlineStr">
        <is>
          <t>NaOH (aq), reflux; then HCl</t>
        </is>
      </c>
      <c r="H48" s="2" t="inlineStr">
        <is>
          <t>heat</t>
        </is>
      </c>
      <c r="I48" s="2" t="inlineStr">
        <is>
          <t>benzoic acid (WPYMKLBDIGXBTP-UHFFFAOYSA-N); ethanol (LFQSCWFLJHTTHZ-UHFFFAOYSA-N)</t>
        </is>
      </c>
      <c r="J48" s="2" t="inlineStr"/>
      <c r="K48" s="2" t="inlineStr">
        <is>
          <t>F004 ester</t>
        </is>
      </c>
      <c r="L48" s="2" t="inlineStr">
        <is>
          <t>F001 carboxylic acid + F014 alcohol (on sp3 C)</t>
        </is>
      </c>
      <c r="M48" s="3" t="inlineStr">
        <is>
          <t>[C:1](=[O:2])[O:3][CX4:4]&gt;&gt;[C:1](=[O:2])O.[O:3][C:4]</t>
        </is>
      </c>
      <c r="N48" s="2" t="inlineStr"/>
      <c r="O48" s="2" t="inlineStr">
        <is>
          <t>Hydroxide adds, alkoxide leaves; irreversible because the acid is deprotonated (carboxylate) until the work-up.</t>
        </is>
      </c>
      <c r="P48" s="2" t="inlineStr"/>
      <c r="Q48" s="2" t="inlineStr">
        <is>
          <t>RDKit: the SMARTS on the reaction's molecules gives the expected product; consumed fragments found in the starting materials and formed fragments in the products</t>
        </is>
      </c>
      <c r="R48" s="2" t="inlineStr">
        <is>
          <t>standard textbook reaction (Clayden, Organic Chemistry; Klein, Organic Chemistry)</t>
        </is>
      </c>
      <c r="S48" s="2" t="inlineStr"/>
      <c r="T48" s="2" t="inlineStr"/>
      <c r="U48" s="2" t="inlineStr"/>
      <c r="V48" s="2" t="inlineStr"/>
      <c r="W48" s="3" t="inlineStr"/>
      <c r="X48" s="3" t="inlineStr"/>
      <c r="Y48" s="3" t="inlineStr"/>
      <c r="Z48" s="3" t="inlineStr"/>
      <c r="AA48" s="2" t="n">
        <v>1</v>
      </c>
      <c r="AB48" t="inlineStr">
        <is>
          <t>verified (replay passed)</t>
        </is>
      </c>
    </row>
    <row r="49">
      <c r="A49" s="2" t="inlineStr">
        <is>
          <t>R048</t>
        </is>
      </c>
      <c r="B49" s="3" t="inlineStr">
        <is>
          <t>Nc1ccccc1.CC(=O)Cl&gt;c1ccncc1&gt;CC(=O)Nc1ccccc1.Cl | cond=0 C, dichloromethane</t>
        </is>
      </c>
      <c r="C49" s="2" t="inlineStr">
        <is>
          <t>Amide from acyl chloride</t>
        </is>
      </c>
      <c r="D49" s="2" t="inlineStr">
        <is>
          <t>acetyl chloride (WETWJCDKMRHUPV-UHFFFAOYSA-N)</t>
        </is>
      </c>
      <c r="E49" s="2" t="inlineStr">
        <is>
          <t>aniline (PAYRUJLWNCNPSJ-UHFFFAOYSA-N)</t>
        </is>
      </c>
      <c r="F49" s="2" t="inlineStr">
        <is>
          <t>pyridine (base) (JUJWROOIHBZHMG-UHFFFAOYSA-N)</t>
        </is>
      </c>
      <c r="G49" s="2" t="inlineStr">
        <is>
          <t>amine, pyridine, CH2Cl2, 0 °C</t>
        </is>
      </c>
      <c r="H49" s="2" t="inlineStr"/>
      <c r="I49" s="2" t="inlineStr">
        <is>
          <t>acetanilide (FZERHIULMFGESH-UHFFFAOYSA-N)</t>
        </is>
      </c>
      <c r="J49" s="2" t="inlineStr">
        <is>
          <t>hydrogen chloride (VEXZGXHMUGYJMC-UHFFFAOYSA-N)</t>
        </is>
      </c>
      <c r="K49" s="2" t="inlineStr">
        <is>
          <t>F020 acyl chloride + F002 amine (1°) | F026 arylamine (aniline NH2)</t>
        </is>
      </c>
      <c r="L49" s="2" t="inlineStr">
        <is>
          <t>F021 amide</t>
        </is>
      </c>
      <c r="M49" s="3" t="inlineStr">
        <is>
          <t>[C:1](=[O:2])Cl.[NX3;H2,H1;!$(NC=O):3]&gt;&gt;[C:1](=[O:2])[N:3]</t>
        </is>
      </c>
      <c r="N49" s="2" t="inlineStr"/>
      <c r="O49" s="2" t="inlineStr">
        <is>
          <t>Addition–elimination; pyridine takes up the HCl.</t>
        </is>
      </c>
      <c r="P49" s="2" t="inlineStr"/>
      <c r="Q49" s="2" t="inlineStr">
        <is>
          <t>RDKit: the SMARTS on the reaction's molecules gives the expected product; consumed fragments found in the starting materials and formed fragments in the products</t>
        </is>
      </c>
      <c r="R49" s="2" t="inlineStr">
        <is>
          <t>standard textbook reaction (Clayden, Organic Chemistry; Klein, Organic Chemistry)</t>
        </is>
      </c>
      <c r="S49" s="2" t="inlineStr"/>
      <c r="T49" s="2" t="inlineStr">
        <is>
          <t>acylation of a nucleophile</t>
        </is>
      </c>
      <c r="U49" s="2" t="inlineStr"/>
      <c r="V49" s="2" t="inlineStr"/>
      <c r="W49" s="3" t="inlineStr"/>
      <c r="X49" s="3" t="inlineStr"/>
      <c r="Y49" s="3" t="inlineStr"/>
      <c r="Z49" s="3" t="inlineStr"/>
      <c r="AA49" s="2" t="n">
        <v>1</v>
      </c>
      <c r="AB49" t="inlineStr">
        <is>
          <t>verified (replay passed)</t>
        </is>
      </c>
    </row>
    <row r="50">
      <c r="A50" s="2" t="inlineStr">
        <is>
          <t>R049</t>
        </is>
      </c>
      <c r="B50" s="3" t="inlineStr">
        <is>
          <t>O=C(O)c1ccccc1O&gt;CC(=O)OC(C)=O&gt;CC(=O)Oc1ccccc1C(=O)O.CC(=O)O | cond=85 C</t>
        </is>
      </c>
      <c r="C50" s="2" t="inlineStr">
        <is>
          <t>Acetylation of a phenol (aspirin)</t>
        </is>
      </c>
      <c r="D50" s="2" t="inlineStr">
        <is>
          <t>salicylic acid (YGSDEFSMJLZEOE-UHFFFAOYSA-N)</t>
        </is>
      </c>
      <c r="E50" s="2" t="inlineStr"/>
      <c r="F50" s="2" t="inlineStr">
        <is>
          <t>acetic anhydride (H2SO4 or H3PO4 cat.) (WFDIJRYMOXRFFG-UHFFFAOYSA-N)</t>
        </is>
      </c>
      <c r="G50" s="2" t="inlineStr">
        <is>
          <t>Ac2O, a drop of H3PO4, 85 °C</t>
        </is>
      </c>
      <c r="H50" s="2" t="inlineStr">
        <is>
          <t>50-100 °C</t>
        </is>
      </c>
      <c r="I50" s="2" t="inlineStr">
        <is>
          <t>aspirin (BSYNRYMUTXBXSQ-UHFFFAOYSA-N)</t>
        </is>
      </c>
      <c r="J50" s="2" t="inlineStr">
        <is>
          <t>acetic acid (QTBSBXVTEAMEQO-UHFFFAOYSA-N)</t>
        </is>
      </c>
      <c r="K50" s="2" t="inlineStr">
        <is>
          <t>F028 phenol</t>
        </is>
      </c>
      <c r="L50" s="2" t="inlineStr">
        <is>
          <t>F004 ester</t>
        </is>
      </c>
      <c r="M50" s="3" t="inlineStr">
        <is>
          <t>[c:1][OH:2]&gt;&gt;[c:1][O:2]C(C)=O</t>
        </is>
      </c>
      <c r="N50" s="2" t="inlineStr"/>
      <c r="O50" s="2" t="inlineStr">
        <is>
          <t>The phenol O attacks the anhydride; acetic acid leaves. Salicylic acid gives aspirin.</t>
        </is>
      </c>
      <c r="P50" s="2" t="inlineStr"/>
      <c r="Q50" s="2" t="inlineStr">
        <is>
          <t>RDKit: the SMARTS on the reaction's molecules gives the expected product; consumed fragments found in the starting materials and formed fragments in the products</t>
        </is>
      </c>
      <c r="R50" s="2" t="inlineStr">
        <is>
          <t>standard textbook reaction (Clayden, Organic Chemistry; Klein, Organic Chemistry)</t>
        </is>
      </c>
      <c r="S50" s="2" t="inlineStr"/>
      <c r="T50" s="2" t="inlineStr"/>
      <c r="U50" s="2" t="inlineStr"/>
      <c r="V50" s="2" t="inlineStr"/>
      <c r="W50" s="3" t="inlineStr"/>
      <c r="X50" s="3" t="inlineStr"/>
      <c r="Y50" s="3" t="inlineStr"/>
      <c r="Z50" s="3" t="inlineStr"/>
      <c r="AA50" s="2" t="n">
        <v>1</v>
      </c>
      <c r="AB50" t="inlineStr">
        <is>
          <t>verified (replay passed)</t>
        </is>
      </c>
    </row>
    <row r="51">
      <c r="A51" s="2" t="inlineStr">
        <is>
          <t>R050</t>
        </is>
      </c>
      <c r="B51" s="3" t="inlineStr">
        <is>
          <t>C1CCC2OC2C1&gt;O=S(=O)(O)O&gt;O[C@H]1CCCC[C@@H]1O | cond=room temperature, water</t>
        </is>
      </c>
      <c r="C51" s="2" t="inlineStr">
        <is>
          <t>Acid-catalysed epoxide opening</t>
        </is>
      </c>
      <c r="D51" s="2" t="inlineStr">
        <is>
          <t>cyclohexene oxide (ZWAJLVLEBYIOTI-UHFFFAOYSA-N)</t>
        </is>
      </c>
      <c r="E51" s="2" t="inlineStr"/>
      <c r="F51" s="2" t="inlineStr">
        <is>
          <t>H3O+ (dilute H2SO4) (QAOWNCQODCNURD-UHFFFAOYSA-N)</t>
        </is>
      </c>
      <c r="G51" s="2" t="inlineStr">
        <is>
          <t>dilute aqueous H2SO4, rt</t>
        </is>
      </c>
      <c r="H51" s="2" t="inlineStr">
        <is>
          <t>water, dilute</t>
        </is>
      </c>
      <c r="I51" s="2" t="inlineStr">
        <is>
          <t>1,2-cyclohexanediol (PFURGBBHAOXLIO-UHFFFAOYSA-N)</t>
        </is>
      </c>
      <c r="J51" s="2" t="inlineStr"/>
      <c r="K51" s="2" t="inlineStr">
        <is>
          <t>F023 epoxide</t>
        </is>
      </c>
      <c r="L51" s="2" t="inlineStr">
        <is>
          <t>F017 1,2-diol</t>
        </is>
      </c>
      <c r="M51" s="3" t="inlineStr">
        <is>
          <t>[C:1]1[O:2][C:3]1&gt;&gt;[C:1]([O:2])[C:3]O</t>
        </is>
      </c>
      <c r="N51" s="2" t="inlineStr"/>
      <c r="O51" s="2" t="inlineStr">
        <is>
          <t>Anti opening: trans-1,2-diol (stereo not drawn); water attacks the more substituted C.</t>
        </is>
      </c>
      <c r="P51" s="2" t="inlineStr"/>
      <c r="Q51" s="2" t="inlineStr">
        <is>
          <t>RDKit: the SMARTS on the reaction's molecules gives the expected product; consumed fragments found in the starting materials and formed fragments in the products</t>
        </is>
      </c>
      <c r="R51" s="2" t="inlineStr">
        <is>
          <t>standard textbook reaction (Clayden, Organic Chemistry; Klein, Organic Chemistry)</t>
        </is>
      </c>
      <c r="S51" s="2" t="inlineStr"/>
      <c r="T51" s="2" t="inlineStr"/>
      <c r="U51" s="2" t="inlineStr"/>
      <c r="V51" s="2" t="inlineStr">
        <is>
          <t>anti opening (backside attack)</t>
        </is>
      </c>
      <c r="W51" s="3" t="inlineStr">
        <is>
          <t>[#6:3][CH1:1]1[O:5][CH1:2]1[#6:4]&gt;&gt;[#6:3][C@H:1]([O:5])[C@@H:2](O)[#6:4]</t>
        </is>
      </c>
      <c r="X51" s="3" t="inlineStr"/>
      <c r="Y51" s="3" t="inlineStr"/>
      <c r="Z51" s="3" t="inlineStr"/>
      <c r="AA51" s="2" t="inlineStr">
        <is>
          <t>catalytic</t>
        </is>
      </c>
      <c r="AB51" t="inlineStr">
        <is>
          <t>verified (replay passed)</t>
        </is>
      </c>
    </row>
    <row r="52">
      <c r="A52" s="2" t="inlineStr">
        <is>
          <t>R051</t>
        </is>
      </c>
      <c r="B52" s="3" t="inlineStr">
        <is>
          <t>O=C1C=CC(=O)O1.C=CC=C&gt;&gt;O=C1OC(=O)C2CC=CCC12 | cond=reflux, xylene</t>
        </is>
      </c>
      <c r="C52" s="2" t="inlineStr">
        <is>
          <t>Diels–Alder reaction</t>
        </is>
      </c>
      <c r="D52" s="2" t="inlineStr">
        <is>
          <t>1,3-butadiene (KAKZBPTYRLMSJV-UHFFFAOYSA-N)</t>
        </is>
      </c>
      <c r="E52" s="2" t="inlineStr">
        <is>
          <t>maleic anhydride (FPYJFEHAWHCUMM-UHFFFAOYSA-N)</t>
        </is>
      </c>
      <c r="F52" s="2" t="inlineStr">
        <is>
          <t>none (no reagent)</t>
        </is>
      </c>
      <c r="G52" s="2" t="inlineStr">
        <is>
          <t>diene + dienophile, xylene, reflux</t>
        </is>
      </c>
      <c r="H52" s="2" t="inlineStr">
        <is>
          <t>80-160 °C</t>
        </is>
      </c>
      <c r="I52" s="2" t="inlineStr">
        <is>
          <t>tetrahydrophthalic anhydride (Diels–Alder adduct) (KMOUUZVZFBCRAM-UHFFFAOYSA-N)</t>
        </is>
      </c>
      <c r="J52" s="2" t="inlineStr"/>
      <c r="K52" s="2" t="inlineStr">
        <is>
          <t>F030 conjugated diene + F005 alkene (C=C)</t>
        </is>
      </c>
      <c r="L52" s="2" t="inlineStr">
        <is>
          <t>F005 alkene (C=C)</t>
        </is>
      </c>
      <c r="M52" s="3" t="inlineStr">
        <is>
          <t>[C:1]=[C:2][C:3]=[C:4].[C:5]=[C:6]&gt;&gt;[C:1]1[C:2]=[C:3][C:4][C:6][C:5]1</t>
        </is>
      </c>
      <c r="N52" s="2" t="inlineStr"/>
      <c r="O52" s="2" t="inlineStr">
        <is>
          <t>Concerted [4+2]; suprafacial: the dienophile's cis groups stay cis; endo product favoured.</t>
        </is>
      </c>
      <c r="P52" s="2" t="inlineStr"/>
      <c r="Q52" s="2" t="inlineStr">
        <is>
          <t>RDKit: the SMARTS on the reaction's molecules gives the expected product; consumed fragments found in the starting materials and formed fragments in the products</t>
        </is>
      </c>
      <c r="R52" s="2" t="inlineStr">
        <is>
          <t>standard textbook reaction (Clayden, Organic Chemistry; Klein, Organic Chemistry)</t>
        </is>
      </c>
      <c r="S52" s="2" t="inlineStr"/>
      <c r="T52" s="2" t="inlineStr"/>
      <c r="U52" s="2" t="inlineStr"/>
      <c r="V52" s="2" t="inlineStr"/>
      <c r="W52" s="3" t="inlineStr"/>
      <c r="X52" s="3" t="inlineStr"/>
      <c r="Y52" s="3" t="inlineStr"/>
      <c r="Z52" s="3" t="inlineStr"/>
      <c r="AA52" s="2" t="inlineStr"/>
      <c r="AB52" t="inlineStr">
        <is>
          <t>verified (replay passed)</t>
        </is>
      </c>
    </row>
    <row r="53">
      <c r="A53" s="2" t="inlineStr">
        <is>
          <t>R052</t>
        </is>
      </c>
      <c r="B53" s="3" t="inlineStr">
        <is>
          <t>COC(=O)c1ccccc1&gt;[CH3][Mg][Br]&gt;CC(C)(O)c1ccccc1.CO | cond=2 equiv, anhydrous, diethyl ether</t>
        </is>
      </c>
      <c r="C53" s="2" t="inlineStr">
        <is>
          <t>Grignard addition to ester (twice)</t>
        </is>
      </c>
      <c r="D53" s="2" t="inlineStr">
        <is>
          <t>methyl benzoate (QPJVMBTYPHYUOC-UHFFFAOYSA-N)</t>
        </is>
      </c>
      <c r="E53" s="2" t="inlineStr"/>
      <c r="F53" s="2" t="inlineStr">
        <is>
          <t>1) MeMgBr (2 equiv); 2) H3O+ (AVFUHBJCUUTGCD-UHFFFAOYSA-M)</t>
        </is>
      </c>
      <c r="G53" s="2" t="inlineStr">
        <is>
          <t>MeMgBr (2 equiv), dry ether; then aqueous acid</t>
        </is>
      </c>
      <c r="H53" s="2" t="inlineStr">
        <is>
          <t>anhydrous</t>
        </is>
      </c>
      <c r="I53" s="2" t="inlineStr">
        <is>
          <t>2-phenyl-2-propanol (BDCFWIDZNLCTMF-UHFFFAOYSA-N); methanol (OKKJLVBELUTLKV-UHFFFAOYSA-N)</t>
        </is>
      </c>
      <c r="J53" s="2" t="inlineStr"/>
      <c r="K53" s="2" t="inlineStr">
        <is>
          <t>F004 ester</t>
        </is>
      </c>
      <c r="L53" s="2" t="inlineStr">
        <is>
          <t>F016 alcohol (3°) + F014 alcohol (on sp3 C)</t>
        </is>
      </c>
      <c r="M53" s="3" t="inlineStr">
        <is>
          <t>[C:1](=[O:2])[O:3][C:4]&gt;&gt;[C:1](C)(C)[O:2].[O:3][C:4]</t>
        </is>
      </c>
      <c r="N53" s="2" t="inlineStr"/>
      <c r="O53" s="2" t="inlineStr">
        <is>
          <t>Two Grignard groups add: the ketone formed after the first addition is MORE reactive than the ester, so it cannot be stopped there. Tertiary alcohol with two identical R groups from the Grignard.</t>
        </is>
      </c>
      <c r="P53" s="2" t="inlineStr"/>
      <c r="Q53" s="2" t="inlineStr">
        <is>
          <t>RDKit: the SMARTS on the reaction's molecules gives the expected product; consumed fragments found in the starting materials and formed fragments in the products</t>
        </is>
      </c>
      <c r="R53" s="2" t="inlineStr">
        <is>
          <t>standard textbook reaction (Clayden, Organic Chemistry; Klein, Organic Chemistry)</t>
        </is>
      </c>
      <c r="S53" s="2" t="inlineStr"/>
      <c r="T53" s="2" t="inlineStr">
        <is>
          <t>carbonyl addition</t>
        </is>
      </c>
      <c r="U53" s="2" t="inlineStr"/>
      <c r="V53" s="2" t="inlineStr"/>
      <c r="W53" s="3" t="inlineStr"/>
      <c r="X53" s="3" t="inlineStr"/>
      <c r="Y53" s="3" t="inlineStr"/>
      <c r="Z53" s="3" t="inlineStr"/>
      <c r="AA53" s="2" t="n">
        <v>2</v>
      </c>
      <c r="AB53" t="inlineStr">
        <is>
          <t>verified (replay passed)</t>
        </is>
      </c>
    </row>
    <row r="54">
      <c r="A54" s="2" t="inlineStr">
        <is>
          <t>R053</t>
        </is>
      </c>
      <c r="B54" s="3" t="inlineStr">
        <is>
          <t>C=C(C)C&gt;Cl&gt;CC(C)(C)Cl | cond=0 C, dichloromethane</t>
        </is>
      </c>
      <c r="C54" s="2" t="inlineStr">
        <is>
          <t>Hydrochlorination (Markovnikov)</t>
        </is>
      </c>
      <c r="D54" s="2" t="inlineStr">
        <is>
          <t>isobutylene (VQTUBCCKSQIDNK-UHFFFAOYSA-N)</t>
        </is>
      </c>
      <c r="E54" s="2" t="inlineStr"/>
      <c r="F54" s="2" t="inlineStr">
        <is>
          <t>HCl (VEXZGXHMUGYJMC-UHFFFAOYSA-N)</t>
        </is>
      </c>
      <c r="G54" s="2" t="inlineStr">
        <is>
          <t>HCl, no peroxide</t>
        </is>
      </c>
      <c r="H54" s="2" t="inlineStr"/>
      <c r="I54" s="2" t="inlineStr">
        <is>
          <t>tert-butyl chloride (NBRKLOOSMBRFMH-UHFFFAOYSA-N)</t>
        </is>
      </c>
      <c r="J54" s="2" t="inlineStr"/>
      <c r="K54" s="2" t="inlineStr">
        <is>
          <t>F006 alkene, terminal (=CH2)</t>
        </is>
      </c>
      <c r="L54" s="2" t="inlineStr">
        <is>
          <t>F011 alkyl chloride</t>
        </is>
      </c>
      <c r="M54" s="3" t="inlineStr">
        <is>
          <t>[C;H0,H1:1]=[CH2:2]&gt;&gt;[C:1](Cl)[C:2]</t>
        </is>
      </c>
      <c r="N54" s="2" t="inlineStr"/>
      <c r="O54" s="2" t="inlineStr">
        <is>
          <t>Markovnikov: Cl on the more substituted C (more stable cation).</t>
        </is>
      </c>
      <c r="P54" s="2" t="inlineStr"/>
      <c r="Q54" s="2" t="inlineStr">
        <is>
          <t>RDKit: the SMARTS on the reaction's molecules gives the expected product; consumed fragments found in the starting materials and formed fragments in the products</t>
        </is>
      </c>
      <c r="R54" s="2" t="inlineStr">
        <is>
          <t>standard textbook reaction (Clayden, Organic Chemistry; Klein, Organic Chemistry)</t>
        </is>
      </c>
      <c r="S54" s="2" t="inlineStr"/>
      <c r="T54" s="2" t="inlineStr"/>
      <c r="U54" s="2" t="inlineStr"/>
      <c r="V54" s="2" t="inlineStr"/>
      <c r="W54" s="3" t="inlineStr"/>
      <c r="X54" s="3" t="inlineStr"/>
      <c r="Y54" s="3" t="inlineStr"/>
      <c r="Z54" s="3" t="inlineStr"/>
      <c r="AA54" s="2" t="n">
        <v>1</v>
      </c>
      <c r="AB54" t="inlineStr">
        <is>
          <t>none</t>
        </is>
      </c>
    </row>
    <row r="55">
      <c r="A55" s="2" t="inlineStr">
        <is>
          <t>R054</t>
        </is>
      </c>
      <c r="B55" s="3" t="inlineStr">
        <is>
          <t>C=CC&gt;I&gt;CC(C)I | cond=0 C, dichloromethane</t>
        </is>
      </c>
      <c r="C55" s="2" t="inlineStr">
        <is>
          <t>Hydroiodination (Markovnikov)</t>
        </is>
      </c>
      <c r="D55" s="2" t="inlineStr">
        <is>
          <t>propene (QQONPFPTGQHPMA-UHFFFAOYSA-N)</t>
        </is>
      </c>
      <c r="E55" s="2" t="inlineStr"/>
      <c r="F55" s="2" t="inlineStr">
        <is>
          <t>HI (XMBWDFGMSWQBCA-UHFFFAOYSA-N)</t>
        </is>
      </c>
      <c r="G55" s="2" t="inlineStr">
        <is>
          <t>HI</t>
        </is>
      </c>
      <c r="H55" s="2" t="inlineStr"/>
      <c r="I55" s="2" t="inlineStr">
        <is>
          <t>2-iodopropane (FMKOJHQHASLBPH-UHFFFAOYSA-N)</t>
        </is>
      </c>
      <c r="J55" s="2" t="inlineStr"/>
      <c r="K55" s="2" t="inlineStr">
        <is>
          <t>F006 alkene, terminal (=CH2)</t>
        </is>
      </c>
      <c r="L55" s="2" t="inlineStr">
        <is>
          <t>F012 alkyl iodide</t>
        </is>
      </c>
      <c r="M55" s="3" t="inlineStr">
        <is>
          <t>[C;H0,H1:1]=[CH2:2]&gt;&gt;[C:1](I)[C:2]</t>
        </is>
      </c>
      <c r="N55" s="2" t="inlineStr"/>
      <c r="O55" s="2" t="inlineStr">
        <is>
          <t>Markovnikov addition of HI.</t>
        </is>
      </c>
      <c r="P55" s="2" t="inlineStr"/>
      <c r="Q55" s="2" t="inlineStr">
        <is>
          <t>RDKit: the SMARTS on the reaction's molecules gives the expected product; consumed fragments found in the starting materials and formed fragments in the products</t>
        </is>
      </c>
      <c r="R55" s="2" t="inlineStr">
        <is>
          <t>standard textbook reaction (Clayden, Organic Chemistry; Klein, Organic Chemistry)</t>
        </is>
      </c>
      <c r="S55" s="2" t="inlineStr"/>
      <c r="T55" s="2" t="inlineStr"/>
      <c r="U55" s="2" t="inlineStr"/>
      <c r="V55" s="2" t="inlineStr"/>
      <c r="W55" s="3" t="inlineStr"/>
      <c r="X55" s="3" t="inlineStr"/>
      <c r="Y55" s="3" t="inlineStr"/>
      <c r="Z55" s="3" t="inlineStr"/>
      <c r="AA55" s="2" t="n">
        <v>1</v>
      </c>
      <c r="AB55" t="inlineStr">
        <is>
          <t>none</t>
        </is>
      </c>
    </row>
    <row r="56">
      <c r="A56" s="2" t="inlineStr">
        <is>
          <t>R055</t>
        </is>
      </c>
      <c r="B56" s="3" t="inlineStr">
        <is>
          <t>C1=CCCCC1&gt;ClCl&gt;ClC1CCCCC1Cl | cond=dichloromethane, room temperature</t>
        </is>
      </c>
      <c r="C56" s="2" t="inlineStr">
        <is>
          <t>Chlorine addition to alkene</t>
        </is>
      </c>
      <c r="D56" s="2" t="inlineStr">
        <is>
          <t>cyclohexene (HGCIXCUEYOPUTN-UHFFFAOYSA-N)</t>
        </is>
      </c>
      <c r="E56" s="2" t="inlineStr"/>
      <c r="F56" s="2" t="inlineStr">
        <is>
          <t>Cl2 (KZBUYRJDOAKODT-UHFFFAOYSA-N)</t>
        </is>
      </c>
      <c r="G56" s="2" t="inlineStr">
        <is>
          <t>Cl2, CH2Cl2, rt, dark</t>
        </is>
      </c>
      <c r="H56" s="2" t="inlineStr"/>
      <c r="I56" s="2" t="inlineStr">
        <is>
          <t>1,2-dichlorocyclohexane (GZEZIBFVJYNETN-UHFFFAOYSA-N)</t>
        </is>
      </c>
      <c r="J56" s="2" t="inlineStr"/>
      <c r="K56" s="2" t="inlineStr">
        <is>
          <t>F005 alkene (C=C)</t>
        </is>
      </c>
      <c r="L56" s="2" t="inlineStr">
        <is>
          <t>F011 alkyl chloride</t>
        </is>
      </c>
      <c r="M56" s="3" t="inlineStr">
        <is>
          <t>[C:1]=[C:2]&gt;&gt;[C:1](Cl)[C:2]Cl</t>
        </is>
      </c>
      <c r="N56" s="2" t="inlineStr"/>
      <c r="O56" s="2" t="inlineStr">
        <is>
          <t>Anti addition through a chloronium ion (trans product).</t>
        </is>
      </c>
      <c r="P56" s="2" t="inlineStr"/>
      <c r="Q56" s="2" t="inlineStr">
        <is>
          <t>RDKit: the SMARTS on the reaction's molecules gives the expected product; consumed fragments found in the starting materials and formed fragments in the products</t>
        </is>
      </c>
      <c r="R56" s="2" t="inlineStr">
        <is>
          <t>standard textbook reaction (Clayden, Organic Chemistry; Klein, Organic Chemistry)</t>
        </is>
      </c>
      <c r="S56" s="2" t="inlineStr"/>
      <c r="T56" s="2" t="inlineStr"/>
      <c r="U56" s="2" t="inlineStr"/>
      <c r="V56" s="2" t="inlineStr"/>
      <c r="W56" s="3" t="inlineStr"/>
      <c r="X56" s="3" t="inlineStr"/>
      <c r="Y56" s="3" t="inlineStr"/>
      <c r="Z56" s="3" t="inlineStr"/>
      <c r="AA56" s="2" t="n">
        <v>1</v>
      </c>
      <c r="AB56" t="inlineStr">
        <is>
          <t>none</t>
        </is>
      </c>
    </row>
    <row r="57">
      <c r="A57" s="2" t="inlineStr">
        <is>
          <t>R056</t>
        </is>
      </c>
      <c r="B57" s="3" t="inlineStr">
        <is>
          <t>C=C(C)C&gt;CC(=O)[O][Hg][O]C(C)=O&gt;CC(C)(C)O | cond=room temperature, tetrahydrofuran, water</t>
        </is>
      </c>
      <c r="C57" s="2" t="inlineStr">
        <is>
          <t>Oxymercuration–demercuration</t>
        </is>
      </c>
      <c r="D57" s="2" t="inlineStr">
        <is>
          <t>isobutylene (VQTUBCCKSQIDNK-UHFFFAOYSA-N)</t>
        </is>
      </c>
      <c r="E57" s="2" t="inlineStr"/>
      <c r="F57" s="2" t="inlineStr">
        <is>
          <t>1) Hg(OAc)2, H2O; 2) NaBH4 (BRMYZIKAHFEUFJ-UHFFFAOYSA-L)</t>
        </is>
      </c>
      <c r="G57" s="2" t="inlineStr">
        <is>
          <t>Hg(OAc)2, THF/water; then NaBH4</t>
        </is>
      </c>
      <c r="H57" s="2" t="inlineStr">
        <is>
          <t>water</t>
        </is>
      </c>
      <c r="I57" s="2" t="inlineStr">
        <is>
          <t>tert-butanol (DKGAVHZHDRPRBM-UHFFFAOYSA-N)</t>
        </is>
      </c>
      <c r="J57" s="2" t="inlineStr"/>
      <c r="K57" s="2" t="inlineStr">
        <is>
          <t>F006 alkene, terminal (=CH2)</t>
        </is>
      </c>
      <c r="L57" s="2" t="inlineStr">
        <is>
          <t>F016 alcohol (3°)</t>
        </is>
      </c>
      <c r="M57" s="3" t="inlineStr">
        <is>
          <t>[C;H0,H1:1]=[CH2:2]&gt;&gt;[C:1](O)[C:2]</t>
        </is>
      </c>
      <c r="N57" s="2" t="inlineStr"/>
      <c r="O57" s="2" t="inlineStr">
        <is>
          <t>Markovnikov alcohol with no carbocation rearrangement (mercurinium ion).</t>
        </is>
      </c>
      <c r="P57" s="2" t="inlineStr"/>
      <c r="Q57" s="2" t="inlineStr">
        <is>
          <t>RDKit: the SMARTS on the reaction's molecules gives the expected product; consumed fragments found in the starting materials and formed fragments in the products</t>
        </is>
      </c>
      <c r="R57" s="2" t="inlineStr">
        <is>
          <t>standard textbook reaction (Clayden, Organic Chemistry; Klein, Organic Chemistry)</t>
        </is>
      </c>
      <c r="S57" s="2" t="inlineStr"/>
      <c r="T57" s="2" t="inlineStr"/>
      <c r="U57" s="2" t="inlineStr"/>
      <c r="V57" s="2" t="inlineStr"/>
      <c r="W57" s="3" t="inlineStr"/>
      <c r="X57" s="3" t="inlineStr"/>
      <c r="Y57" s="3" t="inlineStr"/>
      <c r="Z57" s="3" t="inlineStr"/>
      <c r="AA57" s="2" t="n">
        <v>1</v>
      </c>
      <c r="AB57" t="inlineStr">
        <is>
          <t>none</t>
        </is>
      </c>
    </row>
    <row r="58">
      <c r="A58" s="2" t="inlineStr">
        <is>
          <t>R057</t>
        </is>
      </c>
      <c r="B58" s="3" t="inlineStr">
        <is>
          <t>C/C=C/C&gt;[K+].[O]=[Mn](=[O])(=[O])[O-]&gt;CC(=O)O.CC(=O)O | cond=reflux, water</t>
        </is>
      </c>
      <c r="C58" s="2" t="inlineStr">
        <is>
          <t>Oxidative cleavage of alkene (hot KMnO4)</t>
        </is>
      </c>
      <c r="D58" s="2" t="inlineStr">
        <is>
          <t>trans-2-butene (IAQRGUVFOMOMEM-ONEGZZNKSA-N)</t>
        </is>
      </c>
      <c r="E58" s="2" t="inlineStr"/>
      <c r="F58" s="2" t="inlineStr">
        <is>
          <t>KMnO4, then H3O+ (VZJVWSHVAAUDKD-UHFFFAOYSA-N)</t>
        </is>
      </c>
      <c r="G58" s="2" t="inlineStr">
        <is>
          <t>hot, concentrated KMnO4; acid work-up</t>
        </is>
      </c>
      <c r="H58" s="2" t="inlineStr">
        <is>
          <t>heat</t>
        </is>
      </c>
      <c r="I58" s="2" t="inlineStr">
        <is>
          <t>acetic acid (QTBSBXVTEAMEQO-UHFFFAOYSA-N); acetic acid (QTBSBXVTEAMEQO-UHFFFAOYSA-N)</t>
        </is>
      </c>
      <c r="J58" s="2" t="inlineStr"/>
      <c r="K58" s="2" t="inlineStr">
        <is>
          <t>F005 alkene (C=C)</t>
        </is>
      </c>
      <c r="L58" s="2" t="inlineStr">
        <is>
          <t>F001 carboxylic acid</t>
        </is>
      </c>
      <c r="M58" s="3" t="inlineStr">
        <is>
          <t>[CH1:1]=[CH1:2]&gt;&gt;[C:1](=O)O.[C:2](=O)O</t>
        </is>
      </c>
      <c r="N58" s="2" t="inlineStr"/>
      <c r="O58" s="2" t="inlineStr">
        <is>
          <t>Each =CH– becomes a COOH (a =CR2 end would give a ketone).</t>
        </is>
      </c>
      <c r="P58" s="2" t="inlineStr"/>
      <c r="Q58" s="2" t="inlineStr">
        <is>
          <t>RDKit: the SMARTS on the reaction's molecules gives the expected product; consumed fragments found in the starting materials and formed fragments in the products</t>
        </is>
      </c>
      <c r="R58" s="2" t="inlineStr">
        <is>
          <t>standard textbook reaction (Clayden, Organic Chemistry; Klein, Organic Chemistry)</t>
        </is>
      </c>
      <c r="S58" s="2" t="inlineStr"/>
      <c r="T58" s="2" t="inlineStr"/>
      <c r="U58" s="2" t="inlineStr"/>
      <c r="V58" s="2" t="inlineStr"/>
      <c r="W58" s="3" t="inlineStr"/>
      <c r="X58" s="3" t="inlineStr"/>
      <c r="Y58" s="3" t="inlineStr"/>
      <c r="Z58" s="3" t="inlineStr"/>
      <c r="AA58" s="2" t="n">
        <v>2</v>
      </c>
      <c r="AB58" t="inlineStr">
        <is>
          <t>none</t>
        </is>
      </c>
    </row>
    <row r="59">
      <c r="A59" s="2" t="inlineStr">
        <is>
          <t>R058</t>
        </is>
      </c>
      <c r="B59" s="3" t="inlineStr">
        <is>
          <t>CC#CC&gt;BrBr&gt;CC(Br)(Br)C(C)(Br)Br | cond=2 equiv, dichloromethane, room temperature</t>
        </is>
      </c>
      <c r="C59" s="2" t="inlineStr">
        <is>
          <t>Bromination of alkyne (2 Br2)</t>
        </is>
      </c>
      <c r="D59" s="2" t="inlineStr">
        <is>
          <t>2-butyne (XNMQEEKYCVKGBD-UHFFFAOYSA-N)</t>
        </is>
      </c>
      <c r="E59" s="2" t="inlineStr"/>
      <c r="F59" s="2" t="inlineStr">
        <is>
          <t>Br2 (2 equiv) (GDTBXPJZTBHREO-UHFFFAOYSA-N)</t>
        </is>
      </c>
      <c r="G59" s="2" t="inlineStr">
        <is>
          <t>Br2 (2 equiv), CH2Cl2</t>
        </is>
      </c>
      <c r="H59" s="2" t="inlineStr"/>
      <c r="I59" s="2" t="inlineStr">
        <is>
          <t>2,2,3,3-tetrabromobutane (MVIAXEGUXPAUPQ-UHFFFAOYSA-N)</t>
        </is>
      </c>
      <c r="J59" s="2" t="inlineStr"/>
      <c r="K59" s="2" t="inlineStr">
        <is>
          <t>F007 alkyne (C≡C)</t>
        </is>
      </c>
      <c r="L59" s="2" t="inlineStr">
        <is>
          <t>F010 alkyl bromide</t>
        </is>
      </c>
      <c r="M59" s="3" t="inlineStr">
        <is>
          <t>[C:1]#[C:2]&gt;&gt;[C:1](Br)(Br)[C:2](Br)Br</t>
        </is>
      </c>
      <c r="N59" s="2" t="inlineStr"/>
      <c r="O59" s="2" t="inlineStr">
        <is>
          <t>Two additions: the tetrabromide.</t>
        </is>
      </c>
      <c r="P59" s="2" t="inlineStr"/>
      <c r="Q59" s="2" t="inlineStr">
        <is>
          <t>RDKit: the SMARTS on the reaction's molecules gives the expected product; consumed fragments found in the starting materials and formed fragments in the products</t>
        </is>
      </c>
      <c r="R59" s="2" t="inlineStr">
        <is>
          <t>standard textbook reaction (Clayden, Organic Chemistry; Klein, Organic Chemistry)</t>
        </is>
      </c>
      <c r="S59" s="2" t="inlineStr"/>
      <c r="T59" s="2" t="inlineStr"/>
      <c r="U59" s="2" t="inlineStr"/>
      <c r="V59" s="2" t="inlineStr"/>
      <c r="W59" s="3" t="inlineStr"/>
      <c r="X59" s="3" t="inlineStr"/>
      <c r="Y59" s="3" t="inlineStr"/>
      <c r="Z59" s="3" t="inlineStr"/>
      <c r="AA59" s="2" t="n">
        <v>2</v>
      </c>
      <c r="AB59" t="inlineStr">
        <is>
          <t>none</t>
        </is>
      </c>
    </row>
    <row r="60">
      <c r="A60" s="2" t="inlineStr">
        <is>
          <t>R059</t>
        </is>
      </c>
      <c r="B60" s="3" t="inlineStr">
        <is>
          <t>C#CC&gt;Br&gt;CC(C)(Br)Br | cond=2 equiv, dichloromethane</t>
        </is>
      </c>
      <c r="C60" s="2" t="inlineStr">
        <is>
          <t>Hydrobromination of alkyne (2 HBr)</t>
        </is>
      </c>
      <c r="D60" s="2" t="inlineStr">
        <is>
          <t>propyne (MWWATHDPGQKSAR-UHFFFAOYSA-N)</t>
        </is>
      </c>
      <c r="E60" s="2" t="inlineStr"/>
      <c r="F60" s="2" t="inlineStr">
        <is>
          <t>HBr (2 equiv) (CPELXLSAUQHCOX-UHFFFAOYSA-N)</t>
        </is>
      </c>
      <c r="G60" s="2" t="inlineStr">
        <is>
          <t>HBr (2 equiv)</t>
        </is>
      </c>
      <c r="H60" s="2" t="inlineStr"/>
      <c r="I60" s="2" t="inlineStr">
        <is>
          <t>2,2-dibromopropane (ARITXYXYCOZKMU-UHFFFAOYSA-N)</t>
        </is>
      </c>
      <c r="J60" s="2" t="inlineStr"/>
      <c r="K60" s="2" t="inlineStr">
        <is>
          <t>F008 alkyne, terminal (C≡C–H)</t>
        </is>
      </c>
      <c r="L60" s="2" t="inlineStr">
        <is>
          <t>F010 alkyl bromide</t>
        </is>
      </c>
      <c r="M60" s="3" t="inlineStr">
        <is>
          <t>[C:1]#[CH1:2]&gt;&gt;[C:1](Br)(Br)[C:2]</t>
        </is>
      </c>
      <c r="N60" s="2" t="inlineStr"/>
      <c r="O60" s="2" t="inlineStr">
        <is>
          <t>Markovnikov twice: both Br end on the same (more substituted) carbon: a geminal dibromide.</t>
        </is>
      </c>
      <c r="P60" s="2" t="inlineStr"/>
      <c r="Q60" s="2" t="inlineStr">
        <is>
          <t>RDKit: the SMARTS on the reaction's molecules gives the expected product; consumed fragments found in the starting materials and formed fragments in the products</t>
        </is>
      </c>
      <c r="R60" s="2" t="inlineStr">
        <is>
          <t>standard textbook reaction (Clayden, Organic Chemistry; Klein, Organic Chemistry)</t>
        </is>
      </c>
      <c r="S60" s="2" t="inlineStr"/>
      <c r="T60" s="2" t="inlineStr"/>
      <c r="U60" s="2" t="inlineStr"/>
      <c r="V60" s="2" t="inlineStr"/>
      <c r="W60" s="3" t="inlineStr"/>
      <c r="X60" s="3" t="inlineStr"/>
      <c r="Y60" s="3" t="inlineStr"/>
      <c r="Z60" s="3" t="inlineStr"/>
      <c r="AA60" s="2" t="n">
        <v>2</v>
      </c>
      <c r="AB60" t="inlineStr">
        <is>
          <t>none</t>
        </is>
      </c>
    </row>
    <row r="61">
      <c r="A61" s="2" t="inlineStr">
        <is>
          <t>R060</t>
        </is>
      </c>
      <c r="B61" s="3" t="inlineStr">
        <is>
          <t>C#CCCC&gt;B1C2CCCC1CCC2&gt;CCCCC=O | cond=room temperature, tetrahydrofuran</t>
        </is>
      </c>
      <c r="C61" s="2" t="inlineStr">
        <is>
          <t>Hydroboration of terminal alkyne (9-BBN)</t>
        </is>
      </c>
      <c r="D61" s="2" t="inlineStr">
        <is>
          <t>1-pentyne (IBXNCJKFFQIKKY-UHFFFAOYSA-N)</t>
        </is>
      </c>
      <c r="E61" s="2" t="inlineStr"/>
      <c r="F61" s="2" t="inlineStr">
        <is>
          <t>1) 9-BBN; 2) H2O2, NaOH (FEJUGLKDZJDVFY-UHFFFAOYSA-N)</t>
        </is>
      </c>
      <c r="G61" s="2" t="inlineStr">
        <is>
          <t>9-BBN (bulky borane), THF; then H2O2, NaOH</t>
        </is>
      </c>
      <c r="H61" s="2" t="inlineStr"/>
      <c r="I61" s="2" t="inlineStr">
        <is>
          <t>pentanal (HGBOYTHUEUWSSQ-UHFFFAOYSA-N)</t>
        </is>
      </c>
      <c r="J61" s="2" t="inlineStr"/>
      <c r="K61" s="2" t="inlineStr">
        <is>
          <t>F008 alkyne, terminal (C≡C–H)</t>
        </is>
      </c>
      <c r="L61" s="2" t="inlineStr">
        <is>
          <t>F018 aldehyde</t>
        </is>
      </c>
      <c r="M61" s="3" t="inlineStr">
        <is>
          <t>[C:1]#[CH1:2]&gt;&gt;[C:1][C:2]=O</t>
        </is>
      </c>
      <c r="N61" s="2" t="inlineStr"/>
      <c r="O61" s="2" t="inlineStr">
        <is>
          <t>Anti-Markovnikov: the enol tautomerises to the ALDEHYDE (Hg2+ hydration gives the ketone instead).</t>
        </is>
      </c>
      <c r="P61" s="2" t="inlineStr"/>
      <c r="Q61" s="2" t="inlineStr">
        <is>
          <t>RDKit: the SMARTS on the reaction's molecules gives the expected product; consumed fragments found in the starting materials and formed fragments in the products</t>
        </is>
      </c>
      <c r="R61" s="2" t="inlineStr">
        <is>
          <t>standard textbook reaction (Clayden, Organic Chemistry; Klein, Organic Chemistry)</t>
        </is>
      </c>
      <c r="S61" s="2" t="inlineStr"/>
      <c r="T61" s="2" t="inlineStr"/>
      <c r="U61" s="2" t="inlineStr"/>
      <c r="V61" s="2" t="inlineStr"/>
      <c r="W61" s="3" t="inlineStr"/>
      <c r="X61" s="3" t="inlineStr"/>
      <c r="Y61" s="3" t="inlineStr"/>
      <c r="Z61" s="3" t="inlineStr"/>
      <c r="AA61" s="2" t="n">
        <v>1</v>
      </c>
      <c r="AB61" t="inlineStr">
        <is>
          <t>none</t>
        </is>
      </c>
    </row>
    <row r="62">
      <c r="A62" s="2" t="inlineStr">
        <is>
          <t>R061</t>
        </is>
      </c>
      <c r="B62" s="3" t="inlineStr">
        <is>
          <t>C1=CCCCC1&gt;ICI.[Zn]&gt;C1CCC2CC2C1 | cond=diethyl ether, reflux</t>
        </is>
      </c>
      <c r="C62" s="2" t="inlineStr">
        <is>
          <t>Simmons–Smith cyclopropanation</t>
        </is>
      </c>
      <c r="D62" s="2" t="inlineStr">
        <is>
          <t>cyclohexene (HGCIXCUEYOPUTN-UHFFFAOYSA-N)</t>
        </is>
      </c>
      <c r="E62" s="2" t="inlineStr"/>
      <c r="F62" s="2" t="inlineStr">
        <is>
          <t>CH2I2, Zn(Cu) (RZSNRCKVFAIGCM-UHFFFAOYSA-N)</t>
        </is>
      </c>
      <c r="G62" s="2" t="inlineStr">
        <is>
          <t>CH2I2, Zn–Cu couple, ether</t>
        </is>
      </c>
      <c r="H62" s="2" t="inlineStr"/>
      <c r="I62" s="2" t="inlineStr">
        <is>
          <t>norcarane (WPHGSKGZRAQSGP-UHFFFAOYSA-N)</t>
        </is>
      </c>
      <c r="J62" s="2" t="inlineStr"/>
      <c r="K62" s="2" t="inlineStr">
        <is>
          <t>F005 alkene (C=C)</t>
        </is>
      </c>
      <c r="L62" s="2" t="inlineStr">
        <is>
          <t>none (C–C/C–H only)</t>
        </is>
      </c>
      <c r="M62" s="3" t="inlineStr">
        <is>
          <t>[C:1]=[C:2]&gt;&gt;[C:1]1C[C:2]1</t>
        </is>
      </c>
      <c r="N62" s="2" t="inlineStr"/>
      <c r="O62" s="2" t="inlineStr">
        <is>
          <t>A carbenoid adds CH2 across the C=C in one step (stereospecific, syn).</t>
        </is>
      </c>
      <c r="P62" s="2" t="inlineStr"/>
      <c r="Q62" s="2" t="inlineStr">
        <is>
          <t>RDKit: the SMARTS on the reaction's molecules gives the expected product; consumed fragments found in the starting materials and formed fragments in the products</t>
        </is>
      </c>
      <c r="R62" s="2" t="inlineStr">
        <is>
          <t>standard textbook reaction (Clayden, Organic Chemistry; Klein, Organic Chemistry)</t>
        </is>
      </c>
      <c r="S62" s="2" t="inlineStr"/>
      <c r="T62" s="2" t="inlineStr"/>
      <c r="U62" s="2" t="inlineStr"/>
      <c r="V62" s="2" t="inlineStr"/>
      <c r="W62" s="3" t="inlineStr"/>
      <c r="X62" s="3" t="inlineStr"/>
      <c r="Y62" s="3" t="inlineStr"/>
      <c r="Z62" s="3" t="inlineStr"/>
      <c r="AA62" s="2" t="n">
        <v>1</v>
      </c>
      <c r="AB62" t="inlineStr">
        <is>
          <t>none</t>
        </is>
      </c>
    </row>
    <row r="63">
      <c r="A63" s="2" t="inlineStr">
        <is>
          <t>R062</t>
        </is>
      </c>
      <c r="B63" s="3" t="inlineStr">
        <is>
          <t>C1CCCCC1&gt;BrBr&gt;BrC1CCCCC1.Br | cond=light</t>
        </is>
      </c>
      <c r="C63" s="2" t="inlineStr">
        <is>
          <t>Radical bromination of alkane</t>
        </is>
      </c>
      <c r="D63" s="2" t="inlineStr">
        <is>
          <t>cyclohexane (XDTMQSROBMDMFD-UHFFFAOYSA-N)</t>
        </is>
      </c>
      <c r="E63" s="2" t="inlineStr"/>
      <c r="F63" s="2" t="inlineStr">
        <is>
          <t>Br2, light (GDTBXPJZTBHREO-UHFFFAOYSA-N)</t>
        </is>
      </c>
      <c r="G63" s="2" t="inlineStr">
        <is>
          <t>Br2, hv</t>
        </is>
      </c>
      <c r="H63" s="2" t="inlineStr">
        <is>
          <t>light</t>
        </is>
      </c>
      <c r="I63" s="2" t="inlineStr">
        <is>
          <t>bromocyclohexane (AQNQQHJNRPDOQV-UHFFFAOYSA-N)</t>
        </is>
      </c>
      <c r="J63" s="2" t="inlineStr">
        <is>
          <t>hydrogen bromide (CPELXLSAUQHCOX-UHFFFAOYSA-N)</t>
        </is>
      </c>
      <c r="K63" s="2" t="inlineStr"/>
      <c r="L63" s="2" t="inlineStr">
        <is>
          <t>F010 alkyl bromide</t>
        </is>
      </c>
      <c r="M63" s="3" t="inlineStr">
        <is>
          <t>[CX4;!H0;!$(C~[!#6;!#1]);!$(C-[#6]=,#[#6]);!$(C-a):1]&gt;&gt;[C:1]Br</t>
        </is>
      </c>
      <c r="N63" s="2" t="inlineStr"/>
      <c r="O63" s="2" t="inlineStr">
        <is>
          <t>Radical chain; Br• is selective for the weakest C–H (3° &gt; 2° &gt; 1°).</t>
        </is>
      </c>
      <c r="P63" s="2" t="inlineStr"/>
      <c r="Q63" s="2" t="inlineStr">
        <is>
          <t>RDKit: the SMARTS on the reaction's molecules gives the expected product; consumed fragments found in the starting materials and formed fragments in the products</t>
        </is>
      </c>
      <c r="R63" s="2" t="inlineStr">
        <is>
          <t>standard textbook reaction (Clayden, Organic Chemistry; Klein, Organic Chemistry)</t>
        </is>
      </c>
      <c r="S63" s="2" t="inlineStr"/>
      <c r="T63" s="2" t="inlineStr"/>
      <c r="U63" s="2" t="inlineStr"/>
      <c r="V63" s="2" t="inlineStr"/>
      <c r="W63" s="3" t="inlineStr"/>
      <c r="X63" s="3" t="inlineStr"/>
      <c r="Y63" s="3" t="inlineStr"/>
      <c r="Z63" s="3" t="inlineStr"/>
      <c r="AA63" s="2" t="n">
        <v>1</v>
      </c>
      <c r="AB63" t="inlineStr">
        <is>
          <t>none</t>
        </is>
      </c>
    </row>
    <row r="64">
      <c r="A64" s="2" t="inlineStr">
        <is>
          <t>R063</t>
        </is>
      </c>
      <c r="B64" s="3" t="inlineStr">
        <is>
          <t>c1ccccc1&gt;ClCl.[Cl][Fe]([Cl])[Cl]&gt;Clc1ccccc1.Cl | cond=anhydrous, room temperature</t>
        </is>
      </c>
      <c r="C64" s="2" t="inlineStr">
        <is>
          <t>Aromatic chlorination</t>
        </is>
      </c>
      <c r="D64" s="2" t="inlineStr">
        <is>
          <t>benzene (UHOVQNZJYSORNB-UHFFFAOYSA-N)</t>
        </is>
      </c>
      <c r="E64" s="2" t="inlineStr"/>
      <c r="F64" s="2" t="inlineStr">
        <is>
          <t>Cl2, FeCl3 (LXUNUPHFWXTBLM-UHFFFAOYSA-K)</t>
        </is>
      </c>
      <c r="G64" s="2" t="inlineStr">
        <is>
          <t>Cl2, FeCl3 (Lewis acid)</t>
        </is>
      </c>
      <c r="H64" s="2" t="inlineStr">
        <is>
          <t>anhydrous</t>
        </is>
      </c>
      <c r="I64" s="2" t="inlineStr">
        <is>
          <t>chlorobenzene (MVPPADPHJFYWMZ-UHFFFAOYSA-N)</t>
        </is>
      </c>
      <c r="J64" s="2" t="inlineStr">
        <is>
          <t>hydrogen chloride (VEXZGXHMUGYJMC-UHFFFAOYSA-N)</t>
        </is>
      </c>
      <c r="K64" s="2" t="inlineStr">
        <is>
          <t>F009 arene C–H</t>
        </is>
      </c>
      <c r="L64" s="2" t="inlineStr">
        <is>
          <t>F047 aryl chloride</t>
        </is>
      </c>
      <c r="M64" s="3" t="inlineStr">
        <is>
          <t>[cH:1]&gt;&gt;[c:1]Cl</t>
        </is>
      </c>
      <c r="N64" s="2" t="inlineStr"/>
      <c r="O64" s="2" t="inlineStr">
        <is>
          <t>Electrophilic aromatic substitution.</t>
        </is>
      </c>
      <c r="P64" s="2" t="inlineStr"/>
      <c r="Q64" s="2" t="inlineStr">
        <is>
          <t>RDKit: the SMARTS on the reaction's molecules gives the expected product; consumed fragments found in the starting materials and formed fragments in the products</t>
        </is>
      </c>
      <c r="R64" s="2" t="inlineStr">
        <is>
          <t>standard textbook reaction (Clayden, Organic Chemistry; Klein, Organic Chemistry)</t>
        </is>
      </c>
      <c r="S64" s="2" t="inlineStr"/>
      <c r="T64" s="2" t="inlineStr"/>
      <c r="U64" s="2" t="inlineStr"/>
      <c r="V64" s="2" t="inlineStr"/>
      <c r="W64" s="3" t="inlineStr"/>
      <c r="X64" s="3" t="inlineStr"/>
      <c r="Y64" s="3" t="inlineStr"/>
      <c r="Z64" s="3" t="inlineStr"/>
      <c r="AA64" s="2" t="n">
        <v>1</v>
      </c>
      <c r="AB64" t="inlineStr">
        <is>
          <t>none</t>
        </is>
      </c>
    </row>
    <row r="65">
      <c r="A65" s="2" t="inlineStr">
        <is>
          <t>R064</t>
        </is>
      </c>
      <c r="B65" s="3" t="inlineStr">
        <is>
          <t>c1ccccc1&gt;O=S(=O)(O)O.O=S(=O)=O&gt;O=S(=O)(O)c1ccccc1 | cond=40 C</t>
        </is>
      </c>
      <c r="C65" s="2" t="inlineStr">
        <is>
          <t>Sulfonation</t>
        </is>
      </c>
      <c r="D65" s="2" t="inlineStr">
        <is>
          <t>benzene (UHOVQNZJYSORNB-UHFFFAOYSA-N)</t>
        </is>
      </c>
      <c r="E65" s="2" t="inlineStr"/>
      <c r="F65" s="2" t="inlineStr">
        <is>
          <t>fuming H2SO4 (SO3) (HIFJUMGIHIZEPX-UHFFFAOYSA-N)</t>
        </is>
      </c>
      <c r="G65" s="2" t="inlineStr">
        <is>
          <t>SO3 in H2SO4</t>
        </is>
      </c>
      <c r="H65" s="2" t="inlineStr"/>
      <c r="I65" s="2" t="inlineStr">
        <is>
          <t>benzenesulfonic acid (SRSXLGNVWSONIS-UHFFFAOYSA-N)</t>
        </is>
      </c>
      <c r="J65" s="2" t="inlineStr"/>
      <c r="K65" s="2" t="inlineStr">
        <is>
          <t>F009 arene C–H</t>
        </is>
      </c>
      <c r="L65" s="2" t="inlineStr">
        <is>
          <t>F048 arenesulfonic acid</t>
        </is>
      </c>
      <c r="M65" s="3" t="inlineStr">
        <is>
          <t>[cH:1]&gt;&gt;[c:1]S(=O)(=O)O</t>
        </is>
      </c>
      <c r="N65" s="2" t="inlineStr"/>
      <c r="O65" s="2" t="inlineStr">
        <is>
          <t>Electrophilic aromatic substitution by SO3; reversible (dilute acid, heat removes it).</t>
        </is>
      </c>
      <c r="P65" s="2" t="inlineStr"/>
      <c r="Q65" s="2" t="inlineStr">
        <is>
          <t>RDKit: the SMARTS on the reaction's molecules gives the expected product; consumed fragments found in the starting materials and formed fragments in the products</t>
        </is>
      </c>
      <c r="R65" s="2" t="inlineStr">
        <is>
          <t>standard textbook reaction (Clayden, Organic Chemistry; Klein, Organic Chemistry)</t>
        </is>
      </c>
      <c r="S65" s="2" t="inlineStr"/>
      <c r="T65" s="2" t="inlineStr"/>
      <c r="U65" s="2" t="inlineStr"/>
      <c r="V65" s="2" t="inlineStr"/>
      <c r="W65" s="3" t="inlineStr"/>
      <c r="X65" s="3" t="inlineStr"/>
      <c r="Y65" s="3" t="inlineStr"/>
      <c r="Z65" s="3" t="inlineStr"/>
      <c r="AA65" s="2" t="n">
        <v>1</v>
      </c>
      <c r="AB65" t="inlineStr">
        <is>
          <t>none</t>
        </is>
      </c>
    </row>
    <row r="66">
      <c r="A66" s="2" t="inlineStr">
        <is>
          <t>R065</t>
        </is>
      </c>
      <c r="B66" s="3" t="inlineStr">
        <is>
          <t>CC(=O)c1ccccc1&gt;Cl.[Zn]&gt;CCc1ccccc1 | cond=reflux, water</t>
        </is>
      </c>
      <c r="C66" s="2" t="inlineStr">
        <is>
          <t>Clemmensen reduction</t>
        </is>
      </c>
      <c r="D66" s="2" t="inlineStr">
        <is>
          <t>acetophenone (KWOLFJPFCHCOCG-UHFFFAOYSA-N)</t>
        </is>
      </c>
      <c r="E66" s="2" t="inlineStr"/>
      <c r="F66" s="2" t="inlineStr">
        <is>
          <t>Zn(Hg), HCl (ZJVTYKZWDWVIFD-UHFFFAOYSA-N)</t>
        </is>
      </c>
      <c r="G66" s="2" t="inlineStr">
        <is>
          <t>Zn(Hg) amalgam, conc. HCl, reflux</t>
        </is>
      </c>
      <c r="H66" s="2" t="inlineStr">
        <is>
          <t>heat, concentrated</t>
        </is>
      </c>
      <c r="I66" s="2" t="inlineStr">
        <is>
          <t>ethylbenzene (YNQLUTRBYVCPMQ-UHFFFAOYSA-N)</t>
        </is>
      </c>
      <c r="J66" s="2" t="inlineStr"/>
      <c r="K66" s="2" t="inlineStr">
        <is>
          <t>F019 ketone</t>
        </is>
      </c>
      <c r="L66" s="2" t="inlineStr">
        <is>
          <t>F038 alkyl arene (aryl–C sp3)</t>
        </is>
      </c>
      <c r="M66" s="3" t="inlineStr">
        <is>
          <t>[c:1][C:2](=O)[#6:3]&gt;&gt;[c:1][C:2][#6:3]</t>
        </is>
      </c>
      <c r="N66" s="2" t="inlineStr"/>
      <c r="O66" s="2" t="inlineStr">
        <is>
          <t>Aryl ketone C=O to CH2 under acid (use Wolff–Kishner for acid-sensitive molecules).</t>
        </is>
      </c>
      <c r="P66" s="2" t="inlineStr"/>
      <c r="Q66" s="2" t="inlineStr">
        <is>
          <t>RDKit: the SMARTS on the reaction's molecules gives the expected product; consumed fragments found in the starting materials and formed fragments in the products</t>
        </is>
      </c>
      <c r="R66" s="2" t="inlineStr">
        <is>
          <t>standard textbook reaction (Clayden, Organic Chemistry; Klein, Organic Chemistry)</t>
        </is>
      </c>
      <c r="S66" s="2" t="inlineStr"/>
      <c r="T66" s="2" t="inlineStr"/>
      <c r="U66" s="2" t="inlineStr"/>
      <c r="V66" s="2" t="inlineStr"/>
      <c r="W66" s="3" t="inlineStr"/>
      <c r="X66" s="3" t="inlineStr"/>
      <c r="Y66" s="3" t="inlineStr"/>
      <c r="Z66" s="3" t="inlineStr"/>
      <c r="AA66" s="2" t="n">
        <v>1</v>
      </c>
      <c r="AB66" t="inlineStr">
        <is>
          <t>none</t>
        </is>
      </c>
    </row>
    <row r="67">
      <c r="A67" s="2" t="inlineStr">
        <is>
          <t>R066</t>
        </is>
      </c>
      <c r="B67" s="3" t="inlineStr">
        <is>
          <t>O=C1CCCCC1&gt;NN.[K+].[OH-]&gt;C1CCCCC1.N#N.O | cond=200 C</t>
        </is>
      </c>
      <c r="C67" s="2" t="inlineStr">
        <is>
          <t>Wolff–Kishner reduction</t>
        </is>
      </c>
      <c r="D67" s="2" t="inlineStr">
        <is>
          <t>cyclohexanone (JHIVVAPYMSGYDF-UHFFFAOYSA-N)</t>
        </is>
      </c>
      <c r="E67" s="2" t="inlineStr"/>
      <c r="F67" s="2" t="inlineStr">
        <is>
          <t>H2NNH2, KOH (UKHIYFQXEQSQSR-UHFFFAOYSA-M)</t>
        </is>
      </c>
      <c r="G67" s="2" t="inlineStr">
        <is>
          <t>hydrazine, KOH, ethylene glycol, 200 °C</t>
        </is>
      </c>
      <c r="H67" s="2" t="inlineStr">
        <is>
          <t>&gt;= 150 °C</t>
        </is>
      </c>
      <c r="I67" s="2" t="inlineStr">
        <is>
          <t>cyclohexane (XDTMQSROBMDMFD-UHFFFAOYSA-N)</t>
        </is>
      </c>
      <c r="J67" s="2" t="inlineStr">
        <is>
          <t>nitrogen (IJGRMHOSHXDMSA-UHFFFAOYSA-N); water (XLYOFNOQVPJJNP-UHFFFAOYSA-N)</t>
        </is>
      </c>
      <c r="K67" s="2" t="inlineStr">
        <is>
          <t>F019 ketone</t>
        </is>
      </c>
      <c r="L67" s="2" t="inlineStr">
        <is>
          <t>none (C–C/C–H only)</t>
        </is>
      </c>
      <c r="M67" s="3" t="inlineStr">
        <is>
          <t>[CX3;$(C([#6])[#6]):1]=[OX1]&gt;&gt;[C:1]</t>
        </is>
      </c>
      <c r="N67" s="2" t="inlineStr"/>
      <c r="O67" s="2" t="inlineStr">
        <is>
          <t>Hydrazone, then base removes N2: C=O to CH2 under base.</t>
        </is>
      </c>
      <c r="P67" s="2" t="inlineStr"/>
      <c r="Q67" s="2" t="inlineStr">
        <is>
          <t>RDKit: the SMARTS on the reaction's molecules gives the expected product; consumed fragments found in the starting materials and formed fragments in the products</t>
        </is>
      </c>
      <c r="R67" s="2" t="inlineStr">
        <is>
          <t>standard textbook reaction (Clayden, Organic Chemistry; Klein, Organic Chemistry)</t>
        </is>
      </c>
      <c r="S67" s="2" t="inlineStr"/>
      <c r="T67" s="2" t="inlineStr"/>
      <c r="U67" s="2" t="inlineStr"/>
      <c r="V67" s="2" t="inlineStr"/>
      <c r="W67" s="3" t="inlineStr"/>
      <c r="X67" s="3" t="inlineStr"/>
      <c r="Y67" s="3" t="inlineStr"/>
      <c r="Z67" s="3" t="inlineStr"/>
      <c r="AA67" s="2" t="n">
        <v>1</v>
      </c>
      <c r="AB67" t="inlineStr">
        <is>
          <t>none</t>
        </is>
      </c>
    </row>
    <row r="68">
      <c r="A68" s="2" t="inlineStr">
        <is>
          <t>R067</t>
        </is>
      </c>
      <c r="B68" s="3" t="inlineStr">
        <is>
          <t>c1ccccc1&gt;N.[Na]&gt;C1=CCC=CC1 | cond=-33 C, ethanol</t>
        </is>
      </c>
      <c r="C68" s="2" t="inlineStr">
        <is>
          <t>Birch reduction</t>
        </is>
      </c>
      <c r="D68" s="2" t="inlineStr">
        <is>
          <t>benzene (UHOVQNZJYSORNB-UHFFFAOYSA-N)</t>
        </is>
      </c>
      <c r="E68" s="2" t="inlineStr"/>
      <c r="F68" s="2" t="inlineStr">
        <is>
          <t>Na, NH3 (l), EtOH (KDFQYGBJUYYWDJ-UHFFFAOYSA-N)</t>
        </is>
      </c>
      <c r="G68" s="2" t="inlineStr">
        <is>
          <t>Na, liquid NH3, EtOH, -33 °C</t>
        </is>
      </c>
      <c r="H68" s="2" t="inlineStr">
        <is>
          <t>&lt;= -30 °C</t>
        </is>
      </c>
      <c r="I68" s="2" t="inlineStr">
        <is>
          <t>1,4-cyclohexadiene (UVJHQYIOXKWHFD-UHFFFAOYSA-N)</t>
        </is>
      </c>
      <c r="J68" s="2" t="inlineStr"/>
      <c r="K68" s="2" t="inlineStr">
        <is>
          <t>F009 arene C–H</t>
        </is>
      </c>
      <c r="L68" s="2" t="inlineStr">
        <is>
          <t>F005 alkene (C=C)</t>
        </is>
      </c>
      <c r="M68" s="3" t="inlineStr">
        <is>
          <t>[cH:1]1[cH:2][cH:3][cH:4][cH:5][cH:6]1&gt;&gt;[C:1]1=[C:2][C:3][C:4]=[C:5][C:6]1</t>
        </is>
      </c>
      <c r="N68" s="2" t="inlineStr"/>
      <c r="O68" s="2" t="inlineStr">
        <is>
          <t>Electron transfer + protonation twice: the non-conjugated 1,4-cyclohexadiene.</t>
        </is>
      </c>
      <c r="P68" s="2" t="inlineStr"/>
      <c r="Q68" s="2" t="inlineStr">
        <is>
          <t>RDKit: the SMARTS on the reaction's molecules gives the expected product; consumed fragments found in the starting materials and formed fragments in the products</t>
        </is>
      </c>
      <c r="R68" s="2" t="inlineStr">
        <is>
          <t>standard textbook reaction (Clayden, Organic Chemistry; Klein, Organic Chemistry)</t>
        </is>
      </c>
      <c r="S68" s="2" t="inlineStr"/>
      <c r="T68" s="2" t="inlineStr"/>
      <c r="U68" s="2" t="inlineStr"/>
      <c r="V68" s="2" t="inlineStr"/>
      <c r="W68" s="3" t="inlineStr"/>
      <c r="X68" s="3" t="inlineStr"/>
      <c r="Y68" s="3" t="inlineStr"/>
      <c r="Z68" s="3" t="inlineStr"/>
      <c r="AA68" s="2" t="n">
        <v>2</v>
      </c>
      <c r="AB68" t="inlineStr">
        <is>
          <t>none</t>
        </is>
      </c>
    </row>
    <row r="69">
      <c r="A69" s="2" t="inlineStr">
        <is>
          <t>R068</t>
        </is>
      </c>
      <c r="B69" s="3" t="inlineStr">
        <is>
          <t>Oc1ccccc1&gt;BrBr&gt;Oc1c(Br)cc(Br)cc1Br.Br | cond=3 equiv, room temperature, water</t>
        </is>
      </c>
      <c r="C69" s="2" t="inlineStr">
        <is>
          <t>Bromination of phenol (no catalyst)</t>
        </is>
      </c>
      <c r="D69" s="2" t="inlineStr">
        <is>
          <t>phenol (ISWSIDIOOBJBQZ-UHFFFAOYSA-N)</t>
        </is>
      </c>
      <c r="E69" s="2" t="inlineStr"/>
      <c r="F69" s="2" t="inlineStr">
        <is>
          <t>Br2 in water (GDTBXPJZTBHREO-UHFFFAOYSA-N)</t>
        </is>
      </c>
      <c r="G69" s="2" t="inlineStr">
        <is>
          <t>Br2, water, rt</t>
        </is>
      </c>
      <c r="H69" s="2" t="inlineStr">
        <is>
          <t>water</t>
        </is>
      </c>
      <c r="I69" s="2" t="inlineStr">
        <is>
          <t>2,4,6-tribromophenol (BSWWXRFVMJHFBN-UHFFFAOYSA-N)</t>
        </is>
      </c>
      <c r="J69" s="2" t="inlineStr">
        <is>
          <t>hydrogen bromide (CPELXLSAUQHCOX-UHFFFAOYSA-N)</t>
        </is>
      </c>
      <c r="K69" s="2" t="inlineStr">
        <is>
          <t>F028 phenol</t>
        </is>
      </c>
      <c r="L69" s="2" t="inlineStr">
        <is>
          <t>F013 aryl bromide</t>
        </is>
      </c>
      <c r="M69" s="3" t="inlineStr">
        <is>
          <t>[OH:1][c:2]1[cH:3][cH:4][cH:5][cH:6][cH:7]1&gt;&gt;[OH:1][c:2]1[c:3](Br)[cH:4][c:5](Br)[cH:6][c:7]1Br</t>
        </is>
      </c>
      <c r="N69" s="2" t="inlineStr"/>
      <c r="O69" s="2" t="inlineStr">
        <is>
          <t>The OH activates the ring so strongly that no Lewis acid is needed and all three o/p positions are brominated.</t>
        </is>
      </c>
      <c r="P69" s="2" t="inlineStr"/>
      <c r="Q69" s="2" t="inlineStr">
        <is>
          <t>RDKit: the SMARTS on the reaction's molecules gives the expected product; consumed fragments found in the starting materials and formed fragments in the products</t>
        </is>
      </c>
      <c r="R69" s="2" t="inlineStr">
        <is>
          <t>standard textbook reaction (Clayden, Organic Chemistry; Klein, Organic Chemistry)</t>
        </is>
      </c>
      <c r="S69" s="2" t="inlineStr"/>
      <c r="T69" s="2" t="inlineStr"/>
      <c r="U69" s="2" t="inlineStr"/>
      <c r="V69" s="2" t="inlineStr"/>
      <c r="W69" s="3" t="inlineStr"/>
      <c r="X69" s="3" t="inlineStr"/>
      <c r="Y69" s="3" t="inlineStr"/>
      <c r="Z69" s="3" t="inlineStr"/>
      <c r="AA69" s="2" t="n">
        <v>3</v>
      </c>
      <c r="AB69" t="inlineStr">
        <is>
          <t>none</t>
        </is>
      </c>
    </row>
    <row r="70">
      <c r="A70" s="2" t="inlineStr">
        <is>
          <t>R069</t>
        </is>
      </c>
      <c r="B70" s="3" t="inlineStr">
        <is>
          <t>NC(=O)c1ccccc1&gt;O=S(Cl)Cl&gt;N#Cc1ccccc1.O=S=O.Cl | cond=reflux</t>
        </is>
      </c>
      <c r="C70" s="2" t="inlineStr">
        <is>
          <t>Dehydration of primary amide (SOCl2)</t>
        </is>
      </c>
      <c r="D70" s="2" t="inlineStr">
        <is>
          <t>benzamide (KXDAEFPNCMNJSK-UHFFFAOYSA-N)</t>
        </is>
      </c>
      <c r="E70" s="2" t="inlineStr"/>
      <c r="F70" s="2" t="inlineStr">
        <is>
          <t>SOCl2 (FYSNRJHAOHDILO-UHFFFAOYSA-N)</t>
        </is>
      </c>
      <c r="G70" s="2" t="inlineStr">
        <is>
          <t>SOCl2, reflux</t>
        </is>
      </c>
      <c r="H70" s="2" t="inlineStr">
        <is>
          <t>heat</t>
        </is>
      </c>
      <c r="I70" s="2" t="inlineStr">
        <is>
          <t>benzonitrile (JFDZBHWFFUWGJE-UHFFFAOYSA-N)</t>
        </is>
      </c>
      <c r="J70" s="2" t="inlineStr">
        <is>
          <t>sulfur dioxide (RAHZWNYVWXNFOC-UHFFFAOYSA-N); hydrogen chloride (VEXZGXHMUGYJMC-UHFFFAOYSA-N)</t>
        </is>
      </c>
      <c r="K70" s="2" t="inlineStr">
        <is>
          <t>F021 amide</t>
        </is>
      </c>
      <c r="L70" s="2" t="inlineStr">
        <is>
          <t>F022 nitrile</t>
        </is>
      </c>
      <c r="M70" s="3" t="inlineStr">
        <is>
          <t>[NH2:1][C:2](=O)[#6:3]&gt;&gt;[N:1]#[C:2][#6:3]</t>
        </is>
      </c>
      <c r="N70" s="2" t="inlineStr"/>
      <c r="O70" s="2" t="inlineStr">
        <is>
          <t>The amide O is activated and lost: primary amide to nitrile.</t>
        </is>
      </c>
      <c r="P70" s="2" t="inlineStr"/>
      <c r="Q70" s="2" t="inlineStr">
        <is>
          <t>RDKit: the SMARTS on the reaction's molecules gives the expected product; consumed fragments found in the starting materials and formed fragments in the products</t>
        </is>
      </c>
      <c r="R70" s="2" t="inlineStr">
        <is>
          <t>standard textbook reaction (Clayden, Organic Chemistry; Klein, Organic Chemistry)</t>
        </is>
      </c>
      <c r="S70" s="2" t="inlineStr"/>
      <c r="T70" s="2" t="inlineStr"/>
      <c r="U70" s="2" t="inlineStr"/>
      <c r="V70" s="2" t="inlineStr"/>
      <c r="W70" s="3" t="inlineStr"/>
      <c r="X70" s="3" t="inlineStr"/>
      <c r="Y70" s="3" t="inlineStr"/>
      <c r="Z70" s="3" t="inlineStr"/>
      <c r="AA70" s="2" t="n">
        <v>1</v>
      </c>
      <c r="AB70" t="inlineStr">
        <is>
          <t>none</t>
        </is>
      </c>
    </row>
    <row r="71">
      <c r="A71" s="2" t="inlineStr">
        <is>
          <t>R070</t>
        </is>
      </c>
      <c r="B71" s="3" t="inlineStr">
        <is>
          <t>N#Cc1ccccc1&gt;O=S(=O)(O)O&gt;O=C(O)c1ccccc1.N | cond=reflux, water</t>
        </is>
      </c>
      <c r="C71" s="2" t="inlineStr">
        <is>
          <t>Nitrile hydrolysis (acid)</t>
        </is>
      </c>
      <c r="D71" s="2" t="inlineStr">
        <is>
          <t>benzonitrile (JFDZBHWFFUWGJE-UHFFFAOYSA-N)</t>
        </is>
      </c>
      <c r="E71" s="2" t="inlineStr"/>
      <c r="F71" s="2" t="inlineStr">
        <is>
          <t>H2SO4, water (QAOWNCQODCNURD-UHFFFAOYSA-N)</t>
        </is>
      </c>
      <c r="G71" s="2" t="inlineStr">
        <is>
          <t>aqueous H2SO4, reflux</t>
        </is>
      </c>
      <c r="H71" s="2" t="inlineStr">
        <is>
          <t>water, heat</t>
        </is>
      </c>
      <c r="I71" s="2" t="inlineStr">
        <is>
          <t>benzoic acid (WPYMKLBDIGXBTP-UHFFFAOYSA-N)</t>
        </is>
      </c>
      <c r="J71" s="2" t="inlineStr">
        <is>
          <t>ammonia (QGZKDVFQNNGYKY-UHFFFAOYSA-N)</t>
        </is>
      </c>
      <c r="K71" s="2" t="inlineStr">
        <is>
          <t>F022 nitrile</t>
        </is>
      </c>
      <c r="L71" s="2" t="inlineStr">
        <is>
          <t>F001 carboxylic acid</t>
        </is>
      </c>
      <c r="M71" s="3" t="inlineStr">
        <is>
          <t>[C:1]#[N]&gt;&gt;[C:1](=O)O</t>
        </is>
      </c>
      <c r="N71" s="2" t="inlineStr"/>
      <c r="O71" s="2" t="inlineStr">
        <is>
          <t>Through the amide to the carboxylic acid (N leaves as NH4+).</t>
        </is>
      </c>
      <c r="P71" s="2" t="inlineStr"/>
      <c r="Q71" s="2" t="inlineStr">
        <is>
          <t>RDKit: the SMARTS on the reaction's molecules gives the expected product; consumed fragments found in the starting materials and formed fragments in the products</t>
        </is>
      </c>
      <c r="R71" s="2" t="inlineStr">
        <is>
          <t>standard textbook reaction (Clayden, Organic Chemistry; Klein, Organic Chemistry)</t>
        </is>
      </c>
      <c r="S71" s="2" t="inlineStr"/>
      <c r="T71" s="2" t="inlineStr"/>
      <c r="U71" s="2" t="inlineStr"/>
      <c r="V71" s="2" t="inlineStr"/>
      <c r="W71" s="3" t="inlineStr"/>
      <c r="X71" s="3" t="inlineStr"/>
      <c r="Y71" s="3" t="inlineStr"/>
      <c r="Z71" s="3" t="inlineStr"/>
      <c r="AA71" s="2" t="inlineStr">
        <is>
          <t>catalytic</t>
        </is>
      </c>
      <c r="AB71" t="inlineStr">
        <is>
          <t>none</t>
        </is>
      </c>
    </row>
    <row r="72">
      <c r="A72" s="2" t="inlineStr">
        <is>
          <t>R071</t>
        </is>
      </c>
      <c r="B72" s="3" t="inlineStr">
        <is>
          <t>N#Cc1ccccc1&gt;[AlH4-].[Li+]&gt;NCc1ccccc1 | cond=anhydrous, tetrahydrofuran</t>
        </is>
      </c>
      <c r="C72" s="2" t="inlineStr">
        <is>
          <t>Nitrile reduction (LiAlH4)</t>
        </is>
      </c>
      <c r="D72" s="2" t="inlineStr">
        <is>
          <t>benzonitrile (JFDZBHWFFUWGJE-UHFFFAOYSA-N)</t>
        </is>
      </c>
      <c r="E72" s="2" t="inlineStr"/>
      <c r="F72" s="2" t="inlineStr">
        <is>
          <t>1) LiAlH4; 2) H2O (OCZDCIYGECBNKL-UHFFFAOYSA-N)</t>
        </is>
      </c>
      <c r="G72" s="2" t="inlineStr">
        <is>
          <t>LiAlH4, dry THF; then water</t>
        </is>
      </c>
      <c r="H72" s="2" t="inlineStr">
        <is>
          <t>anhydrous</t>
        </is>
      </c>
      <c r="I72" s="2" t="inlineStr">
        <is>
          <t>benzylamine (WGQKYBSKWIADBV-UHFFFAOYSA-N)</t>
        </is>
      </c>
      <c r="J72" s="2" t="inlineStr"/>
      <c r="K72" s="2" t="inlineStr">
        <is>
          <t>F022 nitrile</t>
        </is>
      </c>
      <c r="L72" s="2" t="inlineStr">
        <is>
          <t>F002 amine (1°)</t>
        </is>
      </c>
      <c r="M72" s="3" t="inlineStr">
        <is>
          <t>[C:1]#[N:2]&gt;&gt;[C:1][N:2]</t>
        </is>
      </c>
      <c r="N72" s="2" t="inlineStr"/>
      <c r="O72" s="2" t="inlineStr">
        <is>
          <t>Two hydrides: nitrile to primary amine.</t>
        </is>
      </c>
      <c r="P72" s="2" t="inlineStr"/>
      <c r="Q72" s="2" t="inlineStr">
        <is>
          <t>RDKit: the SMARTS on the reaction's molecules gives the expected product; consumed fragments found in the starting materials and formed fragments in the products</t>
        </is>
      </c>
      <c r="R72" s="2" t="inlineStr">
        <is>
          <t>standard textbook reaction (Clayden, Organic Chemistry; Klein, Organic Chemistry)</t>
        </is>
      </c>
      <c r="S72" s="2" t="inlineStr"/>
      <c r="T72" s="2" t="inlineStr"/>
      <c r="U72" s="2" t="inlineStr"/>
      <c r="V72" s="2" t="inlineStr"/>
      <c r="W72" s="3" t="inlineStr"/>
      <c r="X72" s="3" t="inlineStr"/>
      <c r="Y72" s="3" t="inlineStr"/>
      <c r="Z72" s="3" t="inlineStr"/>
      <c r="AA72" s="2" t="n">
        <v>0.5</v>
      </c>
      <c r="AB72" t="inlineStr">
        <is>
          <t>none</t>
        </is>
      </c>
    </row>
    <row r="73">
      <c r="A73" s="2" t="inlineStr">
        <is>
          <t>R072</t>
        </is>
      </c>
      <c r="B73" s="3" t="inlineStr">
        <is>
          <t>CC(=O)N(C)C&gt;[AlH4-].[Li+]&gt;CCN(C)C | cond=anhydrous, tetrahydrofuran</t>
        </is>
      </c>
      <c r="C73" s="2" t="inlineStr">
        <is>
          <t>Amide reduction (LiAlH4)</t>
        </is>
      </c>
      <c r="D73" s="2" t="inlineStr">
        <is>
          <t>N,N-dimethylacetamide (FXHOOIRPVKKKFG-UHFFFAOYSA-N)</t>
        </is>
      </c>
      <c r="E73" s="2" t="inlineStr"/>
      <c r="F73" s="2" t="inlineStr">
        <is>
          <t>1) LiAlH4; 2) H2O (OCZDCIYGECBNKL-UHFFFAOYSA-N)</t>
        </is>
      </c>
      <c r="G73" s="2" t="inlineStr">
        <is>
          <t>LiAlH4, dry THF; then water</t>
        </is>
      </c>
      <c r="H73" s="2" t="inlineStr">
        <is>
          <t>anhydrous</t>
        </is>
      </c>
      <c r="I73" s="2" t="inlineStr">
        <is>
          <t>N,N-dimethylethylamine (DAZXVJBJRMWXJP-UHFFFAOYSA-N)</t>
        </is>
      </c>
      <c r="J73" s="2" t="inlineStr"/>
      <c r="K73" s="2" t="inlineStr">
        <is>
          <t>F021 amide</t>
        </is>
      </c>
      <c r="L73" s="2" t="inlineStr">
        <is>
          <t>none (C–C/C–H only)</t>
        </is>
      </c>
      <c r="M73" s="3" t="inlineStr">
        <is>
          <t>[C:1](=O)[NX3:2]&gt;&gt;[C:1][N:2]</t>
        </is>
      </c>
      <c r="N73" s="2" t="inlineStr"/>
      <c r="O73" s="2" t="inlineStr">
        <is>
          <t>The C=O becomes CH2: amide to amine (the O is lost as an aluminate).</t>
        </is>
      </c>
      <c r="P73" s="2" t="inlineStr"/>
      <c r="Q73" s="2" t="inlineStr">
        <is>
          <t>RDKit: the SMARTS on the reaction's molecules gives the expected product; consumed fragments found in the starting materials and formed fragments in the products</t>
        </is>
      </c>
      <c r="R73" s="2" t="inlineStr">
        <is>
          <t>standard textbook reaction (Clayden, Organic Chemistry; Klein, Organic Chemistry)</t>
        </is>
      </c>
      <c r="S73" s="2" t="inlineStr"/>
      <c r="T73" s="2" t="inlineStr"/>
      <c r="U73" s="2" t="inlineStr"/>
      <c r="V73" s="2" t="inlineStr"/>
      <c r="W73" s="3" t="inlineStr"/>
      <c r="X73" s="3" t="inlineStr"/>
      <c r="Y73" s="3" t="inlineStr"/>
      <c r="Z73" s="3" t="inlineStr"/>
      <c r="AA73" s="2" t="n">
        <v>0.5</v>
      </c>
      <c r="AB73" t="inlineStr">
        <is>
          <t>none</t>
        </is>
      </c>
    </row>
    <row r="74">
      <c r="A74" s="2" t="inlineStr">
        <is>
          <t>R073</t>
        </is>
      </c>
      <c r="B74" s="3" t="inlineStr">
        <is>
          <t>CCCC(=O)O&gt;[AlH4-].[Li+]&gt;CCCCO | cond=anhydrous, tetrahydrofuran</t>
        </is>
      </c>
      <c r="C74" s="2" t="inlineStr">
        <is>
          <t>Carboxylic acid reduction (LiAlH4)</t>
        </is>
      </c>
      <c r="D74" s="2" t="inlineStr">
        <is>
          <t>butyric acid (FERIUCNNQQJTOY-UHFFFAOYSA-N)</t>
        </is>
      </c>
      <c r="E74" s="2" t="inlineStr"/>
      <c r="F74" s="2" t="inlineStr">
        <is>
          <t>1) LiAlH4; 2) H3O+ (OCZDCIYGECBNKL-UHFFFAOYSA-N)</t>
        </is>
      </c>
      <c r="G74" s="2" t="inlineStr">
        <is>
          <t>LiAlH4, dry THF; then acid</t>
        </is>
      </c>
      <c r="H74" s="2" t="inlineStr">
        <is>
          <t>anhydrous</t>
        </is>
      </c>
      <c r="I74" s="2" t="inlineStr">
        <is>
          <t>1-butanol (LRHPLDYGYMQRHN-UHFFFAOYSA-N)</t>
        </is>
      </c>
      <c r="J74" s="2" t="inlineStr"/>
      <c r="K74" s="2" t="inlineStr">
        <is>
          <t>F001 carboxylic acid</t>
        </is>
      </c>
      <c r="L74" s="2" t="inlineStr">
        <is>
          <t>F003 alcohol (1°)</t>
        </is>
      </c>
      <c r="M74" s="3" t="inlineStr">
        <is>
          <t>[C:1](=[O:2])[OH]&gt;&gt;[C:1][O:2]</t>
        </is>
      </c>
      <c r="N74" s="2" t="inlineStr"/>
      <c r="O74" s="2" t="inlineStr">
        <is>
          <t>Acid to primary alcohol (NaBH4 cannot do this).</t>
        </is>
      </c>
      <c r="P74" s="2" t="inlineStr"/>
      <c r="Q74" s="2" t="inlineStr">
        <is>
          <t>RDKit: the SMARTS on the reaction's molecules gives the expected product; consumed fragments found in the starting materials and formed fragments in the products</t>
        </is>
      </c>
      <c r="R74" s="2" t="inlineStr">
        <is>
          <t>standard textbook reaction (Clayden, Organic Chemistry; Klein, Organic Chemistry)</t>
        </is>
      </c>
      <c r="S74" s="2" t="inlineStr"/>
      <c r="T74" s="2" t="inlineStr"/>
      <c r="U74" s="2" t="inlineStr"/>
      <c r="V74" s="2" t="inlineStr"/>
      <c r="W74" s="3" t="inlineStr"/>
      <c r="X74" s="3" t="inlineStr"/>
      <c r="Y74" s="3" t="inlineStr"/>
      <c r="Z74" s="3" t="inlineStr"/>
      <c r="AA74" s="2" t="n">
        <v>0.75</v>
      </c>
      <c r="AB74" t="inlineStr">
        <is>
          <t>none</t>
        </is>
      </c>
    </row>
    <row r="75">
      <c r="A75" s="2" t="inlineStr">
        <is>
          <t>R074</t>
        </is>
      </c>
      <c r="B75" s="3" t="inlineStr">
        <is>
          <t>COC(=O)c1ccccc1&gt;CC(C)[CH2][AlH][CH2]C(C)C&gt;O=Cc1ccccc1.CO | cond=-78 C, dichloromethane</t>
        </is>
      </c>
      <c r="C75" s="2" t="inlineStr">
        <is>
          <t>DIBAL-H reduction of ester to aldehyde</t>
        </is>
      </c>
      <c r="D75" s="2" t="inlineStr">
        <is>
          <t>methyl benzoate (QPJVMBTYPHYUOC-UHFFFAOYSA-N)</t>
        </is>
      </c>
      <c r="E75" s="2" t="inlineStr"/>
      <c r="F75" s="2" t="inlineStr">
        <is>
          <t>DIBAL-H (1 equiv) (AZWXAPCAJCYGIA-UHFFFAOYSA-N)</t>
        </is>
      </c>
      <c r="G75" s="2" t="inlineStr">
        <is>
          <t>DIBAL-H, CH2Cl2, -78 °C; then water</t>
        </is>
      </c>
      <c r="H75" s="2" t="inlineStr">
        <is>
          <t>&lt;= -70 °C</t>
        </is>
      </c>
      <c r="I75" s="2" t="inlineStr">
        <is>
          <t>benzaldehyde (HUMNYLRZRPPJDN-UHFFFAOYSA-N); methanol (OKKJLVBELUTLKV-UHFFFAOYSA-N)</t>
        </is>
      </c>
      <c r="J75" s="2" t="inlineStr"/>
      <c r="K75" s="2" t="inlineStr">
        <is>
          <t>F004 ester</t>
        </is>
      </c>
      <c r="L75" s="2" t="inlineStr">
        <is>
          <t>F018 aldehyde</t>
        </is>
      </c>
      <c r="M75" s="3" t="inlineStr">
        <is>
          <t>[C:1](=[O:2])[O:3][C:4]&gt;&gt;[C:1]=[O:2].[O:3][C:4]</t>
        </is>
      </c>
      <c r="N75" s="2" t="inlineStr"/>
      <c r="O75" s="2" t="inlineStr">
        <is>
          <t>At -78 °C the tetrahedral intermediate does not collapse until work-up, so it stops at the aldehyde.</t>
        </is>
      </c>
      <c r="P75" s="2" t="inlineStr"/>
      <c r="Q75" s="2" t="inlineStr">
        <is>
          <t>RDKit: the SMARTS on the reaction's molecules gives the expected product; consumed fragments found in the starting materials and formed fragments in the products</t>
        </is>
      </c>
      <c r="R75" s="2" t="inlineStr">
        <is>
          <t>standard textbook reaction (Clayden, Organic Chemistry; Klein, Organic Chemistry)</t>
        </is>
      </c>
      <c r="S75" s="2" t="inlineStr"/>
      <c r="T75" s="2" t="inlineStr"/>
      <c r="U75" s="2" t="inlineStr"/>
      <c r="V75" s="2" t="inlineStr"/>
      <c r="W75" s="3" t="inlineStr"/>
      <c r="X75" s="3" t="inlineStr"/>
      <c r="Y75" s="3" t="inlineStr"/>
      <c r="Z75" s="3" t="inlineStr"/>
      <c r="AA75" s="2" t="n">
        <v>1</v>
      </c>
      <c r="AB75" t="inlineStr">
        <is>
          <t>none</t>
        </is>
      </c>
    </row>
    <row r="76">
      <c r="A76" s="2" t="inlineStr">
        <is>
          <t>R075</t>
        </is>
      </c>
      <c r="B76" s="3" t="inlineStr">
        <is>
          <t>C1CO1&gt;[Br][Mg][c]1ccccc1&gt;OCCc1ccccc1 | cond=anhydrous, diethyl ether</t>
        </is>
      </c>
      <c r="C76" s="2" t="inlineStr">
        <is>
          <t>Grignard opening of an epoxide</t>
        </is>
      </c>
      <c r="D76" s="2" t="inlineStr">
        <is>
          <t>ethylene oxide (IAYPIBMASNFSPL-UHFFFAOYSA-N)</t>
        </is>
      </c>
      <c r="E76" s="2" t="inlineStr"/>
      <c r="F76" s="2" t="inlineStr">
        <is>
          <t>1) PhMgBr; 2) H3O+ (ANRQGKOBLBYXFM-UHFFFAOYSA-M)</t>
        </is>
      </c>
      <c r="G76" s="2" t="inlineStr">
        <is>
          <t>PhMgBr, dry ether; then acid</t>
        </is>
      </c>
      <c r="H76" s="2" t="inlineStr">
        <is>
          <t>anhydrous</t>
        </is>
      </c>
      <c r="I76" s="2" t="inlineStr">
        <is>
          <t>2-phenylethanol (WRMNZCZEMHIOCP-UHFFFAOYSA-N)</t>
        </is>
      </c>
      <c r="J76" s="2" t="inlineStr"/>
      <c r="K76" s="2" t="inlineStr">
        <is>
          <t>F023 epoxide</t>
        </is>
      </c>
      <c r="L76" s="2" t="inlineStr">
        <is>
          <t>F003 alcohol (1°)</t>
        </is>
      </c>
      <c r="M76" s="3" t="inlineStr">
        <is>
          <t>[CH2:1]1[O:2][CH2:3]1&gt;&gt;[C:1](c1ccccc1)[C:3][O:2]</t>
        </is>
      </c>
      <c r="N76" s="2" t="inlineStr"/>
      <c r="O76" s="2" t="inlineStr">
        <is>
          <t>SN2 at the epoxide carbon (the less hindered one): two carbons added, alcohol at the end.</t>
        </is>
      </c>
      <c r="P76" s="2" t="inlineStr"/>
      <c r="Q76" s="2" t="inlineStr">
        <is>
          <t>RDKit: the SMARTS on the reaction's molecules gives the expected product; consumed fragments found in the starting materials and formed fragments in the products</t>
        </is>
      </c>
      <c r="R76" s="2" t="inlineStr">
        <is>
          <t>standard textbook reaction (Clayden, Organic Chemistry; Klein, Organic Chemistry)</t>
        </is>
      </c>
      <c r="S76" s="2" t="inlineStr"/>
      <c r="T76" s="2" t="inlineStr"/>
      <c r="U76" s="2" t="inlineStr"/>
      <c r="V76" s="2" t="inlineStr"/>
      <c r="W76" s="3" t="inlineStr"/>
      <c r="X76" s="3" t="inlineStr"/>
      <c r="Y76" s="3" t="inlineStr"/>
      <c r="Z76" s="3" t="inlineStr"/>
      <c r="AA76" s="2" t="n">
        <v>1</v>
      </c>
      <c r="AB76" t="inlineStr">
        <is>
          <t>none</t>
        </is>
      </c>
    </row>
    <row r="77">
      <c r="A77" s="2" t="inlineStr">
        <is>
          <t>R076</t>
        </is>
      </c>
      <c r="B77" s="3" t="inlineStr">
        <is>
          <t>CC(C)=O&gt;[Li][CH2]CCC&gt;CCCCC(C)(C)O | cond=-78 C, anhydrous, tetrahydrofuran</t>
        </is>
      </c>
      <c r="C77" s="2" t="inlineStr">
        <is>
          <t>Organolithium addition to ketone</t>
        </is>
      </c>
      <c r="D77" s="2" t="inlineStr">
        <is>
          <t>acetone (CSCPPACGZOOCGX-UHFFFAOYSA-N)</t>
        </is>
      </c>
      <c r="E77" s="2" t="inlineStr"/>
      <c r="F77" s="2" t="inlineStr">
        <is>
          <t>1) n-BuLi; 2) H3O+ (MZRVEZGGRBJDDB-UHFFFAOYSA-N)</t>
        </is>
      </c>
      <c r="G77" s="2" t="inlineStr">
        <is>
          <t>n-BuLi, THF, -78 °C; then acid</t>
        </is>
      </c>
      <c r="H77" s="2" t="inlineStr">
        <is>
          <t>anhydrous</t>
        </is>
      </c>
      <c r="I77" s="2" t="inlineStr">
        <is>
          <t>2-methyl-2-hexanol (KRIMXCDMVRMCTC-UHFFFAOYSA-N)</t>
        </is>
      </c>
      <c r="J77" s="2" t="inlineStr"/>
      <c r="K77" s="2" t="inlineStr">
        <is>
          <t>F019 ketone</t>
        </is>
      </c>
      <c r="L77" s="2" t="inlineStr">
        <is>
          <t>F016 alcohol (3°)</t>
        </is>
      </c>
      <c r="M77" s="3" t="inlineStr">
        <is>
          <t>[CX3;$(C([#6])[#6]),$([CH1][#6]):1]=[OX1:2]&gt;&gt;[C:1](CCCC)[O:2]</t>
        </is>
      </c>
      <c r="N77" s="2" t="inlineStr"/>
      <c r="O77" s="2" t="inlineStr">
        <is>
          <t>Like a Grignard: new C–C bond, tertiary alcohol.</t>
        </is>
      </c>
      <c r="P77" s="2" t="inlineStr"/>
      <c r="Q77" s="2" t="inlineStr">
        <is>
          <t>RDKit: the SMARTS on the reaction's molecules gives the expected product; consumed fragments found in the starting materials and formed fragments in the products</t>
        </is>
      </c>
      <c r="R77" s="2" t="inlineStr">
        <is>
          <t>standard textbook reaction (Clayden, Organic Chemistry; Klein, Organic Chemistry)</t>
        </is>
      </c>
      <c r="S77" s="2" t="inlineStr"/>
      <c r="T77" s="2" t="inlineStr"/>
      <c r="U77" s="2" t="inlineStr"/>
      <c r="V77" s="2" t="inlineStr"/>
      <c r="W77" s="3" t="inlineStr"/>
      <c r="X77" s="3" t="inlineStr"/>
      <c r="Y77" s="3" t="inlineStr"/>
      <c r="Z77" s="3" t="inlineStr"/>
      <c r="AA77" s="2" t="n">
        <v>1</v>
      </c>
      <c r="AB77" t="inlineStr">
        <is>
          <t>none</t>
        </is>
      </c>
    </row>
    <row r="78">
      <c r="A78" s="2" t="inlineStr">
        <is>
          <t>R077</t>
        </is>
      </c>
      <c r="B78" s="3" t="inlineStr">
        <is>
          <t>CC(=O)C=Cc1ccccc1&gt;[CH3][Cu-][CH3].[Li+]&gt;CC(=O)CC(C)c1ccccc1 | cond=0 C, anhydrous, diethyl ether</t>
        </is>
      </c>
      <c r="C78" s="2" t="inlineStr">
        <is>
          <t>Gilman reagent conjugate addition</t>
        </is>
      </c>
      <c r="D78" s="2" t="inlineStr">
        <is>
          <t>benzalacetone (BWHOZHOGCMHOBV-UHFFFAOYSA-N)</t>
        </is>
      </c>
      <c r="E78" s="2" t="inlineStr"/>
      <c r="F78" s="2" t="inlineStr">
        <is>
          <t>Me2CuLi (WHDXSDRMXIAMSK-UHFFFAOYSA-N)</t>
        </is>
      </c>
      <c r="G78" s="2" t="inlineStr">
        <is>
          <t>Me2CuLi, ether, 0 °C; then water</t>
        </is>
      </c>
      <c r="H78" s="2" t="inlineStr">
        <is>
          <t>anhydrous</t>
        </is>
      </c>
      <c r="I78" s="2" t="inlineStr">
        <is>
          <t>4-phenyl-2-pentanone (SYOVWIRLZABVDO-UHFFFAOYSA-N)</t>
        </is>
      </c>
      <c r="J78" s="2" t="inlineStr"/>
      <c r="K78" s="2" t="inlineStr">
        <is>
          <t>F040 enone (α,β-unsaturated carbonyl)</t>
        </is>
      </c>
      <c r="L78" s="2" t="inlineStr">
        <is>
          <t>F019 ketone</t>
        </is>
      </c>
      <c r="M78" s="3" t="inlineStr">
        <is>
          <t>[CX3:1]=[CX3:2][CX3:3]=[OX1:4]&gt;&gt;[C:1](C)[C:2][C:3]=[O:4]</t>
        </is>
      </c>
      <c r="N78" s="2" t="inlineStr"/>
      <c r="O78" s="2" t="inlineStr">
        <is>
          <t>Cuprates add 1,4 (to the β carbon); Grignards add 1,2 (to the C=O).</t>
        </is>
      </c>
      <c r="P78" s="2" t="inlineStr"/>
      <c r="Q78" s="2" t="inlineStr">
        <is>
          <t>RDKit: the SMARTS on the reaction's molecules gives the expected product; consumed fragments found in the starting materials and formed fragments in the products</t>
        </is>
      </c>
      <c r="R78" s="2" t="inlineStr">
        <is>
          <t>standard textbook reaction (Clayden, Organic Chemistry; Klein, Organic Chemistry)</t>
        </is>
      </c>
      <c r="S78" s="2" t="inlineStr"/>
      <c r="T78" s="2" t="inlineStr"/>
      <c r="U78" s="2" t="inlineStr"/>
      <c r="V78" s="2" t="inlineStr"/>
      <c r="W78" s="3" t="inlineStr"/>
      <c r="X78" s="3" t="inlineStr"/>
      <c r="Y78" s="3" t="inlineStr"/>
      <c r="Z78" s="3" t="inlineStr"/>
      <c r="AA78" s="2" t="n">
        <v>1</v>
      </c>
      <c r="AB78" t="inlineStr">
        <is>
          <t>none</t>
        </is>
      </c>
    </row>
    <row r="79">
      <c r="A79" s="2" t="inlineStr">
        <is>
          <t>R078</t>
        </is>
      </c>
      <c r="B79" s="3" t="inlineStr">
        <is>
          <t>CCOC(=O)CC(=O)OCC.C=CC(C)=O&gt;CC[O-].[Na+]&gt;CCOC(=O)C(CCC(C)=O)C(=O)OCC | cond=ethanol, room temperature</t>
        </is>
      </c>
      <c r="C79" s="2" t="inlineStr">
        <is>
          <t>Michael addition</t>
        </is>
      </c>
      <c r="D79" s="2" t="inlineStr">
        <is>
          <t>diethyl malonate (IYXGSMUGOJNHAZ-UHFFFAOYSA-N)</t>
        </is>
      </c>
      <c r="E79" s="2" t="inlineStr">
        <is>
          <t>methyl vinyl ketone (FUSUHKVFWTUUBE-UHFFFAOYSA-N)</t>
        </is>
      </c>
      <c r="F79" s="2" t="inlineStr">
        <is>
          <t>NaOEt (cat.) (QDRKDTQENPPHOJ-UHFFFAOYSA-N)</t>
        </is>
      </c>
      <c r="G79" s="2" t="inlineStr">
        <is>
          <t>NaOEt (cat.), EtOH</t>
        </is>
      </c>
      <c r="H79" s="2" t="inlineStr"/>
      <c r="I79" s="2" t="inlineStr">
        <is>
          <t>diethyl 2-(3-oxobutyl)malonate (ALUWYSWCNMTCSN-UHFFFAOYSA-N)</t>
        </is>
      </c>
      <c r="J79" s="2" t="inlineStr"/>
      <c r="K79" s="2" t="inlineStr">
        <is>
          <t>F004 ester + F040 enone (α,β-unsaturated carbonyl)</t>
        </is>
      </c>
      <c r="L79" s="2" t="inlineStr">
        <is>
          <t>F004 ester + F019 ketone</t>
        </is>
      </c>
      <c r="M79" s="3" t="inlineStr">
        <is>
          <t>[CH2:1]([C:2]=[O:3])[C:4]=[O:5].[CH2:6]=[CH:7][C:8]=[O:9]&gt;&gt;[C:1]([C:2]=[O:3])([C:4]=[O:5])[C:6][C:7][C:8]=[O:9]</t>
        </is>
      </c>
      <c r="N79" s="2" t="inlineStr"/>
      <c r="O79" s="2" t="inlineStr">
        <is>
          <t>The stabilised enolate of diethyl malonate adds to the β carbon of the enone.</t>
        </is>
      </c>
      <c r="P79" s="2" t="inlineStr"/>
      <c r="Q79" s="2" t="inlineStr">
        <is>
          <t>RDKit: the SMARTS on the reaction's molecules gives the expected product; consumed fragments found in the starting materials and formed fragments in the products</t>
        </is>
      </c>
      <c r="R79" s="2" t="inlineStr">
        <is>
          <t>standard textbook reaction (Clayden, Organic Chemistry; Klein, Organic Chemistry)</t>
        </is>
      </c>
      <c r="S79" s="2" t="inlineStr"/>
      <c r="T79" s="2" t="inlineStr"/>
      <c r="U79" s="2" t="inlineStr"/>
      <c r="V79" s="2" t="inlineStr"/>
      <c r="W79" s="3" t="inlineStr"/>
      <c r="X79" s="3" t="inlineStr"/>
      <c r="Y79" s="3" t="inlineStr"/>
      <c r="Z79" s="3" t="inlineStr"/>
      <c r="AA79" s="2" t="inlineStr">
        <is>
          <t>catalytic</t>
        </is>
      </c>
      <c r="AB79" t="inlineStr">
        <is>
          <t>none</t>
        </is>
      </c>
    </row>
    <row r="80">
      <c r="A80" s="2" t="inlineStr">
        <is>
          <t>R079</t>
        </is>
      </c>
      <c r="B80" s="3" t="inlineStr">
        <is>
          <t>CCOC(C)=O.CCOC(C)=O&gt;CC[O-].[Na+]&gt;CCOC(=O)CC(C)=O.CCO | cond=ethanol, reflux</t>
        </is>
      </c>
      <c r="C80" s="2" t="inlineStr">
        <is>
          <t>Claisen condensation</t>
        </is>
      </c>
      <c r="D80" s="2" t="inlineStr">
        <is>
          <t>ethyl acetate (XEKOWRVHYACXOJ-UHFFFAOYSA-N)</t>
        </is>
      </c>
      <c r="E80" s="2" t="inlineStr">
        <is>
          <t>ethyl acetate (XEKOWRVHYACXOJ-UHFFFAOYSA-N)</t>
        </is>
      </c>
      <c r="F80" s="2" t="inlineStr">
        <is>
          <t>NaOEt (1 equiv), then H3O+ (QDRKDTQENPPHOJ-UHFFFAOYSA-N)</t>
        </is>
      </c>
      <c r="G80" s="2" t="inlineStr">
        <is>
          <t>NaOEt, EtOH, reflux; then acid</t>
        </is>
      </c>
      <c r="H80" s="2" t="inlineStr"/>
      <c r="I80" s="2" t="inlineStr">
        <is>
          <t>ethyl acetoacetate (XYIBRDXRRQCHLP-UHFFFAOYSA-N); ethanol (LFQSCWFLJHTTHZ-UHFFFAOYSA-N)</t>
        </is>
      </c>
      <c r="J80" s="2" t="inlineStr"/>
      <c r="K80" s="2" t="inlineStr">
        <is>
          <t>F004 ester</t>
        </is>
      </c>
      <c r="L80" s="2" t="inlineStr">
        <is>
          <t>F004 ester + F019 ketone</t>
        </is>
      </c>
      <c r="M80" s="3" t="inlineStr">
        <is>
          <t>[CH3:1][C:2](=[O:3])[O:4][C:5].[C:7](=[O:8])[O:9][C:10]&gt;&gt;[C:7](=[O:8])[C:1][C:2](=[O:3])[O:4][C:5].[O:9][C:10]</t>
        </is>
      </c>
      <c r="N80" s="2" t="inlineStr"/>
      <c r="O80" s="2" t="inlineStr">
        <is>
          <t>Ester enolate attacks a second ester; ethoxide leaves: a β-keto ester.</t>
        </is>
      </c>
      <c r="P80" s="2" t="inlineStr"/>
      <c r="Q80" s="2" t="inlineStr">
        <is>
          <t>RDKit: the SMARTS on the reaction's molecules gives the expected product; consumed fragments found in the starting materials and formed fragments in the products</t>
        </is>
      </c>
      <c r="R80" s="2" t="inlineStr">
        <is>
          <t>standard textbook reaction (Clayden, Organic Chemistry; Klein, Organic Chemistry)</t>
        </is>
      </c>
      <c r="S80" s="2" t="inlineStr"/>
      <c r="T80" s="2" t="inlineStr"/>
      <c r="U80" s="2" t="inlineStr"/>
      <c r="V80" s="2" t="inlineStr"/>
      <c r="W80" s="3" t="inlineStr"/>
      <c r="X80" s="3" t="inlineStr"/>
      <c r="Y80" s="3" t="inlineStr"/>
      <c r="Z80" s="3" t="inlineStr"/>
      <c r="AA80" s="2" t="n">
        <v>1</v>
      </c>
      <c r="AB80" t="inlineStr">
        <is>
          <t>none</t>
        </is>
      </c>
    </row>
    <row r="81">
      <c r="A81" s="2" t="inlineStr">
        <is>
          <t>R080</t>
        </is>
      </c>
      <c r="B81" s="3" t="inlineStr">
        <is>
          <t>O=Cc1ccccc1.O=Cc1ccccc1&gt;[Na+].[OH-]&gt;O=C(O)c1ccccc1.OCc1ccccc1 | cond=60 C, water</t>
        </is>
      </c>
      <c r="C81" s="2" t="inlineStr">
        <is>
          <t>Cannizzaro reaction</t>
        </is>
      </c>
      <c r="D81" s="2" t="inlineStr">
        <is>
          <t>benzaldehyde (HUMNYLRZRPPJDN-UHFFFAOYSA-N)</t>
        </is>
      </c>
      <c r="E81" s="2" t="inlineStr">
        <is>
          <t>benzaldehyde (HUMNYLRZRPPJDN-UHFFFAOYSA-N)</t>
        </is>
      </c>
      <c r="F81" s="2" t="inlineStr">
        <is>
          <t>conc. NaOH, then H3O+ (HEMHJVSKTPXQMS-UHFFFAOYSA-M)</t>
        </is>
      </c>
      <c r="G81" s="2" t="inlineStr">
        <is>
          <t>conc. NaOH, heat; then acid</t>
        </is>
      </c>
      <c r="H81" s="2" t="inlineStr">
        <is>
          <t>heat, concentrated</t>
        </is>
      </c>
      <c r="I81" s="2" t="inlineStr">
        <is>
          <t>benzoic acid (WPYMKLBDIGXBTP-UHFFFAOYSA-N); benzyl alcohol (WVDDGKGOMKODPV-UHFFFAOYSA-N)</t>
        </is>
      </c>
      <c r="J81" s="2" t="inlineStr"/>
      <c r="K81" s="2" t="inlineStr">
        <is>
          <t>F018 aldehyde</t>
        </is>
      </c>
      <c r="L81" s="2" t="inlineStr">
        <is>
          <t>F001 carboxylic acid + F014 alcohol (on sp3 C)</t>
        </is>
      </c>
      <c r="M81" s="3" t="inlineStr">
        <is>
          <t>[CH1:1](=[O:2])[c:3].[CH1:4](=[O:5])[c:6]&gt;&gt;[C:1](=[O:2])(O)[c:3].[C:4]([O:5])[c:6]</t>
        </is>
      </c>
      <c r="N81" s="2" t="inlineStr"/>
      <c r="O81" s="2" t="inlineStr">
        <is>
          <t>An aldehyde with no α-H: one molecule is oxidised (acid), the other reduced (alcohol) by hydride transfer.</t>
        </is>
      </c>
      <c r="P81" s="2" t="inlineStr"/>
      <c r="Q81" s="2" t="inlineStr">
        <is>
          <t>RDKit: the SMARTS on the reaction's molecules gives the expected product; consumed fragments found in the starting materials and formed fragments in the products</t>
        </is>
      </c>
      <c r="R81" s="2" t="inlineStr">
        <is>
          <t>standard textbook reaction (Clayden, Organic Chemistry; Klein, Organic Chemistry)</t>
        </is>
      </c>
      <c r="S81" s="2" t="inlineStr"/>
      <c r="T81" s="2" t="inlineStr"/>
      <c r="U81" s="2" t="inlineStr"/>
      <c r="V81" s="2" t="inlineStr"/>
      <c r="W81" s="3" t="inlineStr"/>
      <c r="X81" s="3" t="inlineStr"/>
      <c r="Y81" s="3" t="inlineStr"/>
      <c r="Z81" s="3" t="inlineStr"/>
      <c r="AA81" s="2" t="n">
        <v>1</v>
      </c>
      <c r="AB81" t="inlineStr">
        <is>
          <t>none</t>
        </is>
      </c>
    </row>
    <row r="82">
      <c r="A82" s="2" t="inlineStr">
        <is>
          <t>R081</t>
        </is>
      </c>
      <c r="B82" s="3" t="inlineStr">
        <is>
          <t>CC(=O)c1ccccc1&gt;II.[Na+].[OH-]&gt;O=C(O)c1ccccc1.IC(I)I | cond=3 equiv, room temperature, water</t>
        </is>
      </c>
      <c r="C82" s="2" t="inlineStr">
        <is>
          <t>Haloform reaction</t>
        </is>
      </c>
      <c r="D82" s="2" t="inlineStr">
        <is>
          <t>acetophenone (KWOLFJPFCHCOCG-UHFFFAOYSA-N)</t>
        </is>
      </c>
      <c r="E82" s="2" t="inlineStr"/>
      <c r="F82" s="2" t="inlineStr">
        <is>
          <t>I2, NaOH, then H3O+ (AMCIFTUJPZSGMT-UHFFFAOYSA-M)</t>
        </is>
      </c>
      <c r="G82" s="2" t="inlineStr">
        <is>
          <t>I2, NaOH; acid work-up</t>
        </is>
      </c>
      <c r="H82" s="2" t="inlineStr"/>
      <c r="I82" s="2" t="inlineStr">
        <is>
          <t>benzoic acid (WPYMKLBDIGXBTP-UHFFFAOYSA-N); iodoform (OKJPEAGHQZHRQV-UHFFFAOYSA-N)</t>
        </is>
      </c>
      <c r="J82" s="2" t="inlineStr"/>
      <c r="K82" s="2" t="inlineStr">
        <is>
          <t>F019 ketone</t>
        </is>
      </c>
      <c r="L82" s="2" t="inlineStr">
        <is>
          <t>F001 carboxylic acid</t>
        </is>
      </c>
      <c r="M82" s="3" t="inlineStr">
        <is>
          <t>[CH3:1][C:2](=[O:3])[c:4]&gt;&gt;[C:2](=[O:3])(O)[c:4].[C:1](I)(I)I</t>
        </is>
      </c>
      <c r="N82" s="2" t="inlineStr"/>
      <c r="O82" s="2" t="inlineStr">
        <is>
          <t>The methyl ketone is triiodinated, then CI3⁻ leaves: carboxylic acid + iodoform (yellow precipitate).</t>
        </is>
      </c>
      <c r="P82" s="2" t="inlineStr"/>
      <c r="Q82" s="2" t="inlineStr">
        <is>
          <t>RDKit: the SMARTS on the reaction's molecules gives the expected product; consumed fragments found in the starting materials and formed fragments in the products</t>
        </is>
      </c>
      <c r="R82" s="2" t="inlineStr">
        <is>
          <t>standard textbook reaction (Clayden, Organic Chemistry; Klein, Organic Chemistry)</t>
        </is>
      </c>
      <c r="S82" s="2" t="inlineStr"/>
      <c r="T82" s="2" t="inlineStr"/>
      <c r="U82" s="2" t="inlineStr"/>
      <c r="V82" s="2" t="inlineStr"/>
      <c r="W82" s="3" t="inlineStr"/>
      <c r="X82" s="3" t="inlineStr"/>
      <c r="Y82" s="3" t="inlineStr"/>
      <c r="Z82" s="3" t="inlineStr"/>
      <c r="AA82" s="2" t="n">
        <v>3</v>
      </c>
      <c r="AB82" t="inlineStr">
        <is>
          <t>none</t>
        </is>
      </c>
    </row>
    <row r="83">
      <c r="A83" s="2" t="inlineStr">
        <is>
          <t>R082</t>
        </is>
      </c>
      <c r="B83" s="3" t="inlineStr">
        <is>
          <t>O=C1CCCCC1&gt;BrBr&gt;O=C1CCCCC1Br.Br | cond=acetic acid, room temperature</t>
        </is>
      </c>
      <c r="C83" s="2" t="inlineStr">
        <is>
          <t>α-Bromination of ketone (acid)</t>
        </is>
      </c>
      <c r="D83" s="2" t="inlineStr">
        <is>
          <t>cyclohexanone (JHIVVAPYMSGYDF-UHFFFAOYSA-N)</t>
        </is>
      </c>
      <c r="E83" s="2" t="inlineStr"/>
      <c r="F83" s="2" t="inlineStr">
        <is>
          <t>Br2, acetic acid (GDTBXPJZTBHREO-UHFFFAOYSA-N)</t>
        </is>
      </c>
      <c r="G83" s="2" t="inlineStr">
        <is>
          <t>Br2, AcOH</t>
        </is>
      </c>
      <c r="H83" s="2" t="inlineStr">
        <is>
          <t>acetic acid</t>
        </is>
      </c>
      <c r="I83" s="2" t="inlineStr">
        <is>
          <t>2-bromocyclohexanone (KDXYEWRAWRZXFT-UHFFFAOYSA-N)</t>
        </is>
      </c>
      <c r="J83" s="2" t="inlineStr">
        <is>
          <t>hydrogen bromide (CPELXLSAUQHCOX-UHFFFAOYSA-N)</t>
        </is>
      </c>
      <c r="K83" s="2" t="inlineStr">
        <is>
          <t>F019 ketone</t>
        </is>
      </c>
      <c r="L83" s="2" t="inlineStr">
        <is>
          <t>F019 ketone + F010 alkyl bromide</t>
        </is>
      </c>
      <c r="M83" s="3" t="inlineStr">
        <is>
          <t>[C:1](=[O:2])[CH2:3]&gt;&gt;[C:1](=[O:2])[C:3]Br</t>
        </is>
      </c>
      <c r="N83" s="2" t="inlineStr"/>
      <c r="O83" s="2" t="inlineStr">
        <is>
          <t>Through the enol: one α-H is replaced by Br.</t>
        </is>
      </c>
      <c r="P83" s="2" t="inlineStr"/>
      <c r="Q83" s="2" t="inlineStr">
        <is>
          <t>RDKit: the SMARTS on the reaction's molecules gives the expected product; consumed fragments found in the starting materials and formed fragments in the products</t>
        </is>
      </c>
      <c r="R83" s="2" t="inlineStr">
        <is>
          <t>standard textbook reaction (Clayden, Organic Chemistry; Klein, Organic Chemistry)</t>
        </is>
      </c>
      <c r="S83" s="2" t="inlineStr"/>
      <c r="T83" s="2" t="inlineStr"/>
      <c r="U83" s="2" t="inlineStr"/>
      <c r="V83" s="2" t="inlineStr"/>
      <c r="W83" s="3" t="inlineStr"/>
      <c r="X83" s="3" t="inlineStr"/>
      <c r="Y83" s="3" t="inlineStr"/>
      <c r="Z83" s="3" t="inlineStr"/>
      <c r="AA83" s="2" t="n">
        <v>1</v>
      </c>
      <c r="AB83" t="inlineStr">
        <is>
          <t>none</t>
        </is>
      </c>
    </row>
    <row r="84">
      <c r="A84" s="2" t="inlineStr">
        <is>
          <t>R083</t>
        </is>
      </c>
      <c r="B84" s="3" t="inlineStr">
        <is>
          <t>CCCC(=O)O&gt;BrBr.BrP(Br)Br&gt;CCC(Br)C(=O)O.Br | cond=reflux</t>
        </is>
      </c>
      <c r="C84" s="2" t="inlineStr">
        <is>
          <t>Hell–Volhard–Zelinsky</t>
        </is>
      </c>
      <c r="D84" s="2" t="inlineStr">
        <is>
          <t>butyric acid (FERIUCNNQQJTOY-UHFFFAOYSA-N)</t>
        </is>
      </c>
      <c r="E84" s="2" t="inlineStr"/>
      <c r="F84" s="2" t="inlineStr">
        <is>
          <t>Br2, PBr3 (cat.), then H2O (LWEFCVPMZLQULI-UHFFFAOYSA-N)</t>
        </is>
      </c>
      <c r="G84" s="2" t="inlineStr">
        <is>
          <t>Br2, PBr3 (cat.); then water</t>
        </is>
      </c>
      <c r="H84" s="2" t="inlineStr"/>
      <c r="I84" s="2" t="inlineStr">
        <is>
          <t>2-bromobutanoic acid (YAQLSKVCTLCIIE-UHFFFAOYSA-N)</t>
        </is>
      </c>
      <c r="J84" s="2" t="inlineStr">
        <is>
          <t>hydrogen bromide (CPELXLSAUQHCOX-UHFFFAOYSA-N)</t>
        </is>
      </c>
      <c r="K84" s="2" t="inlineStr">
        <is>
          <t>F001 carboxylic acid</t>
        </is>
      </c>
      <c r="L84" s="2" t="inlineStr">
        <is>
          <t>F001 carboxylic acid + F010 alkyl bromide</t>
        </is>
      </c>
      <c r="M84" s="3" t="inlineStr">
        <is>
          <t>[C:1](=[O:2])([OH:3])[CH2:4]&gt;&gt;[C:1](=[O:2])([OH:3])[C:4]Br</t>
        </is>
      </c>
      <c r="N84" s="2" t="inlineStr"/>
      <c r="O84" s="2" t="inlineStr">
        <is>
          <t>The acyl bromide enolises and is brominated at the α carbon.</t>
        </is>
      </c>
      <c r="P84" s="2" t="inlineStr"/>
      <c r="Q84" s="2" t="inlineStr">
        <is>
          <t>RDKit: the SMARTS on the reaction's molecules gives the expected product; consumed fragments found in the starting materials and formed fragments in the products</t>
        </is>
      </c>
      <c r="R84" s="2" t="inlineStr">
        <is>
          <t>standard textbook reaction (Clayden, Organic Chemistry; Klein, Organic Chemistry)</t>
        </is>
      </c>
      <c r="S84" s="2" t="inlineStr"/>
      <c r="T84" s="2" t="inlineStr"/>
      <c r="U84" s="2" t="inlineStr"/>
      <c r="V84" s="2" t="inlineStr"/>
      <c r="W84" s="3" t="inlineStr"/>
      <c r="X84" s="3" t="inlineStr"/>
      <c r="Y84" s="3" t="inlineStr"/>
      <c r="Z84" s="3" t="inlineStr"/>
      <c r="AA84" s="2" t="n">
        <v>1</v>
      </c>
      <c r="AB84" t="inlineStr">
        <is>
          <t>none</t>
        </is>
      </c>
    </row>
    <row r="85">
      <c r="A85" s="2" t="inlineStr">
        <is>
          <t>R084</t>
        </is>
      </c>
      <c r="B85" s="3" t="inlineStr">
        <is>
          <t>CC(=O)Nc1ccccc1&gt;O=S(=O)(O)O&gt;Nc1ccccc1.CC(=O)O | cond=reflux, water</t>
        </is>
      </c>
      <c r="C85" s="2" t="inlineStr">
        <is>
          <t>Amide hydrolysis (acid)</t>
        </is>
      </c>
      <c r="D85" s="2" t="inlineStr">
        <is>
          <t>acetanilide (FZERHIULMFGESH-UHFFFAOYSA-N)</t>
        </is>
      </c>
      <c r="E85" s="2" t="inlineStr"/>
      <c r="F85" s="2" t="inlineStr">
        <is>
          <t>H2SO4, water (QAOWNCQODCNURD-UHFFFAOYSA-N)</t>
        </is>
      </c>
      <c r="G85" s="2" t="inlineStr">
        <is>
          <t>aqueous H2SO4, reflux</t>
        </is>
      </c>
      <c r="H85" s="2" t="inlineStr">
        <is>
          <t>water, heat</t>
        </is>
      </c>
      <c r="I85" s="2" t="inlineStr">
        <is>
          <t>acetic acid (QTBSBXVTEAMEQO-UHFFFAOYSA-N); aniline (PAYRUJLWNCNPSJ-UHFFFAOYSA-N)</t>
        </is>
      </c>
      <c r="J85" s="2" t="inlineStr"/>
      <c r="K85" s="2" t="inlineStr">
        <is>
          <t>F021 amide</t>
        </is>
      </c>
      <c r="L85" s="2" t="inlineStr">
        <is>
          <t>F001 carboxylic acid + F026 arylamine (aniline NH2)</t>
        </is>
      </c>
      <c r="M85" s="3" t="inlineStr">
        <is>
          <t>[C:1](=[O:2])[NX3:3]&gt;&gt;[C:1](=[O:2])O.[N:3]</t>
        </is>
      </c>
      <c r="N85" s="2" t="inlineStr"/>
      <c r="O85" s="2" t="inlineStr">
        <is>
          <t>The slowest acid-derivative hydrolysis (amides need heat and strong acid or base).</t>
        </is>
      </c>
      <c r="P85" s="2" t="inlineStr"/>
      <c r="Q85" s="2" t="inlineStr">
        <is>
          <t>RDKit: the SMARTS on the reaction's molecules gives the expected product; consumed fragments found in the starting materials and formed fragments in the products</t>
        </is>
      </c>
      <c r="R85" s="2" t="inlineStr">
        <is>
          <t>standard textbook reaction (Clayden, Organic Chemistry; Klein, Organic Chemistry)</t>
        </is>
      </c>
      <c r="S85" s="2" t="inlineStr"/>
      <c r="T85" s="2" t="inlineStr"/>
      <c r="U85" s="2" t="inlineStr"/>
      <c r="V85" s="2" t="inlineStr"/>
      <c r="W85" s="3" t="inlineStr"/>
      <c r="X85" s="3" t="inlineStr"/>
      <c r="Y85" s="3" t="inlineStr"/>
      <c r="Z85" s="3" t="inlineStr"/>
      <c r="AA85" s="2" t="inlineStr">
        <is>
          <t>catalytic</t>
        </is>
      </c>
      <c r="AB85" t="inlineStr">
        <is>
          <t>none</t>
        </is>
      </c>
    </row>
    <row r="86">
      <c r="A86" s="2" t="inlineStr">
        <is>
          <t>R085</t>
        </is>
      </c>
      <c r="B86" s="3" t="inlineStr">
        <is>
          <t>CC(=O)Cl.CCO&gt;c1ccncc1&gt;CCOC(C)=O.Cl | cond=0 C, dichloromethane</t>
        </is>
      </c>
      <c r="C86" s="2" t="inlineStr">
        <is>
          <t>Ester from acyl chloride and alcohol</t>
        </is>
      </c>
      <c r="D86" s="2" t="inlineStr">
        <is>
          <t>acetyl chloride (WETWJCDKMRHUPV-UHFFFAOYSA-N)</t>
        </is>
      </c>
      <c r="E86" s="2" t="inlineStr">
        <is>
          <t>ethanol (LFQSCWFLJHTTHZ-UHFFFAOYSA-N)</t>
        </is>
      </c>
      <c r="F86" s="2" t="inlineStr">
        <is>
          <t>pyridine (JUJWROOIHBZHMG-UHFFFAOYSA-N)</t>
        </is>
      </c>
      <c r="G86" s="2" t="inlineStr">
        <is>
          <t>ROH, pyridine, CH2Cl2, 0 °C</t>
        </is>
      </c>
      <c r="H86" s="2" t="inlineStr"/>
      <c r="I86" s="2" t="inlineStr">
        <is>
          <t>ethyl acetate (XEKOWRVHYACXOJ-UHFFFAOYSA-N)</t>
        </is>
      </c>
      <c r="J86" s="2" t="inlineStr">
        <is>
          <t>hydrogen chloride (VEXZGXHMUGYJMC-UHFFFAOYSA-N)</t>
        </is>
      </c>
      <c r="K86" s="2" t="inlineStr">
        <is>
          <t>F020 acyl chloride + F014 alcohol (on sp3 C)</t>
        </is>
      </c>
      <c r="L86" s="2" t="inlineStr">
        <is>
          <t>F004 ester</t>
        </is>
      </c>
      <c r="M86" s="3" t="inlineStr">
        <is>
          <t>[C:1](=[O:2])Cl.[OX2H1:3][CX4:4]&gt;&gt;[C:1](=[O:2])[O:3][C:4]</t>
        </is>
      </c>
      <c r="N86" s="2" t="inlineStr"/>
      <c r="O86" s="2" t="inlineStr">
        <is>
          <t>Addition–elimination; pyridine takes up the HCl.</t>
        </is>
      </c>
      <c r="P86" s="2" t="inlineStr"/>
      <c r="Q86" s="2" t="inlineStr">
        <is>
          <t>RDKit: the SMARTS on the reaction's molecules gives the expected product; consumed fragments found in the starting materials and formed fragments in the products</t>
        </is>
      </c>
      <c r="R86" s="2" t="inlineStr">
        <is>
          <t>standard textbook reaction (Clayden, Organic Chemistry; Klein, Organic Chemistry)</t>
        </is>
      </c>
      <c r="S86" s="2" t="inlineStr"/>
      <c r="T86" s="2" t="inlineStr">
        <is>
          <t>acylation of a nucleophile</t>
        </is>
      </c>
      <c r="U86" s="2" t="inlineStr"/>
      <c r="V86" s="2" t="inlineStr"/>
      <c r="W86" s="3" t="inlineStr"/>
      <c r="X86" s="3" t="inlineStr"/>
      <c r="Y86" s="3" t="inlineStr"/>
      <c r="Z86" s="3" t="inlineStr"/>
      <c r="AA86" s="2" t="n">
        <v>1</v>
      </c>
      <c r="AB86" t="inlineStr">
        <is>
          <t>none</t>
        </is>
      </c>
    </row>
    <row r="87">
      <c r="A87" s="2" t="inlineStr">
        <is>
          <t>R086</t>
        </is>
      </c>
      <c r="B87" s="3" t="inlineStr">
        <is>
          <t>CC(=O)Cl&gt;O&gt;CC(=O)O.Cl | cond=room temperature</t>
        </is>
      </c>
      <c r="C87" s="2" t="inlineStr">
        <is>
          <t>Hydrolysis of acyl chloride</t>
        </is>
      </c>
      <c r="D87" s="2" t="inlineStr">
        <is>
          <t>acetyl chloride (WETWJCDKMRHUPV-UHFFFAOYSA-N)</t>
        </is>
      </c>
      <c r="E87" s="2" t="inlineStr"/>
      <c r="F87" s="2" t="inlineStr">
        <is>
          <t>water (XLYOFNOQVPJJNP-UHFFFAOYSA-N)</t>
        </is>
      </c>
      <c r="G87" s="2" t="inlineStr">
        <is>
          <t>water, rt</t>
        </is>
      </c>
      <c r="H87" s="2" t="inlineStr"/>
      <c r="I87" s="2" t="inlineStr">
        <is>
          <t>acetic acid (QTBSBXVTEAMEQO-UHFFFAOYSA-N)</t>
        </is>
      </c>
      <c r="J87" s="2" t="inlineStr">
        <is>
          <t>hydrogen chloride (VEXZGXHMUGYJMC-UHFFFAOYSA-N)</t>
        </is>
      </c>
      <c r="K87" s="2" t="inlineStr">
        <is>
          <t>F020 acyl chloride</t>
        </is>
      </c>
      <c r="L87" s="2" t="inlineStr">
        <is>
          <t>F001 carboxylic acid</t>
        </is>
      </c>
      <c r="M87" s="3" t="inlineStr">
        <is>
          <t>[C:1](=[O:2])Cl&gt;&gt;[C:1](=[O:2])O</t>
        </is>
      </c>
      <c r="N87" s="2" t="inlineStr"/>
      <c r="O87" s="2" t="inlineStr">
        <is>
          <t>Fast addition–elimination: acyl chloride to carboxylic acid + HCl.</t>
        </is>
      </c>
      <c r="P87" s="2" t="inlineStr"/>
      <c r="Q87" s="2" t="inlineStr">
        <is>
          <t>RDKit: the SMARTS on the reaction's molecules gives the expected product; consumed fragments found in the starting materials and formed fragments in the products</t>
        </is>
      </c>
      <c r="R87" s="2" t="inlineStr">
        <is>
          <t>standard textbook reaction (Clayden, Organic Chemistry; Klein, Organic Chemistry)</t>
        </is>
      </c>
      <c r="S87" s="2" t="inlineStr"/>
      <c r="T87" s="2" t="inlineStr"/>
      <c r="U87" s="2" t="inlineStr"/>
      <c r="V87" s="2" t="inlineStr"/>
      <c r="W87" s="3" t="inlineStr"/>
      <c r="X87" s="3" t="inlineStr"/>
      <c r="Y87" s="3" t="inlineStr"/>
      <c r="Z87" s="3" t="inlineStr"/>
      <c r="AA87" s="2" t="n">
        <v>1</v>
      </c>
      <c r="AB87" t="inlineStr">
        <is>
          <t>none</t>
        </is>
      </c>
    </row>
    <row r="88">
      <c r="A88" s="2" t="inlineStr">
        <is>
          <t>R087</t>
        </is>
      </c>
      <c r="B88" s="3" t="inlineStr">
        <is>
          <t>Nc1ccccc1&gt;CC(=O)OC(C)=O&gt;CC(=O)Nc1ccccc1.CC(=O)O | cond=room temperature</t>
        </is>
      </c>
      <c r="C88" s="2" t="inlineStr">
        <is>
          <t>Acetylation of an amine (Ac2O)</t>
        </is>
      </c>
      <c r="D88" s="2" t="inlineStr">
        <is>
          <t>aniline (PAYRUJLWNCNPSJ-UHFFFAOYSA-N)</t>
        </is>
      </c>
      <c r="E88" s="2" t="inlineStr"/>
      <c r="F88" s="2" t="inlineStr">
        <is>
          <t>acetic anhydride (WFDIJRYMOXRFFG-UHFFFAOYSA-N)</t>
        </is>
      </c>
      <c r="G88" s="2" t="inlineStr">
        <is>
          <t>Ac2O, rt</t>
        </is>
      </c>
      <c r="H88" s="2" t="inlineStr"/>
      <c r="I88" s="2" t="inlineStr">
        <is>
          <t>acetanilide (FZERHIULMFGESH-UHFFFAOYSA-N)</t>
        </is>
      </c>
      <c r="J88" s="2" t="inlineStr">
        <is>
          <t>acetic acid (QTBSBXVTEAMEQO-UHFFFAOYSA-N)</t>
        </is>
      </c>
      <c r="K88" s="2" t="inlineStr">
        <is>
          <t>F026 arylamine (aniline NH2) | F002 amine (1°)</t>
        </is>
      </c>
      <c r="L88" s="2" t="inlineStr">
        <is>
          <t>F021 amide</t>
        </is>
      </c>
      <c r="M88" s="3" t="inlineStr">
        <is>
          <t>[NX3;H2,H1;!$(NC=O):1]&gt;&gt;[N:1]C(C)=O</t>
        </is>
      </c>
      <c r="N88" s="2" t="inlineStr"/>
      <c r="O88" s="2" t="inlineStr">
        <is>
          <t>The N attacks the anhydride; acetate leaves.</t>
        </is>
      </c>
      <c r="P88" s="2" t="inlineStr"/>
      <c r="Q88" s="2" t="inlineStr">
        <is>
          <t>RDKit: the SMARTS on the reaction's molecules gives the expected product; consumed fragments found in the starting materials and formed fragments in the products</t>
        </is>
      </c>
      <c r="R88" s="2" t="inlineStr">
        <is>
          <t>standard textbook reaction (Clayden, Organic Chemistry; Klein, Organic Chemistry)</t>
        </is>
      </c>
      <c r="S88" s="2" t="inlineStr"/>
      <c r="T88" s="2" t="inlineStr"/>
      <c r="U88" s="2" t="inlineStr"/>
      <c r="V88" s="2" t="inlineStr"/>
      <c r="W88" s="3" t="inlineStr"/>
      <c r="X88" s="3" t="inlineStr"/>
      <c r="Y88" s="3" t="inlineStr"/>
      <c r="Z88" s="3" t="inlineStr"/>
      <c r="AA88" s="2" t="n">
        <v>1</v>
      </c>
      <c r="AB88" t="inlineStr">
        <is>
          <t>none</t>
        </is>
      </c>
    </row>
    <row r="89">
      <c r="A89" s="2" t="inlineStr">
        <is>
          <t>R088</t>
        </is>
      </c>
      <c r="B89" s="3" t="inlineStr">
        <is>
          <t>NC(=O)c1ccccc1&gt;BrBr.[Na+].[OH-]&gt;Nc1ccccc1.O=C=O | cond=70 C, water</t>
        </is>
      </c>
      <c r="C89" s="2" t="inlineStr">
        <is>
          <t>Hofmann rearrangement</t>
        </is>
      </c>
      <c r="D89" s="2" t="inlineStr">
        <is>
          <t>benzamide (KXDAEFPNCMNJSK-UHFFFAOYSA-N)</t>
        </is>
      </c>
      <c r="E89" s="2" t="inlineStr"/>
      <c r="F89" s="2" t="inlineStr">
        <is>
          <t>Br2, NaOH (GRAONQFUPDAPTD-UHFFFAOYSA-M)</t>
        </is>
      </c>
      <c r="G89" s="2" t="inlineStr">
        <is>
          <t>Br2, NaOH (aq), warm</t>
        </is>
      </c>
      <c r="H89" s="2" t="inlineStr">
        <is>
          <t>heat</t>
        </is>
      </c>
      <c r="I89" s="2" t="inlineStr">
        <is>
          <t>aniline (PAYRUJLWNCNPSJ-UHFFFAOYSA-N); carbon dioxide (CURLTUGMZLYLDI-UHFFFAOYSA-N)</t>
        </is>
      </c>
      <c r="J89" s="2" t="inlineStr"/>
      <c r="K89" s="2" t="inlineStr">
        <is>
          <t>F021 amide</t>
        </is>
      </c>
      <c r="L89" s="2" t="inlineStr">
        <is>
          <t>F026 arylamine (aniline NH2)</t>
        </is>
      </c>
      <c r="M89" s="3" t="inlineStr">
        <is>
          <t>[NH2:1][C:2](=O)[c:3]&gt;&gt;[N:1][c:3].[C:2](=O)=O</t>
        </is>
      </c>
      <c r="N89" s="2" t="inlineStr"/>
      <c r="O89" s="2" t="inlineStr">
        <is>
          <t>N-bromoamide, then the aryl group migrates to N (isocyanate) and CO2 is lost: one carbon fewer.</t>
        </is>
      </c>
      <c r="P89" s="2" t="inlineStr"/>
      <c r="Q89" s="2" t="inlineStr">
        <is>
          <t>RDKit: the SMARTS on the reaction's molecules gives the expected product; consumed fragments found in the starting materials and formed fragments in the products</t>
        </is>
      </c>
      <c r="R89" s="2" t="inlineStr">
        <is>
          <t>standard textbook reaction (Clayden, Organic Chemistry; Klein, Organic Chemistry)</t>
        </is>
      </c>
      <c r="S89" s="2" t="inlineStr"/>
      <c r="T89" s="2" t="inlineStr"/>
      <c r="U89" s="2" t="inlineStr"/>
      <c r="V89" s="2" t="inlineStr"/>
      <c r="W89" s="3" t="inlineStr"/>
      <c r="X89" s="3" t="inlineStr"/>
      <c r="Y89" s="3" t="inlineStr"/>
      <c r="Z89" s="3" t="inlineStr"/>
      <c r="AA89" s="2" t="n">
        <v>1</v>
      </c>
      <c r="AB89" t="inlineStr">
        <is>
          <t>none</t>
        </is>
      </c>
    </row>
    <row r="90">
      <c r="A90" s="2" t="inlineStr">
        <is>
          <t>R089</t>
        </is>
      </c>
      <c r="B90" s="3" t="inlineStr">
        <is>
          <t>C1CCC2(CC1)OCCO2&gt;O=S(=O)(O)O&gt;O=C1CCCCC1.OCCO | cond=room temperature, water</t>
        </is>
      </c>
      <c r="C90" s="2" t="inlineStr">
        <is>
          <t>Acetal hydrolysis</t>
        </is>
      </c>
      <c r="D90" s="2" t="inlineStr">
        <is>
          <t>cyclohexanone ethylene ketal (GZGPRZYZKBQPBQ-UHFFFAOYSA-N)</t>
        </is>
      </c>
      <c r="E90" s="2" t="inlineStr"/>
      <c r="F90" s="2" t="inlineStr">
        <is>
          <t>H3O+ (dilute H2SO4) (QAOWNCQODCNURD-UHFFFAOYSA-N)</t>
        </is>
      </c>
      <c r="G90" s="2" t="inlineStr">
        <is>
          <t>dilute aqueous acid</t>
        </is>
      </c>
      <c r="H90" s="2" t="inlineStr">
        <is>
          <t>water, dilute</t>
        </is>
      </c>
      <c r="I90" s="2" t="inlineStr">
        <is>
          <t>cyclohexanone (JHIVVAPYMSGYDF-UHFFFAOYSA-N); ethylene glycol (LYCAIKOWRPUZTN-UHFFFAOYSA-N)</t>
        </is>
      </c>
      <c r="J90" s="2" t="inlineStr"/>
      <c r="K90" s="2" t="inlineStr">
        <is>
          <t>F039 acetal / ketal</t>
        </is>
      </c>
      <c r="L90" s="2" t="inlineStr">
        <is>
          <t>F019 ketone + F017 1,2-diol</t>
        </is>
      </c>
      <c r="M90" s="3" t="inlineStr">
        <is>
          <t>[C:1]1([#6:2])([#6:3])[O:4][CH2:5][CH2:6][O:7]1&gt;&gt;[C:1](=[O:4])([#6:2])[#6:3].O[C:5][C:6][O:7]</t>
        </is>
      </c>
      <c r="N90" s="2" t="inlineStr"/>
      <c r="O90" s="2" t="inlineStr">
        <is>
          <t>The reverse of acetal formation: excess water drives it back to the ketone (deprotection).</t>
        </is>
      </c>
      <c r="P90" s="2" t="inlineStr"/>
      <c r="Q90" s="2" t="inlineStr">
        <is>
          <t>RDKit: the SMARTS on the reaction's molecules gives the expected product; consumed fragments found in the starting materials and formed fragments in the products</t>
        </is>
      </c>
      <c r="R90" s="2" t="inlineStr">
        <is>
          <t>standard textbook reaction (Clayden, Organic Chemistry; Klein, Organic Chemistry)</t>
        </is>
      </c>
      <c r="S90" s="2" t="inlineStr"/>
      <c r="T90" s="2" t="inlineStr"/>
      <c r="U90" s="2" t="inlineStr"/>
      <c r="V90" s="2" t="inlineStr"/>
      <c r="W90" s="3" t="inlineStr"/>
      <c r="X90" s="3" t="inlineStr"/>
      <c r="Y90" s="3" t="inlineStr"/>
      <c r="Z90" s="3" t="inlineStr"/>
      <c r="AA90" s="2" t="inlineStr">
        <is>
          <t>catalytic</t>
        </is>
      </c>
      <c r="AB90" t="inlineStr">
        <is>
          <t>none</t>
        </is>
      </c>
    </row>
    <row r="91">
      <c r="A91" s="2" t="inlineStr">
        <is>
          <t>R090</t>
        </is>
      </c>
      <c r="B91" s="3" t="inlineStr">
        <is>
          <t>O=Cc1ccccc1&gt;N.N.[Ag+]&gt;O=C(O)c1ccccc1 | cond=room temperature, water</t>
        </is>
      </c>
      <c r="C91" s="2" t="inlineStr">
        <is>
          <t>Tollens oxidation</t>
        </is>
      </c>
      <c r="D91" s="2" t="inlineStr">
        <is>
          <t>benzaldehyde (HUMNYLRZRPPJDN-UHFFFAOYSA-N)</t>
        </is>
      </c>
      <c r="E91" s="2" t="inlineStr"/>
      <c r="F91" s="2" t="inlineStr">
        <is>
          <t>Ag(NH3)2+ (Tollens' reagent) (IWIFJNQIJSKDJE-UHFFFAOYSA-N)</t>
        </is>
      </c>
      <c r="G91" s="2" t="inlineStr">
        <is>
          <t>Ag(NH3)2+, NH3 (aq); then acid</t>
        </is>
      </c>
      <c r="H91" s="2" t="inlineStr"/>
      <c r="I91" s="2" t="inlineStr">
        <is>
          <t>benzoic acid (WPYMKLBDIGXBTP-UHFFFAOYSA-N)</t>
        </is>
      </c>
      <c r="J91" s="2" t="inlineStr"/>
      <c r="K91" s="2" t="inlineStr">
        <is>
          <t>F018 aldehyde</t>
        </is>
      </c>
      <c r="L91" s="2" t="inlineStr">
        <is>
          <t>F001 carboxylic acid</t>
        </is>
      </c>
      <c r="M91" s="3" t="inlineStr">
        <is>
          <t>[CX3H1:1](=[O:2])[#6:3]&gt;&gt;[C:1](=[O:2])(O)[#6:3]</t>
        </is>
      </c>
      <c r="N91" s="2" t="inlineStr"/>
      <c r="O91" s="2" t="inlineStr">
        <is>
          <t>Aldehydes only (silver mirror); ketones do not react.</t>
        </is>
      </c>
      <c r="P91" s="2" t="inlineStr"/>
      <c r="Q91" s="2" t="inlineStr">
        <is>
          <t>RDKit: the SMARTS on the reaction's molecules gives the expected product; consumed fragments found in the starting materials and formed fragments in the products</t>
        </is>
      </c>
      <c r="R91" s="2" t="inlineStr">
        <is>
          <t>standard textbook reaction (Clayden, Organic Chemistry; Klein, Organic Chemistry)</t>
        </is>
      </c>
      <c r="S91" s="2" t="inlineStr"/>
      <c r="T91" s="2" t="inlineStr"/>
      <c r="U91" s="2" t="inlineStr"/>
      <c r="V91" s="2" t="inlineStr"/>
      <c r="W91" s="3" t="inlineStr"/>
      <c r="X91" s="3" t="inlineStr"/>
      <c r="Y91" s="3" t="inlineStr"/>
      <c r="Z91" s="3" t="inlineStr"/>
      <c r="AA91" s="2" t="n">
        <v>2</v>
      </c>
      <c r="AB91" t="inlineStr">
        <is>
          <t>none</t>
        </is>
      </c>
    </row>
    <row r="92">
      <c r="A92" s="2" t="inlineStr">
        <is>
          <t>R091</t>
        </is>
      </c>
      <c r="B92" s="3" t="inlineStr">
        <is>
          <t>CCCCO&gt;CS(C)=O.O=C(Cl)C(=O)Cl&gt;CCCC=O.CSC | cond=-78 C, dichloromethane</t>
        </is>
      </c>
      <c r="C92" s="2" t="inlineStr">
        <is>
          <t>Swern oxidation</t>
        </is>
      </c>
      <c r="D92" s="2" t="inlineStr">
        <is>
          <t>1-butanol (LRHPLDYGYMQRHN-UHFFFAOYSA-N)</t>
        </is>
      </c>
      <c r="E92" s="2" t="inlineStr"/>
      <c r="F92" s="2" t="inlineStr">
        <is>
          <t>DMSO, (COCl)2, then Et3N (BDGDWWGTAFXEEW-UHFFFAOYSA-N)</t>
        </is>
      </c>
      <c r="G92" s="2" t="inlineStr">
        <is>
          <t>DMSO, oxalyl chloride, CH2Cl2, -78 °C; then Et3N</t>
        </is>
      </c>
      <c r="H92" s="2" t="inlineStr">
        <is>
          <t>&lt;= -50 °C</t>
        </is>
      </c>
      <c r="I92" s="2" t="inlineStr">
        <is>
          <t>butanal (butyraldehyde) (ZTQSAGDEMFDKMZ-UHFFFAOYSA-N)</t>
        </is>
      </c>
      <c r="J92" s="2" t="inlineStr">
        <is>
          <t>dimethyl sulfide (QMMFVYPAHWMCMS-UHFFFAOYSA-N)</t>
        </is>
      </c>
      <c r="K92" s="2" t="inlineStr">
        <is>
          <t>F014 alcohol (on sp3 C)</t>
        </is>
      </c>
      <c r="L92" s="2" t="inlineStr">
        <is>
          <t>F018 aldehyde | F019 ketone</t>
        </is>
      </c>
      <c r="M92" s="3" t="inlineStr">
        <is>
          <t>[CX4;H2,H1:1][OH:2]&gt;&gt;[C:1]=[O:2]</t>
        </is>
      </c>
      <c r="N92" s="2" t="inlineStr"/>
      <c r="O92" s="2" t="inlineStr">
        <is>
          <t>Mild, metal-free: primary alcohol stops at the aldehyde (smell of dimethyl sulfide).</t>
        </is>
      </c>
      <c r="P92" s="2" t="inlineStr"/>
      <c r="Q92" s="2" t="inlineStr">
        <is>
          <t>RDKit: the SMARTS on the reaction's molecules gives the expected product; consumed fragments found in the starting materials and formed fragments in the products</t>
        </is>
      </c>
      <c r="R92" s="2" t="inlineStr">
        <is>
          <t>standard textbook reaction (Clayden, Organic Chemistry; Klein, Organic Chemistry)</t>
        </is>
      </c>
      <c r="S92" s="2" t="inlineStr"/>
      <c r="T92" s="2" t="inlineStr">
        <is>
          <t>alcohol oxidation</t>
        </is>
      </c>
      <c r="U92" s="2" t="inlineStr"/>
      <c r="V92" s="2" t="inlineStr"/>
      <c r="W92" s="3" t="inlineStr"/>
      <c r="X92" s="3" t="inlineStr"/>
      <c r="Y92" s="3" t="inlineStr"/>
      <c r="Z92" s="3" t="inlineStr"/>
      <c r="AA92" s="2" t="n">
        <v>1</v>
      </c>
      <c r="AB92" t="inlineStr">
        <is>
          <t>none</t>
        </is>
      </c>
    </row>
    <row r="93">
      <c r="A93" s="2" t="inlineStr">
        <is>
          <t>R092</t>
        </is>
      </c>
      <c r="B93" s="3" t="inlineStr">
        <is>
          <t>CC(C)(O)C(C)(C)O&gt;O=S(=O)(O)O&gt;CC(=O)C(C)(C)C.O | cond=100 C</t>
        </is>
      </c>
      <c r="C93" s="2" t="inlineStr">
        <is>
          <t>Pinacol rearrangement</t>
        </is>
      </c>
      <c r="D93" s="2" t="inlineStr">
        <is>
          <t>pinacol (IVDFJHOHABJVEH-UHFFFAOYSA-N)</t>
        </is>
      </c>
      <c r="E93" s="2" t="inlineStr"/>
      <c r="F93" s="2" t="inlineStr">
        <is>
          <t>H2SO4 (cat.) (QAOWNCQODCNURD-UHFFFAOYSA-N)</t>
        </is>
      </c>
      <c r="G93" s="2" t="inlineStr">
        <is>
          <t>H2SO4, heat</t>
        </is>
      </c>
      <c r="H93" s="2" t="inlineStr">
        <is>
          <t>heat</t>
        </is>
      </c>
      <c r="I93" s="2" t="inlineStr">
        <is>
          <t>pinacolone (PJGSXYOJTGTZAV-UHFFFAOYSA-N)</t>
        </is>
      </c>
      <c r="J93" s="2" t="inlineStr">
        <is>
          <t>water (XLYOFNOQVPJJNP-UHFFFAOYSA-N)</t>
        </is>
      </c>
      <c r="K93" s="2" t="inlineStr">
        <is>
          <t>F017 1,2-diol</t>
        </is>
      </c>
      <c r="L93" s="2" t="inlineStr">
        <is>
          <t>F019 ketone</t>
        </is>
      </c>
      <c r="M93" s="3" t="inlineStr">
        <is>
          <t>[CX4:1]([CH3:5])([CH3:6])([OH:2])[CX4:3]([CH3:7])([CH3:8])[OH:4]&gt;&gt;[C:1]([C:5])([C:6])([C:7])[C:3]([C:8])=[O:4]</t>
        </is>
      </c>
      <c r="N93" s="2" t="inlineStr"/>
      <c r="O93" s="2" t="inlineStr">
        <is>
          <t>Loss of water gives a cation; a methyl shifts and the other OH becomes C=O (pinacolone).</t>
        </is>
      </c>
      <c r="P93" s="2" t="inlineStr"/>
      <c r="Q93" s="2" t="inlineStr">
        <is>
          <t>RDKit: the SMARTS on the reaction's molecules gives the expected product; consumed fragments found in the starting materials and formed fragments in the products</t>
        </is>
      </c>
      <c r="R93" s="2" t="inlineStr">
        <is>
          <t>standard textbook reaction (Clayden, Organic Chemistry; Klein, Organic Chemistry)</t>
        </is>
      </c>
      <c r="S93" s="2" t="inlineStr"/>
      <c r="T93" s="2" t="inlineStr"/>
      <c r="U93" s="2" t="inlineStr"/>
      <c r="V93" s="2" t="inlineStr"/>
      <c r="W93" s="3" t="inlineStr"/>
      <c r="X93" s="3" t="inlineStr"/>
      <c r="Y93" s="3" t="inlineStr"/>
      <c r="Z93" s="3" t="inlineStr"/>
      <c r="AA93" s="2" t="inlineStr">
        <is>
          <t>catalytic</t>
        </is>
      </c>
      <c r="AB93" t="inlineStr">
        <is>
          <t>none</t>
        </is>
      </c>
    </row>
    <row r="94">
      <c r="A94" s="2" t="inlineStr">
        <is>
          <t>R093</t>
        </is>
      </c>
      <c r="B94" s="3" t="inlineStr">
        <is>
          <t>ON=C1CCCCC1&gt;O=S(=O)(O)O&gt;O=C1CCCCCN1 | cond=100 C</t>
        </is>
      </c>
      <c r="C94" s="2" t="inlineStr">
        <is>
          <t>Beckmann rearrangement</t>
        </is>
      </c>
      <c r="D94" s="2" t="inlineStr">
        <is>
          <t>cyclohexanone oxime (VEZUQRBDRNJBJY-UHFFFAOYSA-N)</t>
        </is>
      </c>
      <c r="E94" s="2" t="inlineStr"/>
      <c r="F94" s="2" t="inlineStr">
        <is>
          <t>conc. H2SO4 (QAOWNCQODCNURD-UHFFFAOYSA-N)</t>
        </is>
      </c>
      <c r="G94" s="2" t="inlineStr">
        <is>
          <t>conc. H2SO4 (or PCl5), heat</t>
        </is>
      </c>
      <c r="H94" s="2" t="inlineStr">
        <is>
          <t>heat, concentrated</t>
        </is>
      </c>
      <c r="I94" s="2" t="inlineStr">
        <is>
          <t>ε-caprolactam (JBKVHLHDHHXQEQ-UHFFFAOYSA-N)</t>
        </is>
      </c>
      <c r="J94" s="2" t="inlineStr"/>
      <c r="K94" s="2" t="inlineStr">
        <is>
          <t>F049 oxime</t>
        </is>
      </c>
      <c r="L94" s="2" t="inlineStr">
        <is>
          <t>F021 amide</t>
        </is>
      </c>
      <c r="M94" s="3" t="inlineStr">
        <is>
          <t>[OH:5][N:1]=[C:2]([#6:3])[#6:4]&gt;&gt;[O:5]=[C:2]([#6:4])[N:1][#6:3]</t>
        </is>
      </c>
      <c r="N94" s="2" t="inlineStr"/>
      <c r="O94" s="2" t="inlineStr">
        <is>
          <t>The group anti to the OH migrates to N: oxime to amide (cyclohexanone oxime gives caprolactam, the nylon-6 monomer).</t>
        </is>
      </c>
      <c r="P94" s="2" t="inlineStr"/>
      <c r="Q94" s="2" t="inlineStr">
        <is>
          <t>RDKit: the SMARTS on the reaction's molecules gives the expected product; consumed fragments found in the starting materials and formed fragments in the products</t>
        </is>
      </c>
      <c r="R94" s="2" t="inlineStr">
        <is>
          <t>standard textbook reaction (Clayden, Organic Chemistry; Klein, Organic Chemistry)</t>
        </is>
      </c>
      <c r="S94" s="2" t="inlineStr"/>
      <c r="T94" s="2" t="inlineStr"/>
      <c r="U94" s="2" t="inlineStr"/>
      <c r="V94" s="2" t="inlineStr"/>
      <c r="W94" s="3" t="inlineStr"/>
      <c r="X94" s="3" t="inlineStr"/>
      <c r="Y94" s="3" t="inlineStr"/>
      <c r="Z94" s="3" t="inlineStr"/>
      <c r="AA94" s="2" t="inlineStr">
        <is>
          <t>catalytic</t>
        </is>
      </c>
      <c r="AB94" t="inlineStr">
        <is>
          <t>none</t>
        </is>
      </c>
    </row>
    <row r="95">
      <c r="A95" s="2" t="inlineStr">
        <is>
          <t>R094</t>
        </is>
      </c>
      <c r="B95" s="3" t="inlineStr">
        <is>
          <t>O=C1CCCCC1&gt;NO&gt;ON=C1CCCCC1.O | cond=ethanol, room temperature</t>
        </is>
      </c>
      <c r="C95" s="2" t="inlineStr">
        <is>
          <t>Oxime formation</t>
        </is>
      </c>
      <c r="D95" s="2" t="inlineStr">
        <is>
          <t>cyclohexanone (JHIVVAPYMSGYDF-UHFFFAOYSA-N)</t>
        </is>
      </c>
      <c r="E95" s="2" t="inlineStr"/>
      <c r="F95" s="2" t="inlineStr">
        <is>
          <t>NH2OH (AVXURJPOCDRRFD-UHFFFAOYSA-N)</t>
        </is>
      </c>
      <c r="G95" s="2" t="inlineStr">
        <is>
          <t>hydroxylamine, mild acid</t>
        </is>
      </c>
      <c r="H95" s="2" t="inlineStr"/>
      <c r="I95" s="2" t="inlineStr">
        <is>
          <t>cyclohexanone oxime (VEZUQRBDRNJBJY-UHFFFAOYSA-N)</t>
        </is>
      </c>
      <c r="J95" s="2" t="inlineStr">
        <is>
          <t>water (XLYOFNOQVPJJNP-UHFFFAOYSA-N)</t>
        </is>
      </c>
      <c r="K95" s="2" t="inlineStr">
        <is>
          <t>F019 ketone</t>
        </is>
      </c>
      <c r="L95" s="2" t="inlineStr">
        <is>
          <t>F049 oxime</t>
        </is>
      </c>
      <c r="M95" s="3" t="inlineStr">
        <is>
          <t>[CX3;$(C([#6])[#6]),$([CH1][#6]):1]=[OX1]&gt;&gt;[C:1]=NO</t>
        </is>
      </c>
      <c r="N95" s="2" t="inlineStr"/>
      <c r="O95" s="2" t="inlineStr">
        <is>
          <t>Like imine formation, with H2N–OH.</t>
        </is>
      </c>
      <c r="P95" s="2" t="inlineStr"/>
      <c r="Q95" s="2" t="inlineStr">
        <is>
          <t>RDKit: the SMARTS on the reaction's molecules gives the expected product; consumed fragments found in the starting materials and formed fragments in the products</t>
        </is>
      </c>
      <c r="R95" s="2" t="inlineStr">
        <is>
          <t>standard textbook reaction (Clayden, Organic Chemistry; Klein, Organic Chemistry)</t>
        </is>
      </c>
      <c r="S95" s="2" t="inlineStr"/>
      <c r="T95" s="2" t="inlineStr"/>
      <c r="U95" s="2" t="inlineStr"/>
      <c r="V95" s="2" t="inlineStr"/>
      <c r="W95" s="3" t="inlineStr"/>
      <c r="X95" s="3" t="inlineStr"/>
      <c r="Y95" s="3" t="inlineStr"/>
      <c r="Z95" s="3" t="inlineStr"/>
      <c r="AA95" s="2" t="n">
        <v>1</v>
      </c>
      <c r="AB95" t="inlineStr">
        <is>
          <t>none</t>
        </is>
      </c>
    </row>
    <row r="96">
      <c r="A96" s="2" t="inlineStr">
        <is>
          <t>R095</t>
        </is>
      </c>
      <c r="B96" s="3" t="inlineStr">
        <is>
          <t>CC(C)=O&gt;C#N&gt;CC(C)(O)C#N | cond=room temperature, water</t>
        </is>
      </c>
      <c r="C96" s="2" t="inlineStr">
        <is>
          <t>Cyanohydrin formation</t>
        </is>
      </c>
      <c r="D96" s="2" t="inlineStr">
        <is>
          <t>acetone (CSCPPACGZOOCGX-UHFFFAOYSA-N)</t>
        </is>
      </c>
      <c r="E96" s="2" t="inlineStr"/>
      <c r="F96" s="2" t="inlineStr">
        <is>
          <t>HCN (KCN, cat. base) (LELOWRISYMNNSU-UHFFFAOYSA-N)</t>
        </is>
      </c>
      <c r="G96" s="2" t="inlineStr">
        <is>
          <t>HCN with a little KCN</t>
        </is>
      </c>
      <c r="H96" s="2" t="inlineStr"/>
      <c r="I96" s="2" t="inlineStr">
        <is>
          <t>acetone cyanohydrin (MWFMGBPGAXYFAR-UHFFFAOYSA-N)</t>
        </is>
      </c>
      <c r="J96" s="2" t="inlineStr"/>
      <c r="K96" s="2" t="inlineStr">
        <is>
          <t>F019 ketone</t>
        </is>
      </c>
      <c r="L96" s="2" t="inlineStr">
        <is>
          <t>F022 nitrile + F016 alcohol (3°)</t>
        </is>
      </c>
      <c r="M96" s="3" t="inlineStr">
        <is>
          <t>[CX3;$(C([#6])[#6]),$([CH1][#6]):1]=[OX1:2]&gt;&gt;[C:1](C#N)[O:2]</t>
        </is>
      </c>
      <c r="N96" s="2" t="inlineStr"/>
      <c r="O96" s="2" t="inlineStr">
        <is>
          <t>Cyanide adds to the C=O, then the alkoxide is protonated.</t>
        </is>
      </c>
      <c r="P96" s="2" t="inlineStr"/>
      <c r="Q96" s="2" t="inlineStr">
        <is>
          <t>RDKit: the SMARTS on the reaction's molecules gives the expected product; consumed fragments found in the starting materials and formed fragments in the products</t>
        </is>
      </c>
      <c r="R96" s="2" t="inlineStr">
        <is>
          <t>standard textbook reaction (Clayden, Organic Chemistry; Klein, Organic Chemistry)</t>
        </is>
      </c>
      <c r="S96" s="2" t="inlineStr"/>
      <c r="T96" s="2" t="inlineStr"/>
      <c r="U96" s="2" t="inlineStr"/>
      <c r="V96" s="2" t="inlineStr"/>
      <c r="W96" s="3" t="inlineStr"/>
      <c r="X96" s="3" t="inlineStr"/>
      <c r="Y96" s="3" t="inlineStr"/>
      <c r="Z96" s="3" t="inlineStr"/>
      <c r="AA96" s="2" t="n">
        <v>1</v>
      </c>
      <c r="AB96" t="inlineStr">
        <is>
          <t>none</t>
        </is>
      </c>
    </row>
    <row r="97">
      <c r="A97" s="2" t="inlineStr">
        <is>
          <t>R096</t>
        </is>
      </c>
      <c r="B97" s="3" t="inlineStr">
        <is>
          <t>O=C(O)c1ccccc1.CN&gt;C(=NC1CCCCC1)=NC1CCCCC1&gt;O=C(NC1CCCCC1)NC1CCCCC1.CNC(=O)c1ccccc1 | cond=dichloromethane, room temperature</t>
        </is>
      </c>
      <c r="C97" s="2" t="inlineStr">
        <is>
          <t>Amide coupling with DCC</t>
        </is>
      </c>
      <c r="D97" s="2" t="inlineStr">
        <is>
          <t>benzoic acid (WPYMKLBDIGXBTP-UHFFFAOYSA-N)</t>
        </is>
      </c>
      <c r="E97" s="2" t="inlineStr">
        <is>
          <t>methylamine (BAVYZALUXZFZLV-UHFFFAOYSA-N)</t>
        </is>
      </c>
      <c r="F97" s="2" t="inlineStr">
        <is>
          <t>DCC (QOSSAOTZNIDXMA-UHFFFAOYSA-N)</t>
        </is>
      </c>
      <c r="G97" s="2" t="inlineStr">
        <is>
          <t>DCC, CH2Cl2, rt</t>
        </is>
      </c>
      <c r="H97" s="2" t="inlineStr"/>
      <c r="I97" s="2" t="inlineStr">
        <is>
          <t>N-methylbenzamide (NCCHARWOCKOHIH-UHFFFAOYSA-N)</t>
        </is>
      </c>
      <c r="J97" s="2" t="inlineStr">
        <is>
          <t>DCU (ADFXKUOMJKEIND-UHFFFAOYSA-N)</t>
        </is>
      </c>
      <c r="K97" s="2" t="inlineStr">
        <is>
          <t>F001 carboxylic acid + F002 amine (1°)</t>
        </is>
      </c>
      <c r="L97" s="2" t="inlineStr">
        <is>
          <t>F021 amide</t>
        </is>
      </c>
      <c r="M97" s="3" t="inlineStr">
        <is>
          <t>[C:1](=[O:2])[OH].[NX3;H2,H1;!$(NC=O):3]&gt;&gt;[C:1](=[O:2])[N:3]</t>
        </is>
      </c>
      <c r="N97" s="2" t="inlineStr"/>
      <c r="O97" s="2" t="inlineStr">
        <is>
          <t>DCC activates the acid (O-acylisourea); the amine attacks; DCU precipitates.</t>
        </is>
      </c>
      <c r="P97" s="2" t="inlineStr"/>
      <c r="Q97" s="2" t="inlineStr">
        <is>
          <t>RDKit: the SMARTS on the reaction's molecules gives the expected product; consumed fragments found in the starting materials and formed fragments in the products</t>
        </is>
      </c>
      <c r="R97" s="2" t="inlineStr">
        <is>
          <t>standard textbook reaction (Clayden, Organic Chemistry; Klein, Organic Chemistry)</t>
        </is>
      </c>
      <c r="S97" s="2" t="inlineStr"/>
      <c r="T97" s="2" t="inlineStr"/>
      <c r="U97" s="2" t="inlineStr"/>
      <c r="V97" s="2" t="inlineStr"/>
      <c r="W97" s="3" t="inlineStr"/>
      <c r="X97" s="3" t="inlineStr"/>
      <c r="Y97" s="3" t="inlineStr"/>
      <c r="Z97" s="3" t="inlineStr"/>
      <c r="AA97" s="2" t="n">
        <v>1</v>
      </c>
      <c r="AB97" t="inlineStr">
        <is>
          <t>none</t>
        </is>
      </c>
    </row>
    <row r="98">
      <c r="A98" s="2" t="inlineStr">
        <is>
          <t>R097</t>
        </is>
      </c>
      <c r="B98" s="3" t="inlineStr">
        <is>
          <t>CCOC(C)=O&gt;O=S(=O)(O)O&gt;CC(=O)O.CCO | cond=reflux, water</t>
        </is>
      </c>
      <c r="C98" s="2" t="inlineStr">
        <is>
          <t>Ester hydrolysis (acid)</t>
        </is>
      </c>
      <c r="D98" s="2" t="inlineStr">
        <is>
          <t>ethyl acetate (XEKOWRVHYACXOJ-UHFFFAOYSA-N)</t>
        </is>
      </c>
      <c r="E98" s="2" t="inlineStr"/>
      <c r="F98" s="2" t="inlineStr">
        <is>
          <t>H3O+ (QAOWNCQODCNURD-UHFFFAOYSA-N)</t>
        </is>
      </c>
      <c r="G98" s="2" t="inlineStr">
        <is>
          <t>dilute acid, excess water, reflux</t>
        </is>
      </c>
      <c r="H98" s="2" t="inlineStr">
        <is>
          <t>water, heat, dilute</t>
        </is>
      </c>
      <c r="I98" s="2" t="inlineStr">
        <is>
          <t>acetic acid (QTBSBXVTEAMEQO-UHFFFAOYSA-N); ethanol (LFQSCWFLJHTTHZ-UHFFFAOYSA-N)</t>
        </is>
      </c>
      <c r="J98" s="2" t="inlineStr"/>
      <c r="K98" s="2" t="inlineStr">
        <is>
          <t>F004 ester</t>
        </is>
      </c>
      <c r="L98" s="2" t="inlineStr">
        <is>
          <t>F001 carboxylic acid + F014 alcohol (on sp3 C)</t>
        </is>
      </c>
      <c r="M98" s="3" t="inlineStr">
        <is>
          <t>[C:1](=[O:2])[O:3][CX4:4]&gt;&gt;[C:1](=[O:2])O.[O:3][C:4]</t>
        </is>
      </c>
      <c r="N98" s="2" t="inlineStr"/>
      <c r="O98" s="2" t="inlineStr">
        <is>
          <t>The reverse of Fischer esterification: excess water pushes it to acid + alcohol.</t>
        </is>
      </c>
      <c r="P98" s="2" t="inlineStr"/>
      <c r="Q98" s="2" t="inlineStr">
        <is>
          <t>RDKit: the SMARTS on the reaction's molecules gives the expected product; consumed fragments found in the starting materials and formed fragments in the products</t>
        </is>
      </c>
      <c r="R98" s="2" t="inlineStr">
        <is>
          <t>standard textbook reaction (Clayden, Organic Chemistry; Klein, Organic Chemistry)</t>
        </is>
      </c>
      <c r="S98" s="2" t="inlineStr"/>
      <c r="T98" s="2" t="inlineStr"/>
      <c r="U98" s="2" t="inlineStr"/>
      <c r="V98" s="2" t="inlineStr"/>
      <c r="W98" s="3" t="inlineStr"/>
      <c r="X98" s="3" t="inlineStr"/>
      <c r="Y98" s="3" t="inlineStr"/>
      <c r="Z98" s="3" t="inlineStr"/>
      <c r="AA98" s="2" t="inlineStr">
        <is>
          <t>catalytic</t>
        </is>
      </c>
      <c r="AB98" t="inlineStr">
        <is>
          <t>none</t>
        </is>
      </c>
    </row>
    <row r="99">
      <c r="A99" s="2" t="inlineStr">
        <is>
          <t>R098</t>
        </is>
      </c>
      <c r="B99" s="3" t="inlineStr">
        <is>
          <t>COC(=O)c1ccccc1.CCO&gt;CC[O-].[Na+]&gt;CCOC(=O)c1ccccc1.CO | cond=ethanol, reflux</t>
        </is>
      </c>
      <c r="C99" s="2" t="inlineStr">
        <is>
          <t>Transesterification</t>
        </is>
      </c>
      <c r="D99" s="2" t="inlineStr">
        <is>
          <t>methyl benzoate (QPJVMBTYPHYUOC-UHFFFAOYSA-N)</t>
        </is>
      </c>
      <c r="E99" s="2" t="inlineStr">
        <is>
          <t>ethanol (LFQSCWFLJHTTHZ-UHFFFAOYSA-N)</t>
        </is>
      </c>
      <c r="F99" s="2" t="inlineStr">
        <is>
          <t>NaOEt (cat.) (QDRKDTQENPPHOJ-UHFFFAOYSA-N)</t>
        </is>
      </c>
      <c r="G99" s="2" t="inlineStr">
        <is>
          <t>ethanol (solvent, excess), NaOEt</t>
        </is>
      </c>
      <c r="H99" s="2" t="inlineStr"/>
      <c r="I99" s="2" t="inlineStr">
        <is>
          <t>ethyl benzoate (MTZQAGJQAFMTAQ-UHFFFAOYSA-N); methanol (OKKJLVBELUTLKV-UHFFFAOYSA-N)</t>
        </is>
      </c>
      <c r="J99" s="2" t="inlineStr"/>
      <c r="K99" s="2" t="inlineStr">
        <is>
          <t>F004 ester + F003 alcohol (1°)</t>
        </is>
      </c>
      <c r="L99" s="2" t="inlineStr">
        <is>
          <t>F004 ester + F014 alcohol (on sp3 C)</t>
        </is>
      </c>
      <c r="M99" s="3" t="inlineStr">
        <is>
          <t>[C:1](=[O:2])[O:3][CH3:4].[OH:5][CH2:6][CH3:7]&gt;&gt;[C:1](=[O:2])[O:5][C:6][C:7].[O:3][C:4]</t>
        </is>
      </c>
      <c r="N99" s="2" t="inlineStr"/>
      <c r="O99" s="2" t="inlineStr">
        <is>
          <t>Alkoxide exchange; the solvent alcohol in excess wins.</t>
        </is>
      </c>
      <c r="P99" s="2" t="inlineStr"/>
      <c r="Q99" s="2" t="inlineStr">
        <is>
          <t>RDKit: the SMARTS on the reaction's molecules gives the expected product; consumed fragments found in the starting materials and formed fragments in the products</t>
        </is>
      </c>
      <c r="R99" s="2" t="inlineStr">
        <is>
          <t>standard textbook reaction (Clayden, Organic Chemistry; Klein, Organic Chemistry)</t>
        </is>
      </c>
      <c r="S99" s="2" t="inlineStr"/>
      <c r="T99" s="2" t="inlineStr"/>
      <c r="U99" s="2" t="inlineStr"/>
      <c r="V99" s="2" t="inlineStr"/>
      <c r="W99" s="3" t="inlineStr"/>
      <c r="X99" s="3" t="inlineStr"/>
      <c r="Y99" s="3" t="inlineStr"/>
      <c r="Z99" s="3" t="inlineStr"/>
      <c r="AA99" s="2" t="inlineStr">
        <is>
          <t>catalytic</t>
        </is>
      </c>
      <c r="AB99" t="inlineStr">
        <is>
          <t>none</t>
        </is>
      </c>
    </row>
    <row r="100">
      <c r="A100" s="2" t="inlineStr">
        <is>
          <t>R099</t>
        </is>
      </c>
      <c r="B100" s="3" t="inlineStr">
        <is>
          <t>Oc1ccccc1.CI&gt;[Na+].[OH-]&gt;COc1ccccc1 | cond=room temperature, water</t>
        </is>
      </c>
      <c r="C100" s="2" t="inlineStr">
        <is>
          <t>Williamson ether synthesis of a phenol</t>
        </is>
      </c>
      <c r="D100" s="2" t="inlineStr">
        <is>
          <t>phenol (ISWSIDIOOBJBQZ-UHFFFAOYSA-N)</t>
        </is>
      </c>
      <c r="E100" s="2" t="inlineStr">
        <is>
          <t>iodomethane (INQOMBQAUSQDDS-UHFFFAOYSA-N)</t>
        </is>
      </c>
      <c r="F100" s="2" t="inlineStr">
        <is>
          <t>NaOH (HEMHJVSKTPXQMS-UHFFFAOYSA-M)</t>
        </is>
      </c>
      <c r="G100" s="2" t="inlineStr">
        <is>
          <t>NaOH (makes the phenoxide), MeI</t>
        </is>
      </c>
      <c r="H100" s="2" t="inlineStr"/>
      <c r="I100" s="2" t="inlineStr">
        <is>
          <t>anisole (RDOXTESZEPMUJZ-UHFFFAOYSA-N)</t>
        </is>
      </c>
      <c r="J100" s="2" t="inlineStr"/>
      <c r="K100" s="2" t="inlineStr">
        <is>
          <t>F028 phenol + F043 methyl halide</t>
        </is>
      </c>
      <c r="L100" s="2" t="inlineStr">
        <is>
          <t>none (C–C/C–H only)</t>
        </is>
      </c>
      <c r="M100" s="3" t="inlineStr">
        <is>
          <t>[c:1][OH:2].[CH3:3]I&gt;&gt;[c:1][O:2][C:3]</t>
        </is>
      </c>
      <c r="N100" s="2" t="inlineStr"/>
      <c r="O100" s="2" t="inlineStr">
        <is>
          <t>The phenoxide (phenol pKa 10, so NaOH is strong enough) attacks MeI by SN2: anisole.</t>
        </is>
      </c>
      <c r="P100" s="2" t="inlineStr"/>
      <c r="Q100" s="2" t="inlineStr">
        <is>
          <t>RDKit: the SMARTS on the reaction's molecules gives the expected product; consumed fragments found in the starting materials and formed fragments in the products</t>
        </is>
      </c>
      <c r="R100" s="2" t="inlineStr">
        <is>
          <t>standard textbook reaction (Clayden, Organic Chemistry; Klein, Organic Chemistry)</t>
        </is>
      </c>
      <c r="S100" s="2" t="inlineStr"/>
      <c r="T100" s="2" t="inlineStr"/>
      <c r="U100" s="2" t="inlineStr"/>
      <c r="V100" s="2" t="inlineStr"/>
      <c r="W100" s="3" t="inlineStr"/>
      <c r="X100" s="3" t="inlineStr"/>
      <c r="Y100" s="3" t="inlineStr"/>
      <c r="Z100" s="3" t="inlineStr"/>
      <c r="AA100" s="2" t="n">
        <v>1</v>
      </c>
      <c r="AB100" t="inlineStr">
        <is>
          <t>none</t>
        </is>
      </c>
    </row>
    <row r="101">
      <c r="A101" s="2" t="inlineStr">
        <is>
          <t>R100</t>
        </is>
      </c>
      <c r="B101" s="3" t="inlineStr">
        <is>
          <t>CC1CO1&gt;C[O-].[Na+]&gt;COCC(C)O | cond=methanol, room temperature</t>
        </is>
      </c>
      <c r="C101" s="2" t="inlineStr">
        <is>
          <t>Epoxide opening by methoxide (base)</t>
        </is>
      </c>
      <c r="D101" s="2" t="inlineStr">
        <is>
          <t>propylene oxide (GOOHAUXETOMSMM-UHFFFAOYSA-N)</t>
        </is>
      </c>
      <c r="E101" s="2" t="inlineStr"/>
      <c r="F101" s="2" t="inlineStr">
        <is>
          <t>NaOMe (WQDUMFSSJAZKTM-UHFFFAOYSA-N)</t>
        </is>
      </c>
      <c r="G101" s="2" t="inlineStr">
        <is>
          <t>NaOMe, MeOH</t>
        </is>
      </c>
      <c r="H101" s="2" t="inlineStr"/>
      <c r="I101" s="2" t="inlineStr">
        <is>
          <t>1-methoxy-2-propanol (ARXJGSRGQADJSQ-UHFFFAOYSA-N)</t>
        </is>
      </c>
      <c r="J101" s="2" t="inlineStr"/>
      <c r="K101" s="2" t="inlineStr">
        <is>
          <t>F023 epoxide</t>
        </is>
      </c>
      <c r="L101" s="2" t="inlineStr">
        <is>
          <t>F024 ether (dialkyl) + F015 alcohol (2°)</t>
        </is>
      </c>
      <c r="M101" s="3" t="inlineStr">
        <is>
          <t>[CH2:1]1[O:2][CH1:3]1&gt;&gt;CO[C:1][C:3][O:2]</t>
        </is>
      </c>
      <c r="N101" s="2" t="inlineStr"/>
      <c r="O101" s="2" t="inlineStr">
        <is>
          <t>Under base the nucleophile attacks the LESS hindered carbon (SN2); under acid, the more substituted one.</t>
        </is>
      </c>
      <c r="P101" s="2" t="inlineStr"/>
      <c r="Q101" s="2" t="inlineStr">
        <is>
          <t>RDKit: the SMARTS on the reaction's molecules gives the expected product; consumed fragments found in the starting materials and formed fragments in the products</t>
        </is>
      </c>
      <c r="R101" s="2" t="inlineStr">
        <is>
          <t>standard textbook reaction (Clayden, Organic Chemistry; Klein, Organic Chemistry)</t>
        </is>
      </c>
      <c r="S101" s="2" t="inlineStr"/>
      <c r="T101" s="2" t="inlineStr"/>
      <c r="U101" s="2" t="inlineStr"/>
      <c r="V101" s="2" t="inlineStr"/>
      <c r="W101" s="3" t="inlineStr"/>
      <c r="X101" s="3" t="inlineStr"/>
      <c r="Y101" s="3" t="inlineStr"/>
      <c r="Z101" s="3" t="inlineStr"/>
      <c r="AA101" s="2" t="n">
        <v>1</v>
      </c>
      <c r="AB101" t="inlineStr">
        <is>
          <t>none</t>
        </is>
      </c>
    </row>
    <row r="102">
      <c r="A102" s="2" t="inlineStr">
        <is>
          <t>R101</t>
        </is>
      </c>
      <c r="B102" s="3" t="inlineStr">
        <is>
          <t>C/C=C/C&gt;O=[O+][O-].OO&gt;CC(=O)O.CC(=O)O | cond=-78 C, dichloromethane</t>
        </is>
      </c>
      <c r="C102" s="2" t="inlineStr">
        <is>
          <t>Ozonolysis (oxidative work-up)</t>
        </is>
      </c>
      <c r="D102" s="2" t="inlineStr">
        <is>
          <t>trans-2-butene (IAQRGUVFOMOMEM-ONEGZZNKSA-N)</t>
        </is>
      </c>
      <c r="E102" s="2" t="inlineStr"/>
      <c r="F102" s="2" t="inlineStr">
        <is>
          <t>1) O3; 2) H2O2 (ARYKTOJCZLAFIS-UHFFFAOYSA-N)</t>
        </is>
      </c>
      <c r="G102" s="2" t="inlineStr">
        <is>
          <t>O3, -78 °C; then H2O2</t>
        </is>
      </c>
      <c r="H102" s="2" t="inlineStr">
        <is>
          <t>&lt;= -50 °C</t>
        </is>
      </c>
      <c r="I102" s="2" t="inlineStr">
        <is>
          <t>acetic acid (QTBSBXVTEAMEQO-UHFFFAOYSA-N); acetic acid (QTBSBXVTEAMEQO-UHFFFAOYSA-N)</t>
        </is>
      </c>
      <c r="J102" s="2" t="inlineStr"/>
      <c r="K102" s="2" t="inlineStr">
        <is>
          <t>F005 alkene (C=C)</t>
        </is>
      </c>
      <c r="L102" s="2" t="inlineStr">
        <is>
          <t>F001 carboxylic acid</t>
        </is>
      </c>
      <c r="M102" s="3" t="inlineStr">
        <is>
          <t>[CH1:1]=[CH1:2]&gt;&gt;[C:1](=O)O.[C:2](=O)O</t>
        </is>
      </c>
      <c r="N102" s="2" t="inlineStr"/>
      <c r="O102" s="2" t="inlineStr">
        <is>
          <t>H2O2 oxidises the aldehydes formed to carboxylic acids.</t>
        </is>
      </c>
      <c r="P102" s="2" t="inlineStr"/>
      <c r="Q102" s="2" t="inlineStr">
        <is>
          <t>RDKit: the SMARTS on the reaction's molecules gives the expected product; consumed fragments found in the starting materials and formed fragments in the products</t>
        </is>
      </c>
      <c r="R102" s="2" t="inlineStr">
        <is>
          <t>standard textbook reaction (Clayden, Organic Chemistry; Klein, Organic Chemistry)</t>
        </is>
      </c>
      <c r="S102" s="2" t="inlineStr"/>
      <c r="T102" s="2" t="inlineStr"/>
      <c r="U102" s="2" t="inlineStr"/>
      <c r="V102" s="2" t="inlineStr"/>
      <c r="W102" s="3" t="inlineStr"/>
      <c r="X102" s="3" t="inlineStr"/>
      <c r="Y102" s="3" t="inlineStr"/>
      <c r="Z102" s="3" t="inlineStr"/>
      <c r="AA102" s="2" t="n">
        <v>1</v>
      </c>
      <c r="AB102" t="inlineStr">
        <is>
          <t>none</t>
        </is>
      </c>
    </row>
    <row r="103">
      <c r="A103" s="2" t="inlineStr">
        <is>
          <t>R102</t>
        </is>
      </c>
      <c r="B103" s="3" t="inlineStr">
        <is>
          <t>CC(Br)C(C)Br&gt;[NH2-].[Na+]&gt;CC#CC | cond=2 equiv, NH3</t>
        </is>
      </c>
      <c r="C103" s="2" t="inlineStr">
        <is>
          <t>Double dehydrohalogenation to alkyne</t>
        </is>
      </c>
      <c r="D103" s="2" t="inlineStr">
        <is>
          <t>2,3-dibromobutane (BXXWFOGWXLJPPA-UHFFFAOYSA-N)</t>
        </is>
      </c>
      <c r="E103" s="2" t="inlineStr"/>
      <c r="F103" s="2" t="inlineStr">
        <is>
          <t>NaNH2 (2 equiv) (ODZPKZBBUMBTMG-UHFFFAOYSA-N)</t>
        </is>
      </c>
      <c r="G103" s="2" t="inlineStr">
        <is>
          <t>NaNH2 (2 equiv), liquid NH3</t>
        </is>
      </c>
      <c r="H103" s="2" t="inlineStr"/>
      <c r="I103" s="2" t="inlineStr">
        <is>
          <t>2-butyne (XNMQEEKYCVKGBD-UHFFFAOYSA-N)</t>
        </is>
      </c>
      <c r="J103" s="2" t="inlineStr"/>
      <c r="K103" s="2" t="inlineStr">
        <is>
          <t>F032 vicinal dibromide</t>
        </is>
      </c>
      <c r="L103" s="2" t="inlineStr">
        <is>
          <t>F007 alkyne (C≡C)</t>
        </is>
      </c>
      <c r="M103" s="3" t="inlineStr">
        <is>
          <t>[CH1:1](Br)[CH1:2]Br&gt;&gt;[C:1]#[C:2]</t>
        </is>
      </c>
      <c r="N103" s="2" t="inlineStr"/>
      <c r="O103" s="2" t="inlineStr">
        <is>
          <t>Two E2 eliminations: vicinal dibromide to alkyne.</t>
        </is>
      </c>
      <c r="P103" s="2" t="inlineStr"/>
      <c r="Q103" s="2" t="inlineStr">
        <is>
          <t>RDKit: the SMARTS on the reaction's molecules gives the expected product; consumed fragments found in the starting materials and formed fragments in the products</t>
        </is>
      </c>
      <c r="R103" s="2" t="inlineStr">
        <is>
          <t>standard textbook reaction (Clayden, Organic Chemistry; Klein, Organic Chemistry)</t>
        </is>
      </c>
      <c r="S103" s="2" t="inlineStr"/>
      <c r="T103" s="2" t="inlineStr"/>
      <c r="U103" s="2" t="inlineStr"/>
      <c r="V103" s="2" t="inlineStr"/>
      <c r="W103" s="3" t="inlineStr"/>
      <c r="X103" s="3" t="inlineStr"/>
      <c r="Y103" s="3" t="inlineStr"/>
      <c r="Z103" s="3" t="inlineStr"/>
      <c r="AA103" s="2" t="n">
        <v>2</v>
      </c>
      <c r="AB103" t="inlineStr">
        <is>
          <t>none</t>
        </is>
      </c>
    </row>
  </sheetData>
  <autoFilter ref="A1:AA10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26" customWidth="1" min="3" max="3"/>
    <col width="34" customWidth="1" min="4" max="4"/>
    <col width="40" customWidth="1" min="5" max="5"/>
    <col width="14" customWidth="1" min="6" max="6"/>
    <col width="14" customWidth="1" min="7" max="7"/>
    <col width="26" customWidth="1" min="8" max="8"/>
    <col width="9" customWidth="1" min="9" max="9"/>
    <col width="30" customWidth="1" min="10" max="10"/>
    <col width="10" customWidth="1" min="11" max="11"/>
    <col width="13" customWidth="1" min="12" max="12"/>
    <col width="12" customWidth="1" min="13" max="13"/>
    <col width="22" customWidth="1" min="14" max="14"/>
    <col width="12" customWidth="1" min="15" max="15"/>
    <col width="14" customWidth="1" min="16" max="16"/>
    <col width="34" customWidth="1" min="17" max="17"/>
    <col width="60" customWidth="1" min="18" max="18"/>
    <col width="44" customWidth="1" min="19" max="19"/>
    <col width="30" customWidth="1" min="20" max="20"/>
  </cols>
  <sheetData>
    <row r="1" ht="30" customHeight="1">
      <c r="A1" s="1" t="inlineStr">
        <is>
          <t>Reaction ID</t>
        </is>
      </c>
      <c r="B1" s="1" t="inlineStr">
        <is>
          <t>Step</t>
        </is>
      </c>
      <c r="C1" s="1" t="inlineStr">
        <is>
          <t>Step type</t>
        </is>
      </c>
      <c r="D1" s="1" t="inlineStr">
        <is>
          <t>Electrons from (source)</t>
        </is>
      </c>
      <c r="E1" s="1" t="inlineStr">
        <is>
          <t>Electrons to (sink)</t>
        </is>
      </c>
      <c r="F1" s="1" t="inlineStr">
        <is>
          <t>Bond made</t>
        </is>
      </c>
      <c r="G1" s="1" t="inlineStr">
        <is>
          <t>Bond broken</t>
        </is>
      </c>
      <c r="H1" s="1" t="inlineStr">
        <is>
          <t>Proton donor (acid)</t>
        </is>
      </c>
      <c r="I1" s="1" t="inlineStr">
        <is>
          <t>Donor pKa</t>
        </is>
      </c>
      <c r="J1" s="1" t="inlineStr">
        <is>
          <t>Acid formed</t>
        </is>
      </c>
      <c r="K1" s="1" t="inlineStr">
        <is>
          <t>Acid formed pKa</t>
        </is>
      </c>
      <c r="L1" s="1" t="inlineStr">
        <is>
          <t>ΔpKa (acid formed − donor)</t>
        </is>
      </c>
      <c r="M1" s="1" t="inlineStr">
        <is>
          <t>K ≈ 10^ΔpKa</t>
        </is>
      </c>
      <c r="N1" s="1" t="inlineStr">
        <is>
          <t>Direction</t>
        </is>
      </c>
      <c r="O1" s="1" t="inlineStr">
        <is>
          <t>Leaving group</t>
        </is>
      </c>
      <c r="P1" s="1" t="inlineStr">
        <is>
          <t>Leaving group: pKa of its conjugate acid</t>
        </is>
      </c>
      <c r="Q1" s="1" t="inlineStr">
        <is>
          <t>Intermediate / product after the step (SMILES)</t>
        </is>
      </c>
      <c r="R1" s="1" t="inlineStr">
        <is>
          <t>Notes</t>
        </is>
      </c>
      <c r="S1" s="1" t="inlineStr">
        <is>
          <t>Structure the arrows act on (atom-mapped SMILES, start of the step)</t>
        </is>
      </c>
      <c r="T1" s="1" t="inlineStr">
        <is>
          <t>Arrows (a&gt;b: lone pair on atom a to atom b; a-b&gt;c: bond a–b electrons to atom c; a-b&gt;c-d: to a new c–d bond; ~ = one electron)</t>
        </is>
      </c>
    </row>
    <row r="2">
      <c r="A2" s="2" t="inlineStr">
        <is>
          <t>R001</t>
        </is>
      </c>
      <c r="B2" s="2" t="n">
        <v>1</v>
      </c>
      <c r="C2" s="2" t="inlineStr">
        <is>
          <t>proton transfer (protonate the C=O)</t>
        </is>
      </c>
      <c r="D2" s="2" t="inlineStr">
        <is>
          <t>lone pair on the acid's carbonyl O (atom 2)</t>
        </is>
      </c>
      <c r="E2" s="2" t="inlineStr">
        <is>
          <t>an H of H2SO4; that H–O bond's electrons go to its O (HSO4⁻ forms)</t>
        </is>
      </c>
      <c r="F2" s="2" t="inlineStr">
        <is>
          <t>O2–H</t>
        </is>
      </c>
      <c r="G2" s="2" t="inlineStr">
        <is>
          <t>H–OSO3H</t>
        </is>
      </c>
      <c r="H2" s="2" t="inlineStr">
        <is>
          <t>H2SO4</t>
        </is>
      </c>
      <c r="I2" s="2" t="n">
        <v>-3</v>
      </c>
      <c r="J2" s="2" t="inlineStr">
        <is>
          <t>protonated acetic acid (C=OH⁺)</t>
        </is>
      </c>
      <c r="K2" s="2" t="n">
        <v>-6</v>
      </c>
      <c r="L2" s="2">
        <f>IF(AND(ISNUMBER(I2),ISNUMBER(K2)),K2-I2,"")</f>
        <v/>
      </c>
      <c r="M2" s="4">
        <f>IF(ISNUMBER(L2),10^L2,"")</f>
        <v/>
      </c>
      <c r="N2" s="2">
        <f>IF(ISNUMBER(L2),IF(L2&gt;=0,"downhill (favoured)","uphill (small amount)"),"")</f>
        <v/>
      </c>
      <c r="O2" s="2" t="n"/>
      <c r="P2" s="2" t="n"/>
      <c r="Q2" s="3" t="inlineStr">
        <is>
          <t>CC(O)=[OH+].O=S(=O)([O-])O</t>
        </is>
      </c>
      <c r="R2" s="2" t="inlineStr">
        <is>
          <t>The C=O is protonated, not the OH: that cation is shared over both O (resonance). It makes the carbonyl C far more electrophilic. Uphill: only a small fraction is protonated at any moment, which is enough for a catalyst.</t>
        </is>
      </c>
      <c r="S2" s="3" t="inlineStr">
        <is>
          <t>CC(O)=[O:1].O=S(=O)(O)[O:3][H:2]</t>
        </is>
      </c>
      <c r="T2" s="3" t="inlineStr">
        <is>
          <t>1&gt;2; 2-3&gt;3</t>
        </is>
      </c>
    </row>
    <row r="3">
      <c r="A3" s="2" t="inlineStr">
        <is>
          <t>R001</t>
        </is>
      </c>
      <c r="B3" s="2" t="n">
        <v>2</v>
      </c>
      <c r="C3" s="2" t="inlineStr">
        <is>
          <t>nucleophilic addition</t>
        </is>
      </c>
      <c r="D3" s="2" t="inlineStr">
        <is>
          <t>lone pair on ethanol's O (atom 3)</t>
        </is>
      </c>
      <c r="E3" s="2" t="inlineStr">
        <is>
          <t>the carbonyl C (atom 1); the C=O π electrons go up onto O2 (now an OH)</t>
        </is>
      </c>
      <c r="F3" s="2" t="inlineStr">
        <is>
          <t>O3–C1</t>
        </is>
      </c>
      <c r="G3" s="2" t="inlineStr">
        <is>
          <t>C1=O2 (π)</t>
        </is>
      </c>
      <c r="H3" s="2" t="n"/>
      <c r="I3" s="2" t="n"/>
      <c r="J3" s="2" t="n"/>
      <c r="K3" s="2" t="n"/>
      <c r="L3" s="2">
        <f>IF(AND(ISNUMBER(I3),ISNUMBER(K3)),K3-I3,"")</f>
        <v/>
      </c>
      <c r="M3" s="4">
        <f>IF(ISNUMBER(L3),10^L3,"")</f>
        <v/>
      </c>
      <c r="N3" s="2">
        <f>IF(ISNUMBER(L3),IF(L3&gt;=0,"downhill (favoured)","uphill (small amount)"),"")</f>
        <v/>
      </c>
      <c r="O3" s="2" t="n"/>
      <c r="P3" s="2" t="n"/>
      <c r="Q3" s="3" t="inlineStr">
        <is>
          <t>CC[OH+]C(C)(O)O</t>
        </is>
      </c>
      <c r="R3" s="2" t="inlineStr">
        <is>
          <t>Tetrahedral intermediate. Ethanol is a weak nucleophile; it adds only because step 1 made the carbonyl C so electron-poor.</t>
        </is>
      </c>
      <c r="S3" s="3" t="inlineStr">
        <is>
          <t>C[C:1](O)=[OH+:2].[OH:3]CC</t>
        </is>
      </c>
      <c r="T3" s="3" t="inlineStr">
        <is>
          <t>3&gt;1; 1-2&gt;2</t>
        </is>
      </c>
    </row>
    <row r="4">
      <c r="A4" s="2" t="inlineStr">
        <is>
          <t>R001</t>
        </is>
      </c>
      <c r="B4" s="2" t="n">
        <v>3</v>
      </c>
      <c r="C4" s="2" t="inlineStr">
        <is>
          <t>proton transfer (move H⁺ to an OH)</t>
        </is>
      </c>
      <c r="D4" s="2" t="inlineStr">
        <is>
          <t>lone pair on one OH oxygen of the intermediate</t>
        </is>
      </c>
      <c r="E4" s="2" t="inlineStr">
        <is>
          <t>the H on the ethyl O⁺ (atom 3); that O–H bond's electrons stay on O3</t>
        </is>
      </c>
      <c r="F4" s="2" t="inlineStr">
        <is>
          <t>O–H (on the OH that will leave)</t>
        </is>
      </c>
      <c r="G4" s="2" t="inlineStr">
        <is>
          <t>O3–H</t>
        </is>
      </c>
      <c r="H4" s="2" t="inlineStr">
        <is>
          <t>the ethyl oxonium O–H⁺ (like a protonated ether)</t>
        </is>
      </c>
      <c r="I4" s="2" t="n">
        <v>-3.5</v>
      </c>
      <c r="J4" s="2" t="inlineStr">
        <is>
          <t>the protonated OH (R–OH2⁺, like a protonated alcohol)</t>
        </is>
      </c>
      <c r="K4" s="2" t="n">
        <v>-2</v>
      </c>
      <c r="L4" s="2">
        <f>IF(AND(ISNUMBER(I4),ISNUMBER(K4)),K4-I4,"")</f>
        <v/>
      </c>
      <c r="M4" s="4">
        <f>IF(ISNUMBER(L4),10^L4,"")</f>
        <v/>
      </c>
      <c r="N4" s="2">
        <f>IF(ISNUMBER(L4),IF(L4&gt;=0,"downhill (favoured)","uphill (small amount)"),"")</f>
        <v/>
      </c>
      <c r="O4" s="2" t="n"/>
      <c r="P4" s="2" t="n"/>
      <c r="Q4" s="3" t="inlineStr">
        <is>
          <t>CCOC(C)(O)[OH2+]</t>
        </is>
      </c>
      <c r="R4" s="2" t="inlineStr">
        <is>
          <t>Shuttled through ethanol/water rather than in one jump. It turns a poor leaving group (OH⁻) into a good one (water).</t>
        </is>
      </c>
      <c r="S4" s="3" t="inlineStr">
        <is>
          <t>CC[O+:1]([H:2])C(C)(O)[OH:3]</t>
        </is>
      </c>
      <c r="T4" s="3" t="inlineStr">
        <is>
          <t>3&gt;2; 2-1&gt;1</t>
        </is>
      </c>
    </row>
    <row r="5">
      <c r="A5" s="2" t="inlineStr">
        <is>
          <t>R001</t>
        </is>
      </c>
      <c r="B5" s="2" t="n">
        <v>4</v>
      </c>
      <c r="C5" s="2" t="inlineStr">
        <is>
          <t>elimination (loss of water)</t>
        </is>
      </c>
      <c r="D5" s="2" t="inlineStr">
        <is>
          <t>lone pair on the remaining OH (atom 2)</t>
        </is>
      </c>
      <c r="E5" s="2" t="inlineStr">
        <is>
          <t>down between O2 and C1 to make C=O⁺; the C–OH2⁺ bond's electrons leave with the O as water</t>
        </is>
      </c>
      <c r="F5" s="2" t="inlineStr">
        <is>
          <t>C1=O2 (π)</t>
        </is>
      </c>
      <c r="G5" s="2" t="inlineStr">
        <is>
          <t>C1–OH2⁺</t>
        </is>
      </c>
      <c r="H5" s="2" t="n"/>
      <c r="I5" s="2" t="n"/>
      <c r="J5" s="2" t="n"/>
      <c r="K5" s="2" t="n"/>
      <c r="L5" s="2">
        <f>IF(AND(ISNUMBER(I5),ISNUMBER(K5)),K5-I5,"")</f>
        <v/>
      </c>
      <c r="M5" s="4">
        <f>IF(ISNUMBER(L5),10^L5,"")</f>
        <v/>
      </c>
      <c r="N5" s="2">
        <f>IF(ISNUMBER(L5),IF(L5&gt;=0,"downhill (favoured)","uphill (small amount)"),"")</f>
        <v/>
      </c>
      <c r="O5" s="2" t="inlineStr">
        <is>
          <t>water</t>
        </is>
      </c>
      <c r="P5" s="2" t="n">
        <v>-1.7</v>
      </c>
      <c r="Q5" s="3" t="inlineStr">
        <is>
          <t>CCOC(C)=[OH+].O</t>
        </is>
      </c>
      <c r="R5" s="2" t="inlineStr">
        <is>
          <t>Water leaves easily because its conjugate acid (H3O⁺, pKa −1.7) is strong: a low pKa of the conjugate acid means a weak base, which means a good leaving group. Heat and removing water push this step forward.</t>
        </is>
      </c>
      <c r="S5" s="3" t="inlineStr">
        <is>
          <t>CCO[C:2](C)([OH:3])[OH2+:4]</t>
        </is>
      </c>
      <c r="T5" s="3" t="inlineStr">
        <is>
          <t>3&gt;2-3; 2-4&gt;4</t>
        </is>
      </c>
    </row>
    <row r="6">
      <c r="A6" s="2" t="inlineStr">
        <is>
          <t>R001</t>
        </is>
      </c>
      <c r="B6" s="2" t="n">
        <v>5</v>
      </c>
      <c r="C6" s="2" t="inlineStr">
        <is>
          <t>proton transfer (deprotonate, regenerate the catalyst)</t>
        </is>
      </c>
      <c r="D6" s="2" t="inlineStr">
        <is>
          <t>lone pair on an O of HSO4⁻</t>
        </is>
      </c>
      <c r="E6" s="2" t="inlineStr">
        <is>
          <t>the H on the ester's C=O⁺; that O–H bond's electrons go back to the C=O</t>
        </is>
      </c>
      <c r="F6" s="2" t="inlineStr">
        <is>
          <t>H–OSO3⁻</t>
        </is>
      </c>
      <c r="G6" s="2" t="inlineStr">
        <is>
          <t>O2–H</t>
        </is>
      </c>
      <c r="H6" s="2" t="inlineStr">
        <is>
          <t>protonated ethyl acetate (C=OH⁺)</t>
        </is>
      </c>
      <c r="I6" s="2" t="n">
        <v>-6.5</v>
      </c>
      <c r="J6" s="2" t="inlineStr">
        <is>
          <t>H2SO4</t>
        </is>
      </c>
      <c r="K6" s="2" t="n">
        <v>-3</v>
      </c>
      <c r="L6" s="2">
        <f>IF(AND(ISNUMBER(I6),ISNUMBER(K6)),K6-I6,"")</f>
        <v/>
      </c>
      <c r="M6" s="4">
        <f>IF(ISNUMBER(L6),10^L6,"")</f>
        <v/>
      </c>
      <c r="N6" s="2">
        <f>IF(ISNUMBER(L6),IF(L6&gt;=0,"downhill (favoured)","uphill (small amount)"),"")</f>
        <v/>
      </c>
      <c r="O6" s="2" t="n"/>
      <c r="P6" s="2" t="n"/>
      <c r="Q6" s="3" t="inlineStr">
        <is>
          <t>CCOC(C)=O.O=S(=O)(O)O</t>
        </is>
      </c>
      <c r="R6" s="2" t="inlineStr">
        <is>
          <t>Product: ethyl acetate. H2SO4 is given back, so it is a catalyst (consumed in step 1, regenerated here).</t>
        </is>
      </c>
      <c r="S6" s="3" t="inlineStr">
        <is>
          <t>CCOC(C)=[O+:1][H:2].[O-:3]S(=O)(=O)O</t>
        </is>
      </c>
      <c r="T6" s="3" t="inlineStr">
        <is>
          <t>3&gt;2; 2-1&gt;1</t>
        </is>
      </c>
    </row>
    <row r="7">
      <c r="A7" s="2" t="inlineStr">
        <is>
          <t>R002</t>
        </is>
      </c>
      <c r="B7" s="2" t="n">
        <v>1</v>
      </c>
      <c r="C7" s="2" t="inlineStr">
        <is>
          <t>electrophilic addition (bromonium ion)</t>
        </is>
      </c>
      <c r="D7" s="2" t="inlineStr">
        <is>
          <t>the C=C π electrons</t>
        </is>
      </c>
      <c r="E7" s="2" t="inlineStr">
        <is>
          <t>the near Br of Br2; the Br–Br bond's electrons go to the far Br (Br⁻)</t>
        </is>
      </c>
      <c r="F7" s="2" t="inlineStr">
        <is>
          <t>C–Br (both C, bridged)</t>
        </is>
      </c>
      <c r="G7" s="2" t="inlineStr">
        <is>
          <t>Br–Br</t>
        </is>
      </c>
      <c r="H7" s="2" t="n"/>
      <c r="I7" s="2" t="n"/>
      <c r="J7" s="2" t="n"/>
      <c r="K7" s="2" t="n"/>
      <c r="L7" s="2">
        <f>IF(AND(ISNUMBER(I7),ISNUMBER(K7)),K7-I7,"")</f>
        <v/>
      </c>
      <c r="M7" s="4">
        <f>IF(ISNUMBER(L7),10^L7,"")</f>
        <v/>
      </c>
      <c r="N7" s="2">
        <f>IF(ISNUMBER(L7),IF(L7&gt;=0,"downhill (favoured)","uphill (small amount)"),"")</f>
        <v/>
      </c>
      <c r="O7" s="2" t="inlineStr">
        <is>
          <t>bromide</t>
        </is>
      </c>
      <c r="P7" s="2" t="n">
        <v>-9</v>
      </c>
      <c r="Q7" s="3" t="inlineStr">
        <is>
          <t>CC1(C)C[Br+]1.[Br-]</t>
        </is>
      </c>
      <c r="R7" s="2" t="inlineStr">
        <is>
          <t>A bridged bromonium ion: no free carbocation, so no rearrangement.</t>
        </is>
      </c>
      <c r="S7" s="3" t="inlineStr">
        <is>
          <t>C[C:1](C)=[CH2:2].[Br:3][Br:4]</t>
        </is>
      </c>
      <c r="T7" s="3" t="inlineStr">
        <is>
          <t>1-2&gt;2-3; 3&gt;1; 3-4&gt;4</t>
        </is>
      </c>
    </row>
    <row r="8">
      <c r="A8" s="2" t="inlineStr">
        <is>
          <t>R002</t>
        </is>
      </c>
      <c r="B8" s="2" t="n">
        <v>2</v>
      </c>
      <c r="C8" s="2" t="inlineStr">
        <is>
          <t>nucleophilic ring opening</t>
        </is>
      </c>
      <c r="D8" s="2" t="inlineStr">
        <is>
          <t>a lone pair on water's O (the solvent, far more of it than Br⁻)</t>
        </is>
      </c>
      <c r="E8" s="2" t="inlineStr">
        <is>
          <t>the more substituted ring C, from the back; the C–Br⁺ bond's electrons go to Br</t>
        </is>
      </c>
      <c r="F8" s="2" t="inlineStr">
        <is>
          <t>O–C (3° C)</t>
        </is>
      </c>
      <c r="G8" s="2" t="inlineStr">
        <is>
          <t>C–Br⁺ (3° side)</t>
        </is>
      </c>
      <c r="H8" s="2" t="n"/>
      <c r="I8" s="2" t="n"/>
      <c r="J8" s="2" t="n"/>
      <c r="K8" s="2" t="n"/>
      <c r="L8" s="2">
        <f>IF(AND(ISNUMBER(I8),ISNUMBER(K8)),K8-I8,"")</f>
        <v/>
      </c>
      <c r="M8" s="4">
        <f>IF(ISNUMBER(L8),10^L8,"")</f>
        <v/>
      </c>
      <c r="N8" s="2">
        <f>IF(ISNUMBER(L8),IF(L8&gt;=0,"downhill (favoured)","uphill (small amount)"),"")</f>
        <v/>
      </c>
      <c r="O8" s="2" t="n"/>
      <c r="P8" s="2" t="n"/>
      <c r="Q8" s="3" t="inlineStr">
        <is>
          <t>CC(C)([OH2+])CBr</t>
        </is>
      </c>
      <c r="R8" s="2" t="inlineStr">
        <is>
          <t>Markovnikov: the 3° C carries more of the positive charge, so water attacks there; anti addition.</t>
        </is>
      </c>
      <c r="S8" s="3" t="inlineStr">
        <is>
          <t>C[C:1]1(C)C[Br+:2]1.[OH2:3]</t>
        </is>
      </c>
      <c r="T8" s="3" t="inlineStr">
        <is>
          <t>3&gt;1; 1-2&gt;2</t>
        </is>
      </c>
    </row>
    <row r="9">
      <c r="A9" s="2" t="inlineStr">
        <is>
          <t>R002</t>
        </is>
      </c>
      <c r="B9" s="2" t="n">
        <v>3</v>
      </c>
      <c r="C9" s="2" t="inlineStr">
        <is>
          <t>proton transfer</t>
        </is>
      </c>
      <c r="D9" s="2" t="inlineStr">
        <is>
          <t>a lone pair on another water</t>
        </is>
      </c>
      <c r="E9" s="2" t="inlineStr">
        <is>
          <t>the H on the oxonium O</t>
        </is>
      </c>
      <c r="F9" s="2" t="inlineStr">
        <is>
          <t>H–OH2⁺</t>
        </is>
      </c>
      <c r="G9" s="2" t="inlineStr">
        <is>
          <t>O–H</t>
        </is>
      </c>
      <c r="H9" s="2" t="inlineStr">
        <is>
          <t>the oxonium (R–OH2⁺)</t>
        </is>
      </c>
      <c r="I9" s="2" t="n">
        <v>-2</v>
      </c>
      <c r="J9" s="2" t="inlineStr">
        <is>
          <t>H3O⁺</t>
        </is>
      </c>
      <c r="K9" s="2" t="n">
        <v>-1.7</v>
      </c>
      <c r="L9" s="2">
        <f>IF(AND(ISNUMBER(I9),ISNUMBER(K9)),K9-I9,"")</f>
        <v/>
      </c>
      <c r="M9" s="4">
        <f>IF(ISNUMBER(L9),10^L9,"")</f>
        <v/>
      </c>
      <c r="N9" s="2">
        <f>IF(ISNUMBER(L9),IF(L9&gt;=0,"downhill (favoured)","uphill (small amount)"),"")</f>
        <v/>
      </c>
      <c r="O9" s="2" t="n"/>
      <c r="P9" s="2" t="n"/>
      <c r="Q9" s="3" t="inlineStr">
        <is>
          <t>CC(C)(O)CBr.[OH3+]</t>
        </is>
      </c>
      <c r="R9" s="2" t="inlineStr">
        <is>
          <t>Neutral bromohydrin; the H⁺ ends up as H3O⁺ (HBr overall).</t>
        </is>
      </c>
      <c r="S9" s="3" t="inlineStr">
        <is>
          <t>CC(C)([O+:1]([H:2])[H])CBr.[OH2:3]</t>
        </is>
      </c>
      <c r="T9" s="3" t="inlineStr">
        <is>
          <t>3&gt;2; 2-1&gt;1</t>
        </is>
      </c>
    </row>
    <row r="10">
      <c r="A10" s="2" t="inlineStr">
        <is>
          <t>R003</t>
        </is>
      </c>
      <c r="B10" s="2" t="n">
        <v>1</v>
      </c>
      <c r="C10" s="2" t="inlineStr">
        <is>
          <t>electrophilic addition (bromonium ion)</t>
        </is>
      </c>
      <c r="D10" s="2" t="inlineStr">
        <is>
          <t>the C=C π electrons</t>
        </is>
      </c>
      <c r="E10" s="2" t="inlineStr">
        <is>
          <t>the near Br of Br2; the Br–Br bond's electrons go to the far Br (Br⁻)</t>
        </is>
      </c>
      <c r="F10" s="2" t="inlineStr">
        <is>
          <t>C–Br (bridged)</t>
        </is>
      </c>
      <c r="G10" s="2" t="inlineStr">
        <is>
          <t>Br–Br</t>
        </is>
      </c>
      <c r="H10" s="2" t="n"/>
      <c r="I10" s="2" t="n"/>
      <c r="J10" s="2" t="n"/>
      <c r="K10" s="2" t="n"/>
      <c r="L10" s="2">
        <f>IF(AND(ISNUMBER(I10),ISNUMBER(K10)),K10-I10,"")</f>
        <v/>
      </c>
      <c r="M10" s="4">
        <f>IF(ISNUMBER(L10),10^L10,"")</f>
        <v/>
      </c>
      <c r="N10" s="2">
        <f>IF(ISNUMBER(L10),IF(L10&gt;=0,"downhill (favoured)","uphill (small amount)"),"")</f>
        <v/>
      </c>
      <c r="O10" s="2" t="inlineStr">
        <is>
          <t>bromide</t>
        </is>
      </c>
      <c r="P10" s="2" t="n">
        <v>-9</v>
      </c>
      <c r="Q10" s="3" t="inlineStr">
        <is>
          <t>C1CCC2[Br+]C2C1.[Br-]</t>
        </is>
      </c>
      <c r="R10" s="2" t="inlineStr">
        <is>
          <t>The bridged ion blocks one face of the ring.</t>
        </is>
      </c>
      <c r="S10" s="3" t="inlineStr">
        <is>
          <t>[CH:1]1=[CH:2]CCCC1.[Br:3][Br:4]</t>
        </is>
      </c>
      <c r="T10" s="3" t="inlineStr">
        <is>
          <t>1-2&gt;2-3; 3&gt;1; 3-4&gt;4</t>
        </is>
      </c>
    </row>
    <row r="11">
      <c r="A11" s="2" t="inlineStr">
        <is>
          <t>R003</t>
        </is>
      </c>
      <c r="B11" s="2" t="n">
        <v>2</v>
      </c>
      <c r="C11" s="2" t="inlineStr">
        <is>
          <t>SN2 ring opening</t>
        </is>
      </c>
      <c r="D11" s="2" t="inlineStr">
        <is>
          <t>a lone pair on Br⁻</t>
        </is>
      </c>
      <c r="E11" s="2" t="inlineStr">
        <is>
          <t>a bromonium C from the back face; the C–Br⁺ bond's electrons go to Br</t>
        </is>
      </c>
      <c r="F11" s="2" t="inlineStr">
        <is>
          <t>C–Br (second)</t>
        </is>
      </c>
      <c r="G11" s="2" t="inlineStr">
        <is>
          <t>C–Br⁺</t>
        </is>
      </c>
      <c r="H11" s="2" t="n"/>
      <c r="I11" s="2" t="n"/>
      <c r="J11" s="2" t="n"/>
      <c r="K11" s="2" t="n"/>
      <c r="L11" s="2">
        <f>IF(AND(ISNUMBER(I11),ISNUMBER(K11)),K11-I11,"")</f>
        <v/>
      </c>
      <c r="M11" s="4">
        <f>IF(ISNUMBER(L11),10^L11,"")</f>
        <v/>
      </c>
      <c r="N11" s="2">
        <f>IF(ISNUMBER(L11),IF(L11&gt;=0,"downhill (favoured)","uphill (small amount)"),"")</f>
        <v/>
      </c>
      <c r="O11" s="2" t="n"/>
      <c r="P11" s="2" t="n"/>
      <c r="Q11" s="3" t="inlineStr">
        <is>
          <t>BrC1CCCCC1Br</t>
        </is>
      </c>
      <c r="R11" s="2" t="inlineStr">
        <is>
          <t>Backside attack makes the two Br trans (anti addition).</t>
        </is>
      </c>
      <c r="S11" s="3" t="inlineStr">
        <is>
          <t>C1CC[CH:1]2[Br+:3][CH:2]2C1.[Br-:4]</t>
        </is>
      </c>
      <c r="T11" s="3" t="inlineStr">
        <is>
          <t>4&gt;1; 1-3&gt;3</t>
        </is>
      </c>
    </row>
    <row r="12">
      <c r="A12" s="2" t="inlineStr">
        <is>
          <t>R004</t>
        </is>
      </c>
      <c r="B12" s="2" t="n">
        <v>1</v>
      </c>
      <c r="C12" s="2" t="inlineStr">
        <is>
          <t>initiation 1: the peroxide splits (radical)</t>
        </is>
      </c>
      <c r="D12" s="2" t="inlineStr">
        <is>
          <t>the weak O–O bond of the peroxide (light or heat): one electron to each O</t>
        </is>
      </c>
      <c r="E12" s="2" t="inlineStr">
        <is>
          <t>two tert-butoxyl radicals (RO•)</t>
        </is>
      </c>
      <c r="F12" s="2" t="n"/>
      <c r="G12" s="2" t="inlineStr">
        <is>
          <t>O–O</t>
        </is>
      </c>
      <c r="H12" s="2" t="n"/>
      <c r="I12" s="2" t="n"/>
      <c r="J12" s="2" t="n"/>
      <c r="K12" s="2" t="n"/>
      <c r="L12" s="2">
        <f>IF(AND(ISNUMBER(I12),ISNUMBER(K12)),K12-I12,"")</f>
        <v/>
      </c>
      <c r="M12" s="4">
        <f>IF(ISNUMBER(L12),10^L12,"")</f>
        <v/>
      </c>
      <c r="N12" s="2">
        <f>IF(ISNUMBER(L12),IF(L12&gt;=0,"downhill (favoured)","uphill (small amount)"),"")</f>
        <v/>
      </c>
      <c r="O12" s="2" t="n"/>
      <c r="P12" s="2" t="n"/>
      <c r="Q12" s="3" t="inlineStr">
        <is>
          <t>CC(C)(C)[O].CC(C)(C)[O]</t>
        </is>
      </c>
      <c r="R12" s="2" t="inlineStr">
        <is>
          <t>Each fishhook arrow moves ONE electron. The O–O bond is weak (≈ 38 kcal/mol), so a little light or heat splits it into two RO•.</t>
        </is>
      </c>
      <c r="S12" s="3" t="inlineStr">
        <is>
          <t>CC(C)(C)[O:1][O:2]C(C)(C)C</t>
        </is>
      </c>
      <c r="T12" s="3" t="inlineStr">
        <is>
          <t>~1-2&gt;1; ~1-2&gt;2</t>
        </is>
      </c>
    </row>
    <row r="13">
      <c r="A13" s="2" t="inlineStr">
        <is>
          <t>R004</t>
        </is>
      </c>
      <c r="B13" s="2" t="n">
        <v>2</v>
      </c>
      <c r="C13" s="2" t="inlineStr">
        <is>
          <t>initiation 2: RO• takes H from H–Br</t>
        </is>
      </c>
      <c r="D13" s="2" t="inlineStr">
        <is>
          <t>RO• and one electron of the H–Br bond</t>
        </is>
      </c>
      <c r="E13" s="2" t="inlineStr">
        <is>
          <t>a new O–H bond; the other H–Br electron stays on Br (Br•)</t>
        </is>
      </c>
      <c r="F13" s="2" t="inlineStr">
        <is>
          <t>O–H</t>
        </is>
      </c>
      <c r="G13" s="2" t="inlineStr">
        <is>
          <t>H–Br</t>
        </is>
      </c>
      <c r="H13" s="2" t="n"/>
      <c r="I13" s="2" t="n"/>
      <c r="J13" s="2" t="n"/>
      <c r="K13" s="2" t="n"/>
      <c r="L13" s="2">
        <f>IF(AND(ISNUMBER(I13),ISNUMBER(K13)),K13-I13,"")</f>
        <v/>
      </c>
      <c r="M13" s="4">
        <f>IF(ISNUMBER(L13),10^L13,"")</f>
        <v/>
      </c>
      <c r="N13" s="2">
        <f>IF(ISNUMBER(L13),IF(L13&gt;=0,"downhill (favoured)","uphill (small amount)"),"")</f>
        <v/>
      </c>
      <c r="O13" s="2" t="n"/>
      <c r="P13" s="2" t="n"/>
      <c r="Q13" s="3" t="inlineStr">
        <is>
          <t>CC(C)(C)O.[Br]</t>
        </is>
      </c>
      <c r="R13" s="2" t="inlineStr">
        <is>
          <t>This makes the bromine atom (Br•) that starts the chain: the O–H bond made (≈ 105 kcal/mol) is stronger than the H–Br bond broken (≈ 88).</t>
        </is>
      </c>
      <c r="S13" s="3" t="inlineStr">
        <is>
          <t>CC(C)(C)[O:1].[H:2][Br:3]</t>
        </is>
      </c>
      <c r="T13" s="3" t="inlineStr">
        <is>
          <t>~1&gt;1-2; ~2-3&gt;1-2; ~2-3&gt;3</t>
        </is>
      </c>
    </row>
    <row r="14">
      <c r="A14" s="2" t="inlineStr">
        <is>
          <t>R004</t>
        </is>
      </c>
      <c r="B14" s="2" t="n">
        <v>3</v>
      </c>
      <c r="C14" s="2" t="inlineStr">
        <is>
          <t>propagation 1: Br• adds</t>
        </is>
      </c>
      <c r="D14" s="2" t="inlineStr">
        <is>
          <t>Br• and one π electron of the C=C</t>
        </is>
      </c>
      <c r="E14" s="2" t="inlineStr">
        <is>
          <t>a new C–Br bond at the CH2 end; the other π electron stays on the middle C</t>
        </is>
      </c>
      <c r="F14" s="2" t="inlineStr">
        <is>
          <t>C–Br (at CH2)</t>
        </is>
      </c>
      <c r="G14" s="2" t="inlineStr">
        <is>
          <t>C=C (π)</t>
        </is>
      </c>
      <c r="H14" s="2" t="n"/>
      <c r="I14" s="2" t="n"/>
      <c r="J14" s="2" t="n"/>
      <c r="K14" s="2" t="n"/>
      <c r="L14" s="2">
        <f>IF(AND(ISNUMBER(I14),ISNUMBER(K14)),K14-I14,"")</f>
        <v/>
      </c>
      <c r="M14" s="4">
        <f>IF(ISNUMBER(L14),10^L14,"")</f>
        <v/>
      </c>
      <c r="N14" s="2">
        <f>IF(ISNUMBER(L14),IF(L14&gt;=0,"downhill (favoured)","uphill (small amount)"),"")</f>
        <v/>
      </c>
      <c r="O14" s="2" t="n"/>
      <c r="P14" s="2" t="n"/>
      <c r="Q14" s="3" t="inlineStr">
        <is>
          <t>C[CH]CBr</t>
        </is>
      </c>
      <c r="R14" s="2" t="inlineStr">
        <is>
          <t>Br adds to the end that leaves the more stable 2° radical: anti-Markovnikov.</t>
        </is>
      </c>
      <c r="S14" s="3" t="inlineStr">
        <is>
          <t>[Br:1].[CH2:2]=[CH:3]C</t>
        </is>
      </c>
      <c r="T14" s="3" t="inlineStr">
        <is>
          <t>~1&gt;1-2; ~2-3&gt;1-2; ~2-3&gt;3</t>
        </is>
      </c>
    </row>
    <row r="15">
      <c r="A15" s="2" t="inlineStr">
        <is>
          <t>R004</t>
        </is>
      </c>
      <c r="B15" s="2" t="n">
        <v>4</v>
      </c>
      <c r="C15" s="2" t="inlineStr">
        <is>
          <t>propagation 2: H abstraction</t>
        </is>
      </c>
      <c r="D15" s="2" t="inlineStr">
        <is>
          <t>the radical C and one electron of the H–Br bond</t>
        </is>
      </c>
      <c r="E15" s="2" t="inlineStr">
        <is>
          <t>a new C–H bond; the other H–Br electron stays on Br (a new Br•)</t>
        </is>
      </c>
      <c r="F15" s="2" t="inlineStr">
        <is>
          <t>C–H</t>
        </is>
      </c>
      <c r="G15" s="2" t="inlineStr">
        <is>
          <t>H–Br</t>
        </is>
      </c>
      <c r="H15" s="2" t="n"/>
      <c r="I15" s="2" t="n"/>
      <c r="J15" s="2" t="n"/>
      <c r="K15" s="2" t="n"/>
      <c r="L15" s="2">
        <f>IF(AND(ISNUMBER(I15),ISNUMBER(K15)),K15-I15,"")</f>
        <v/>
      </c>
      <c r="M15" s="4">
        <f>IF(ISNUMBER(L15),10^L15,"")</f>
        <v/>
      </c>
      <c r="N15" s="2">
        <f>IF(ISNUMBER(L15),IF(L15&gt;=0,"downhill (favoured)","uphill (small amount)"),"")</f>
        <v/>
      </c>
      <c r="O15" s="2" t="n"/>
      <c r="P15" s="2" t="n"/>
      <c r="Q15" s="3" t="inlineStr">
        <is>
          <t>CCCBr.[Br]</t>
        </is>
      </c>
      <c r="R15" s="2" t="inlineStr">
        <is>
          <t>Br• is regenerated, so the chain repeats.</t>
        </is>
      </c>
      <c r="S15" s="3" t="inlineStr">
        <is>
          <t>C[CH:1]CBr.[H:2][Br:3]</t>
        </is>
      </c>
      <c r="T15" s="3" t="inlineStr">
        <is>
          <t>~1&gt;1-2; ~2-3&gt;1-2; ~2-3&gt;3</t>
        </is>
      </c>
    </row>
    <row r="16">
      <c r="A16" s="2" t="inlineStr">
        <is>
          <t>R005</t>
        </is>
      </c>
      <c r="B16" s="2" t="n">
        <v>1</v>
      </c>
      <c r="C16" s="2" t="inlineStr">
        <is>
          <t>protonation (electrophilic addition)</t>
        </is>
      </c>
      <c r="D16" s="2" t="inlineStr">
        <is>
          <t>the C=C π electrons</t>
        </is>
      </c>
      <c r="E16" s="2" t="inlineStr">
        <is>
          <t>the H of HBr; the H–Br bond's electrons go to Br (Br⁻)</t>
        </is>
      </c>
      <c r="F16" s="2" t="inlineStr">
        <is>
          <t>C–H (at CH2)</t>
        </is>
      </c>
      <c r="G16" s="2" t="inlineStr">
        <is>
          <t>H–Br; C=C (π)</t>
        </is>
      </c>
      <c r="H16" s="2" t="n"/>
      <c r="I16" s="2" t="n"/>
      <c r="J16" s="2" t="n"/>
      <c r="K16" s="2" t="n"/>
      <c r="L16" s="2">
        <f>IF(AND(ISNUMBER(I16),ISNUMBER(K16)),K16-I16,"")</f>
        <v/>
      </c>
      <c r="M16" s="4">
        <f>IF(ISNUMBER(L16),10^L16,"")</f>
        <v/>
      </c>
      <c r="N16" s="2">
        <f>IF(ISNUMBER(L16),IF(L16&gt;=0,"downhill (favoured)","uphill (small amount)"),"")</f>
        <v/>
      </c>
      <c r="O16" s="2" t="inlineStr">
        <is>
          <t>bromide</t>
        </is>
      </c>
      <c r="P16" s="2" t="n">
        <v>-9</v>
      </c>
      <c r="Q16" s="3" t="inlineStr">
        <is>
          <t>C[CH+]C.[Br-]</t>
        </is>
      </c>
      <c r="R16" s="2" t="inlineStr">
        <is>
          <t>H goes to the CH2 so the cation forms on the 2° C (more stable than 1°).</t>
        </is>
      </c>
      <c r="S16" s="3" t="inlineStr">
        <is>
          <t>C[CH:1]=[CH2:2].[H:3][Br:4]</t>
        </is>
      </c>
      <c r="T16" s="3" t="inlineStr">
        <is>
          <t>1-2&gt;2-3; 3-4&gt;4</t>
        </is>
      </c>
    </row>
    <row r="17">
      <c r="A17" s="2" t="inlineStr">
        <is>
          <t>R005</t>
        </is>
      </c>
      <c r="B17" s="2" t="n">
        <v>2</v>
      </c>
      <c r="C17" s="2" t="inlineStr">
        <is>
          <t>nucleophile captures the cation</t>
        </is>
      </c>
      <c r="D17" s="2" t="inlineStr">
        <is>
          <t>a lone pair on Br⁻</t>
        </is>
      </c>
      <c r="E17" s="2" t="inlineStr">
        <is>
          <t>the carbocation C</t>
        </is>
      </c>
      <c r="F17" s="2" t="inlineStr">
        <is>
          <t>C–Br</t>
        </is>
      </c>
      <c r="G17" s="2" t="n"/>
      <c r="H17" s="2" t="n"/>
      <c r="I17" s="2" t="n"/>
      <c r="J17" s="2" t="n"/>
      <c r="K17" s="2" t="n"/>
      <c r="L17" s="2">
        <f>IF(AND(ISNUMBER(I17),ISNUMBER(K17)),K17-I17,"")</f>
        <v/>
      </c>
      <c r="M17" s="4">
        <f>IF(ISNUMBER(L17),10^L17,"")</f>
        <v/>
      </c>
      <c r="N17" s="2">
        <f>IF(ISNUMBER(L17),IF(L17&gt;=0,"downhill (favoured)","uphill (small amount)"),"")</f>
        <v/>
      </c>
      <c r="O17" s="2" t="n"/>
      <c r="P17" s="2" t="n"/>
      <c r="Q17" s="3" t="inlineStr">
        <is>
          <t>CC(C)Br</t>
        </is>
      </c>
      <c r="R17" s="2" t="inlineStr">
        <is>
          <t>Markovnikov product.</t>
        </is>
      </c>
      <c r="S17" s="3" t="inlineStr">
        <is>
          <t>C[CH+:1]C.[Br-:2]</t>
        </is>
      </c>
      <c r="T17" s="3" t="inlineStr">
        <is>
          <t>2&gt;1</t>
        </is>
      </c>
    </row>
    <row r="18">
      <c r="A18" s="2" t="inlineStr">
        <is>
          <t>R006</t>
        </is>
      </c>
      <c r="B18" s="2" t="n">
        <v>1</v>
      </c>
      <c r="C18" s="2" t="inlineStr">
        <is>
          <t>protonation</t>
        </is>
      </c>
      <c r="D18" s="2" t="inlineStr">
        <is>
          <t>the C=C π electrons</t>
        </is>
      </c>
      <c r="E18" s="2" t="inlineStr">
        <is>
          <t>an H of H3O⁺ (from H2SO4); that O–H bond's electrons go to O (water)</t>
        </is>
      </c>
      <c r="F18" s="2" t="inlineStr">
        <is>
          <t>C–H (at CH2)</t>
        </is>
      </c>
      <c r="G18" s="2" t="inlineStr">
        <is>
          <t>O–H; C=C (π)</t>
        </is>
      </c>
      <c r="H18" s="2" t="n"/>
      <c r="I18" s="2" t="n"/>
      <c r="J18" s="2" t="n"/>
      <c r="K18" s="2" t="n"/>
      <c r="L18" s="2">
        <f>IF(AND(ISNUMBER(I18),ISNUMBER(K18)),K18-I18,"")</f>
        <v/>
      </c>
      <c r="M18" s="4">
        <f>IF(ISNUMBER(L18),10^L18,"")</f>
        <v/>
      </c>
      <c r="N18" s="2">
        <f>IF(ISNUMBER(L18),IF(L18&gt;=0,"downhill (favoured)","uphill (small amount)"),"")</f>
        <v/>
      </c>
      <c r="O18" s="2" t="inlineStr">
        <is>
          <t>water</t>
        </is>
      </c>
      <c r="P18" s="2" t="n">
        <v>-1.7</v>
      </c>
      <c r="Q18" s="3" t="inlineStr">
        <is>
          <t>C[C+](C)C.O</t>
        </is>
      </c>
      <c r="R18" s="2" t="inlineStr">
        <is>
          <t>The 3° carbocation forms (Markovnikov).</t>
        </is>
      </c>
      <c r="S18" s="3" t="inlineStr">
        <is>
          <t>C[C:1](C)=[CH2:2].[H:3][OH2+:4]</t>
        </is>
      </c>
      <c r="T18" s="3" t="inlineStr">
        <is>
          <t>1-2&gt;2-3; 3-4&gt;4</t>
        </is>
      </c>
    </row>
    <row r="19">
      <c r="A19" s="2" t="inlineStr">
        <is>
          <t>R006</t>
        </is>
      </c>
      <c r="B19" s="2" t="n">
        <v>2</v>
      </c>
      <c r="C19" s="2" t="inlineStr">
        <is>
          <t>water adds</t>
        </is>
      </c>
      <c r="D19" s="2" t="inlineStr">
        <is>
          <t>a lone pair on water's O</t>
        </is>
      </c>
      <c r="E19" s="2" t="inlineStr">
        <is>
          <t>the carbocation C</t>
        </is>
      </c>
      <c r="F19" s="2" t="inlineStr">
        <is>
          <t>C–O</t>
        </is>
      </c>
      <c r="G19" s="2" t="n"/>
      <c r="H19" s="2" t="n"/>
      <c r="I19" s="2" t="n"/>
      <c r="J19" s="2" t="n"/>
      <c r="K19" s="2" t="n"/>
      <c r="L19" s="2">
        <f>IF(AND(ISNUMBER(I19),ISNUMBER(K19)),K19-I19,"")</f>
        <v/>
      </c>
      <c r="M19" s="4">
        <f>IF(ISNUMBER(L19),10^L19,"")</f>
        <v/>
      </c>
      <c r="N19" s="2">
        <f>IF(ISNUMBER(L19),IF(L19&gt;=0,"downhill (favoured)","uphill (small amount)"),"")</f>
        <v/>
      </c>
      <c r="O19" s="2" t="n"/>
      <c r="P19" s="2" t="n"/>
      <c r="Q19" s="3" t="inlineStr">
        <is>
          <t>CC(C)(C)[OH2+]</t>
        </is>
      </c>
      <c r="R19" s="2" t="n"/>
      <c r="S19" s="3" t="inlineStr">
        <is>
          <t>C[C+:1](C)C.[OH2:2]</t>
        </is>
      </c>
      <c r="T19" s="3" t="inlineStr">
        <is>
          <t>2&gt;1</t>
        </is>
      </c>
    </row>
    <row r="20">
      <c r="A20" s="2" t="inlineStr">
        <is>
          <t>R006</t>
        </is>
      </c>
      <c r="B20" s="2" t="n">
        <v>3</v>
      </c>
      <c r="C20" s="2" t="inlineStr">
        <is>
          <t>proton transfer</t>
        </is>
      </c>
      <c r="D20" s="2" t="inlineStr">
        <is>
          <t>a lone pair on another water</t>
        </is>
      </c>
      <c r="E20" s="2" t="inlineStr">
        <is>
          <t>an H on the oxonium O</t>
        </is>
      </c>
      <c r="F20" s="2" t="inlineStr">
        <is>
          <t>H–OH2⁺</t>
        </is>
      </c>
      <c r="G20" s="2" t="inlineStr">
        <is>
          <t>O–H</t>
        </is>
      </c>
      <c r="H20" s="2" t="inlineStr">
        <is>
          <t>the oxonium (R–OH2⁺)</t>
        </is>
      </c>
      <c r="I20" s="2" t="n">
        <v>-2</v>
      </c>
      <c r="J20" s="2" t="inlineStr">
        <is>
          <t>H3O⁺</t>
        </is>
      </c>
      <c r="K20" s="2" t="n">
        <v>-1.7</v>
      </c>
      <c r="L20" s="2">
        <f>IF(AND(ISNUMBER(I20),ISNUMBER(K20)),K20-I20,"")</f>
        <v/>
      </c>
      <c r="M20" s="4">
        <f>IF(ISNUMBER(L20),10^L20,"")</f>
        <v/>
      </c>
      <c r="N20" s="2">
        <f>IF(ISNUMBER(L20),IF(L20&gt;=0,"downhill (favoured)","uphill (small amount)"),"")</f>
        <v/>
      </c>
      <c r="O20" s="2" t="n"/>
      <c r="P20" s="2" t="n"/>
      <c r="Q20" s="3" t="inlineStr">
        <is>
          <t>CC(C)(C)O.[OH3+]</t>
        </is>
      </c>
      <c r="R20" s="2" t="inlineStr">
        <is>
          <t>H3O⁺ is given back: acid catalysis.</t>
        </is>
      </c>
      <c r="S20" s="3" t="inlineStr">
        <is>
          <t>CC(C)(C)[O+:1]([H:2])[H].[OH2:3]</t>
        </is>
      </c>
      <c r="T20" s="3" t="inlineStr">
        <is>
          <t>3&gt;2; 2-1&gt;1</t>
        </is>
      </c>
    </row>
    <row r="21">
      <c r="A21" s="2" t="inlineStr">
        <is>
          <t>R007</t>
        </is>
      </c>
      <c r="B21" s="2" t="n">
        <v>1</v>
      </c>
      <c r="C21" s="2" t="inlineStr">
        <is>
          <t>hydroboration (concerted, syn)</t>
        </is>
      </c>
      <c r="D21" s="2" t="inlineStr">
        <is>
          <t>the C=C π electrons</t>
        </is>
      </c>
      <c r="E21" s="2" t="inlineStr">
        <is>
          <t>the empty p orbital on B; a B–H bond's electrons go to the more substituted C (4-centre TS)</t>
        </is>
      </c>
      <c r="F21" s="2" t="inlineStr">
        <is>
          <t>C–B (at CH2); C–H (at CH)</t>
        </is>
      </c>
      <c r="G21" s="2" t="inlineStr">
        <is>
          <t>B–H; C=C (π)</t>
        </is>
      </c>
      <c r="H21" s="2" t="n"/>
      <c r="I21" s="2" t="n"/>
      <c r="J21" s="2" t="n"/>
      <c r="K21" s="2" t="n"/>
      <c r="L21" s="2">
        <f>IF(AND(ISNUMBER(I21),ISNUMBER(K21)),K21-I21,"")</f>
        <v/>
      </c>
      <c r="M21" s="4">
        <f>IF(ISNUMBER(L21),10^L21,"")</f>
        <v/>
      </c>
      <c r="N21" s="2">
        <f>IF(ISNUMBER(L21),IF(L21&gt;=0,"downhill (favoured)","uphill (small amount)"),"")</f>
        <v/>
      </c>
      <c r="O21" s="2" t="n"/>
      <c r="P21" s="2" t="n"/>
      <c r="Q21" s="3" t="inlineStr">
        <is>
          <t>BCCC</t>
        </is>
      </c>
      <c r="R21" s="2" t="inlineStr">
        <is>
          <t>B goes to the less hindered CH2 end; H and B add to the same face.</t>
        </is>
      </c>
      <c r="S21" s="3" t="inlineStr">
        <is>
          <t>C[CH:1]=[CH2:2].[BH2:3][H:4]</t>
        </is>
      </c>
      <c r="T21" s="3" t="inlineStr">
        <is>
          <t>1-2&gt;2-3; 3-4&gt;1-4</t>
        </is>
      </c>
    </row>
    <row r="22">
      <c r="A22" s="2" t="inlineStr">
        <is>
          <t>R007</t>
        </is>
      </c>
      <c r="B22" s="2" t="n">
        <v>2</v>
      </c>
      <c r="C22" s="2" t="inlineStr">
        <is>
          <t>hydroperoxide adds to B</t>
        </is>
      </c>
      <c r="D22" s="2" t="inlineStr">
        <is>
          <t>a lone pair on HOO⁻ (from H2O2 + NaOH)</t>
        </is>
      </c>
      <c r="E22" s="2" t="inlineStr">
        <is>
          <t>the empty p orbital on B</t>
        </is>
      </c>
      <c r="F22" s="2" t="inlineStr">
        <is>
          <t>B–O</t>
        </is>
      </c>
      <c r="G22" s="2" t="n"/>
      <c r="H22" s="2" t="n"/>
      <c r="I22" s="2" t="n"/>
      <c r="J22" s="2" t="n"/>
      <c r="K22" s="2" t="n"/>
      <c r="L22" s="2">
        <f>IF(AND(ISNUMBER(I22),ISNUMBER(K22)),K22-I22,"")</f>
        <v/>
      </c>
      <c r="M22" s="4">
        <f>IF(ISNUMBER(L22),10^L22,"")</f>
        <v/>
      </c>
      <c r="N22" s="2">
        <f>IF(ISNUMBER(L22),IF(L22&gt;=0,"downhill (favoured)","uphill (small amount)"),"")</f>
        <v/>
      </c>
      <c r="O22" s="2" t="n"/>
      <c r="P22" s="2" t="n"/>
      <c r="Q22" s="3" t="inlineStr">
        <is>
          <t>CCC[BH2-]OO</t>
        </is>
      </c>
      <c r="R22" s="2" t="n"/>
      <c r="S22" s="3" t="inlineStr">
        <is>
          <t>CCC[BH2:1].[O-:2]O</t>
        </is>
      </c>
      <c r="T22" s="3" t="inlineStr">
        <is>
          <t>2&gt;1</t>
        </is>
      </c>
    </row>
    <row r="23">
      <c r="A23" s="2" t="inlineStr">
        <is>
          <t>R007</t>
        </is>
      </c>
      <c r="B23" s="2" t="n">
        <v>3</v>
      </c>
      <c r="C23" s="2" t="inlineStr">
        <is>
          <t>1,2-shift (C migrates B → O)</t>
        </is>
      </c>
      <c r="D23" s="2" t="inlineStr">
        <is>
          <t>the C–B bond's electrons</t>
        </is>
      </c>
      <c r="E23" s="2" t="inlineStr">
        <is>
          <t>the O next to B; the O–O bond's electrons leave with the other O as HO⁻</t>
        </is>
      </c>
      <c r="F23" s="2" t="inlineStr">
        <is>
          <t>C–O</t>
        </is>
      </c>
      <c r="G23" s="2" t="inlineStr">
        <is>
          <t>C–B; O–O</t>
        </is>
      </c>
      <c r="H23" s="2" t="n"/>
      <c r="I23" s="2" t="n"/>
      <c r="J23" s="2" t="n"/>
      <c r="K23" s="2" t="n"/>
      <c r="L23" s="2">
        <f>IF(AND(ISNUMBER(I23),ISNUMBER(K23)),K23-I23,"")</f>
        <v/>
      </c>
      <c r="M23" s="4">
        <f>IF(ISNUMBER(L23),10^L23,"")</f>
        <v/>
      </c>
      <c r="N23" s="2">
        <f>IF(ISNUMBER(L23),IF(L23&gt;=0,"downhill (favoured)","uphill (small amount)"),"")</f>
        <v/>
      </c>
      <c r="O23" s="2" t="inlineStr">
        <is>
          <t>hydroxide</t>
        </is>
      </c>
      <c r="P23" s="2" t="n">
        <v>15.7</v>
      </c>
      <c r="Q23" s="3" t="inlineStr">
        <is>
          <t>CCCO[BH2].[OH-]</t>
        </is>
      </c>
      <c r="R23" s="2" t="inlineStr">
        <is>
          <t>The C moves with its configuration kept; the weak O–O bond pays for it.</t>
        </is>
      </c>
      <c r="S23" s="3" t="inlineStr">
        <is>
          <t>CC[CH2:1][BH2-:2][O:3][OH:4]</t>
        </is>
      </c>
      <c r="T23" s="3" t="inlineStr">
        <is>
          <t>1-2&gt;1-3; 3-4&gt;4</t>
        </is>
      </c>
    </row>
    <row r="24">
      <c r="A24" s="2" t="inlineStr">
        <is>
          <t>R007</t>
        </is>
      </c>
      <c r="B24" s="2" t="n">
        <v>4</v>
      </c>
      <c r="C24" s="2" t="inlineStr">
        <is>
          <t>hydrolysis</t>
        </is>
      </c>
      <c r="D24" s="2" t="inlineStr">
        <is>
          <t>a lone pair on HO⁻</t>
        </is>
      </c>
      <c r="E24" s="2" t="inlineStr">
        <is>
          <t>B; the B–O bond's electrons go to the alkoxide O, which takes an H from water</t>
        </is>
      </c>
      <c r="F24" s="2" t="inlineStr">
        <is>
          <t>B–OH; O–H</t>
        </is>
      </c>
      <c r="G24" s="2" t="inlineStr">
        <is>
          <t>B–O</t>
        </is>
      </c>
      <c r="H24" s="2" t="n"/>
      <c r="I24" s="2" t="n"/>
      <c r="J24" s="2" t="n"/>
      <c r="K24" s="2" t="n"/>
      <c r="L24" s="2">
        <f>IF(AND(ISNUMBER(I24),ISNUMBER(K24)),K24-I24,"")</f>
        <v/>
      </c>
      <c r="M24" s="4">
        <f>IF(ISNUMBER(L24),10^L24,"")</f>
        <v/>
      </c>
      <c r="N24" s="2">
        <f>IF(ISNUMBER(L24),IF(L24&gt;=0,"downhill (favoured)","uphill (small amount)"),"")</f>
        <v/>
      </c>
      <c r="O24" s="2" t="n"/>
      <c r="P24" s="2" t="n"/>
      <c r="Q24" s="3" t="inlineStr">
        <is>
          <t>CCC[O-].OB</t>
        </is>
      </c>
      <c r="R24" s="2" t="inlineStr">
        <is>
          <t>The alkoxide leaves boron.</t>
        </is>
      </c>
      <c r="S24" s="3" t="inlineStr">
        <is>
          <t>CCC[O:1][BH2:2].[OH-:3]</t>
        </is>
      </c>
      <c r="T24" s="3" t="inlineStr">
        <is>
          <t>3&gt;2; 2-1&gt;1</t>
        </is>
      </c>
    </row>
    <row r="25">
      <c r="A25" s="2" t="inlineStr">
        <is>
          <t>R007</t>
        </is>
      </c>
      <c r="B25" s="2" t="n">
        <v>5</v>
      </c>
      <c r="C25" s="2" t="inlineStr">
        <is>
          <t>proton transfer</t>
        </is>
      </c>
      <c r="D25" s="2" t="inlineStr">
        <is>
          <t>a lone pair on the alkoxide O</t>
        </is>
      </c>
      <c r="E25" s="2" t="inlineStr">
        <is>
          <t>an H of water</t>
        </is>
      </c>
      <c r="F25" s="2" t="inlineStr">
        <is>
          <t>O–H</t>
        </is>
      </c>
      <c r="G25" s="2" t="inlineStr">
        <is>
          <t>O–H (water)</t>
        </is>
      </c>
      <c r="H25" s="2" t="inlineStr">
        <is>
          <t>water</t>
        </is>
      </c>
      <c r="I25" s="2" t="n">
        <v>15.7</v>
      </c>
      <c r="J25" s="2" t="inlineStr">
        <is>
          <t>1-propanol</t>
        </is>
      </c>
      <c r="K25" s="2" t="n">
        <v>16</v>
      </c>
      <c r="L25" s="2">
        <f>IF(AND(ISNUMBER(I25),ISNUMBER(K25)),K25-I25,"")</f>
        <v/>
      </c>
      <c r="M25" s="4">
        <f>IF(ISNUMBER(L25),10^L25,"")</f>
        <v/>
      </c>
      <c r="N25" s="2">
        <f>IF(ISNUMBER(L25),IF(L25&gt;=0,"downhill (favoured)","uphill (small amount)"),"")</f>
        <v/>
      </c>
      <c r="O25" s="2" t="n"/>
      <c r="P25" s="2" t="n"/>
      <c r="Q25" s="3" t="inlineStr">
        <is>
          <t>CCCO.[OH-]</t>
        </is>
      </c>
      <c r="R25" s="2" t="inlineStr">
        <is>
          <t>Anti-Markovnikov alcohol.</t>
        </is>
      </c>
      <c r="S25" s="3" t="inlineStr">
        <is>
          <t>CCC[O-:1].[H:2][OH:3]</t>
        </is>
      </c>
      <c r="T25" s="3" t="inlineStr">
        <is>
          <t>1&gt;2; 2-3&gt;3</t>
        </is>
      </c>
    </row>
    <row r="26">
      <c r="A26" s="2" t="inlineStr">
        <is>
          <t>R008</t>
        </is>
      </c>
      <c r="B26" s="2" t="n">
        <v>1</v>
      </c>
      <c r="C26" s="2" t="inlineStr">
        <is>
          <t>H2 adds to the metal</t>
        </is>
      </c>
      <c r="D26" s="2" t="inlineStr">
        <is>
          <t>the H–H bond's electrons</t>
        </is>
      </c>
      <c r="E26" s="2" t="inlineStr">
        <is>
          <t>the Pd surface: two Pd–H bonds</t>
        </is>
      </c>
      <c r="F26" s="2" t="inlineStr">
        <is>
          <t>2 × Pd–H</t>
        </is>
      </c>
      <c r="G26" s="2" t="inlineStr">
        <is>
          <t>H–H</t>
        </is>
      </c>
      <c r="H26" s="2" t="n"/>
      <c r="I26" s="2" t="n"/>
      <c r="J26" s="2" t="n"/>
      <c r="K26" s="2" t="n"/>
      <c r="L26" s="2">
        <f>IF(AND(ISNUMBER(I26),ISNUMBER(K26)),K26-I26,"")</f>
        <v/>
      </c>
      <c r="M26" s="4">
        <f>IF(ISNUMBER(L26),10^L26,"")</f>
        <v/>
      </c>
      <c r="N26" s="2">
        <f>IF(ISNUMBER(L26),IF(L26&gt;=0,"downhill (favoured)","uphill (small amount)"),"")</f>
        <v/>
      </c>
      <c r="O26" s="2" t="n"/>
      <c r="P26" s="2" t="n"/>
      <c r="Q26" s="3" t="inlineStr">
        <is>
          <t>[H][Pd][H]</t>
        </is>
      </c>
      <c r="R26" s="2" t="inlineStr">
        <is>
          <t>The catalyst breaks H2 into surface-bound H atoms.</t>
        </is>
      </c>
      <c r="S26" s="3" t="inlineStr">
        <is>
          <t>[H:1][H:2].[Pd:3]</t>
        </is>
      </c>
      <c r="T26" s="3" t="inlineStr">
        <is>
          <t>1-2&gt;2-3; 3&gt;1</t>
        </is>
      </c>
    </row>
    <row r="27">
      <c r="A27" s="2" t="inlineStr">
        <is>
          <t>R008</t>
        </is>
      </c>
      <c r="B27" s="2" t="n">
        <v>2</v>
      </c>
      <c r="C27" s="2" t="inlineStr">
        <is>
          <t>alkene binds; first H moves</t>
        </is>
      </c>
      <c r="D27" s="2" t="inlineStr">
        <is>
          <t>a Pd–H bond's electrons</t>
        </is>
      </c>
      <c r="E27" s="2" t="inlineStr">
        <is>
          <t>one alkene C (its π bond is held on the Pd surface)</t>
        </is>
      </c>
      <c r="F27" s="2" t="inlineStr">
        <is>
          <t>C–H; C–Pd</t>
        </is>
      </c>
      <c r="G27" s="2" t="inlineStr">
        <is>
          <t>C=C (π); Pd–H</t>
        </is>
      </c>
      <c r="H27" s="2" t="n"/>
      <c r="I27" s="2" t="n"/>
      <c r="J27" s="2" t="n"/>
      <c r="K27" s="2" t="n"/>
      <c r="L27" s="2">
        <f>IF(AND(ISNUMBER(I27),ISNUMBER(K27)),K27-I27,"")</f>
        <v/>
      </c>
      <c r="M27" s="4">
        <f>IF(ISNUMBER(L27),10^L27,"")</f>
        <v/>
      </c>
      <c r="N27" s="2">
        <f>IF(ISNUMBER(L27),IF(L27&gt;=0,"downhill (favoured)","uphill (small amount)"),"")</f>
        <v/>
      </c>
      <c r="O27" s="2" t="n"/>
      <c r="P27" s="2" t="n"/>
      <c r="Q27" s="3" t="inlineStr">
        <is>
          <t>[H][Pd]C1CCCCC1</t>
        </is>
      </c>
      <c r="R27" s="2" t="n"/>
      <c r="S27" s="3" t="inlineStr">
        <is>
          <t>[H:1][Pd:2][H].[CH:3]1=[CH:4]CCCC1</t>
        </is>
      </c>
      <c r="T27" s="3" t="inlineStr">
        <is>
          <t>2-1&gt;1-3; 3-4&gt;4-2</t>
        </is>
      </c>
    </row>
    <row r="28">
      <c r="A28" s="2" t="inlineStr">
        <is>
          <t>R008</t>
        </is>
      </c>
      <c r="B28" s="2" t="n">
        <v>3</v>
      </c>
      <c r="C28" s="2" t="inlineStr">
        <is>
          <t>second H moves (reductive elimination)</t>
        </is>
      </c>
      <c r="D28" s="2" t="inlineStr">
        <is>
          <t>the Pd–H and Pd–C bond electrons</t>
        </is>
      </c>
      <c r="E28" s="2" t="inlineStr">
        <is>
          <t>a new C–H bond; the alkane leaves the surface</t>
        </is>
      </c>
      <c r="F28" s="2" t="inlineStr">
        <is>
          <t>C–H</t>
        </is>
      </c>
      <c r="G28" s="2" t="inlineStr">
        <is>
          <t>C–Pd; Pd–H</t>
        </is>
      </c>
      <c r="H28" s="2" t="n"/>
      <c r="I28" s="2" t="n"/>
      <c r="J28" s="2" t="n"/>
      <c r="K28" s="2" t="n"/>
      <c r="L28" s="2">
        <f>IF(AND(ISNUMBER(I28),ISNUMBER(K28)),K28-I28,"")</f>
        <v/>
      </c>
      <c r="M28" s="4">
        <f>IF(ISNUMBER(L28),10^L28,"")</f>
        <v/>
      </c>
      <c r="N28" s="2">
        <f>IF(ISNUMBER(L28),IF(L28&gt;=0,"downhill (favoured)","uphill (small amount)"),"")</f>
        <v/>
      </c>
      <c r="O28" s="2" t="n"/>
      <c r="P28" s="2" t="n"/>
      <c r="Q28" s="3" t="inlineStr">
        <is>
          <t>C1CCCCC1</t>
        </is>
      </c>
      <c r="R28" s="2" t="inlineStr">
        <is>
          <t>Both H come from the same face: syn addition.</t>
        </is>
      </c>
      <c r="S28" s="3" t="inlineStr">
        <is>
          <t>[H:1][Pd:2][CH:3]1CCCCC1</t>
        </is>
      </c>
      <c r="T28" s="3" t="inlineStr">
        <is>
          <t>1-2&gt;1-3; 2-3&gt;2</t>
        </is>
      </c>
    </row>
    <row r="29">
      <c r="A29" s="2" t="inlineStr">
        <is>
          <t>R009</t>
        </is>
      </c>
      <c r="B29" s="2" t="n">
        <v>1</v>
      </c>
      <c r="C29" s="2" t="inlineStr">
        <is>
          <t>concerted O transfer ('butterfly')</t>
        </is>
      </c>
      <c r="D29" s="2" t="inlineStr">
        <is>
          <t>the C=C π electrons</t>
        </is>
      </c>
      <c r="E29" s="2" t="inlineStr">
        <is>
          <t>the peracid's outer O; the O–O electrons go to the C=O O, whose π electrons take the O–H's H</t>
        </is>
      </c>
      <c r="F29" s="2" t="inlineStr">
        <is>
          <t>2 × C–O</t>
        </is>
      </c>
      <c r="G29" s="2" t="inlineStr">
        <is>
          <t>O–O; O–H; C=C (π)</t>
        </is>
      </c>
      <c r="H29" s="2" t="n"/>
      <c r="I29" s="2" t="n"/>
      <c r="J29" s="2" t="n"/>
      <c r="K29" s="2" t="n"/>
      <c r="L29" s="2">
        <f>IF(AND(ISNUMBER(I29),ISNUMBER(K29)),K29-I29,"")</f>
        <v/>
      </c>
      <c r="M29" s="4">
        <f>IF(ISNUMBER(L29),10^L29,"")</f>
        <v/>
      </c>
      <c r="N29" s="2">
        <f>IF(ISNUMBER(L29),IF(L29&gt;=0,"downhill (favoured)","uphill (small amount)"),"")</f>
        <v/>
      </c>
      <c r="O29" s="2" t="n"/>
      <c r="P29" s="2" t="n"/>
      <c r="Q29" s="3" t="inlineStr">
        <is>
          <t>C1CCC2OC2C1.O=C(O)c1cccc(Cl)c1</t>
        </is>
      </c>
      <c r="R29" s="2" t="inlineStr">
        <is>
          <t>One step, no intermediate; both C–O bonds form on the same face, so the alkene's geometry is kept.</t>
        </is>
      </c>
      <c r="S29" s="3" t="inlineStr">
        <is>
          <t>[CH:1]1=[CH:2]CCCC1.Clc1cccc(c1)[C:7](=[O:3])[O:4][O:5][H:6]</t>
        </is>
      </c>
      <c r="T29" s="3" t="inlineStr">
        <is>
          <t>1-2&gt;1-5; 4-5&gt;4-7; 3-7&gt;3-6; 5-6&gt;2-5</t>
        </is>
      </c>
    </row>
    <row r="30">
      <c r="A30" s="2" t="inlineStr">
        <is>
          <t>R010</t>
        </is>
      </c>
      <c r="B30" s="2" t="n">
        <v>1</v>
      </c>
      <c r="C30" s="2" t="inlineStr">
        <is>
          <t>[3+2] cycloaddition</t>
        </is>
      </c>
      <c r="D30" s="2" t="inlineStr">
        <is>
          <t>the C=C π electrons</t>
        </is>
      </c>
      <c r="E30" s="2" t="inlineStr">
        <is>
          <t>an O of OsO4; an Os=O π bond's electrons go to Os (and a second O bonds to the other C)</t>
        </is>
      </c>
      <c r="F30" s="2" t="inlineStr">
        <is>
          <t>2 × C–O</t>
        </is>
      </c>
      <c r="G30" s="2" t="inlineStr">
        <is>
          <t>C=C (π); 2 Os=O (π)</t>
        </is>
      </c>
      <c r="H30" s="2" t="n"/>
      <c r="I30" s="2" t="n"/>
      <c r="J30" s="2" t="n"/>
      <c r="K30" s="2" t="n"/>
      <c r="L30" s="2">
        <f>IF(AND(ISNUMBER(I30),ISNUMBER(K30)),K30-I30,"")</f>
        <v/>
      </c>
      <c r="M30" s="4">
        <f>IF(ISNUMBER(L30),10^L30,"")</f>
        <v/>
      </c>
      <c r="N30" s="2">
        <f>IF(ISNUMBER(L30),IF(L30&gt;=0,"downhill (favoured)","uphill (small amount)"),"")</f>
        <v/>
      </c>
      <c r="O30" s="2" t="n"/>
      <c r="P30" s="2" t="n"/>
      <c r="Q30" s="3" t="inlineStr">
        <is>
          <t>O=[Os]1(=O)OC2CCCCC2O1</t>
        </is>
      </c>
      <c r="R30" s="2" t="inlineStr">
        <is>
          <t>Cyclic osmate ester; both O add to the same face (syn).</t>
        </is>
      </c>
      <c r="S30" s="3" t="inlineStr">
        <is>
          <t>[CH:1]1=[CH:2]CCCC1.[O:3]=[Os:5](=[O:4])(=O)=O</t>
        </is>
      </c>
      <c r="T30" s="3" t="inlineStr">
        <is>
          <t>1-2&gt;1-3; 3-5&gt;5; 4-5&gt;2-4</t>
        </is>
      </c>
    </row>
    <row r="31">
      <c r="A31" s="2" t="inlineStr">
        <is>
          <t>R010</t>
        </is>
      </c>
      <c r="B31" s="2" t="n">
        <v>2</v>
      </c>
      <c r="C31" s="2" t="inlineStr">
        <is>
          <t>hydrolysis 1: water adds to Os</t>
        </is>
      </c>
      <c r="D31" s="2" t="inlineStr">
        <is>
          <t>a lone pair on water</t>
        </is>
      </c>
      <c r="E31" s="2" t="inlineStr">
        <is>
          <t>Os; an Os–O bond's electrons go onto that O (the ring opens: an alkoxide)</t>
        </is>
      </c>
      <c r="F31" s="2" t="inlineStr">
        <is>
          <t>Os–O (water)</t>
        </is>
      </c>
      <c r="G31" s="2" t="inlineStr">
        <is>
          <t>Os–O (ring)</t>
        </is>
      </c>
      <c r="H31" s="2" t="n"/>
      <c r="I31" s="2" t="n"/>
      <c r="J31" s="2" t="n"/>
      <c r="K31" s="2" t="n"/>
      <c r="L31" s="2">
        <f>IF(AND(ISNUMBER(I31),ISNUMBER(K31)),K31-I31,"")</f>
        <v/>
      </c>
      <c r="M31" s="4">
        <f>IF(ISNUMBER(L31),10^L31,"")</f>
        <v/>
      </c>
      <c r="N31" s="2">
        <f>IF(ISNUMBER(L31),IF(L31&gt;=0,"downhill (favoured)","uphill (small amount)"),"")</f>
        <v/>
      </c>
      <c r="O31" s="2" t="n"/>
      <c r="P31" s="2" t="n"/>
      <c r="Q31" s="3" t="inlineStr">
        <is>
          <t>O=[Os](=O)([OH2+])OC1CCCCC1[O-]</t>
        </is>
      </c>
      <c r="R31" s="2" t="inlineStr">
        <is>
          <t>Os(VI) takes a fifth ligand, so water adds and one Os–O bond of the ester breaks.</t>
        </is>
      </c>
      <c r="S31" s="3" t="inlineStr">
        <is>
          <t>O=[Os:6]1(=O)[O:1]C2CCCCC2O1.[OH2:5]</t>
        </is>
      </c>
      <c r="T31" s="3" t="inlineStr">
        <is>
          <t>5&gt;6; 6-1&gt;1</t>
        </is>
      </c>
    </row>
    <row r="32">
      <c r="A32" s="2" t="inlineStr">
        <is>
          <t>R010</t>
        </is>
      </c>
      <c r="B32" s="2" t="n">
        <v>3</v>
      </c>
      <c r="C32" s="2" t="inlineStr">
        <is>
          <t>proton transfer</t>
        </is>
      </c>
      <c r="D32" s="2" t="inlineStr">
        <is>
          <t>a lone pair on the alkoxide O</t>
        </is>
      </c>
      <c r="E32" s="2" t="inlineStr">
        <is>
          <t>an H of the Os–OH2⁺</t>
        </is>
      </c>
      <c r="F32" s="2" t="inlineStr">
        <is>
          <t>O–H (diol O)</t>
        </is>
      </c>
      <c r="G32" s="2" t="inlineStr">
        <is>
          <t>O–H (on Os)</t>
        </is>
      </c>
      <c r="H32" s="2" t="n"/>
      <c r="I32" s="2" t="n"/>
      <c r="J32" s="2" t="n"/>
      <c r="K32" s="2" t="n"/>
      <c r="L32" s="2">
        <f>IF(AND(ISNUMBER(I32),ISNUMBER(K32)),K32-I32,"")</f>
        <v/>
      </c>
      <c r="M32" s="4">
        <f>IF(ISNUMBER(L32),10^L32,"")</f>
        <v/>
      </c>
      <c r="N32" s="2">
        <f>IF(ISNUMBER(L32),IF(L32&gt;=0,"downhill (favoured)","uphill (small amount)"),"")</f>
        <v/>
      </c>
      <c r="O32" s="2" t="n"/>
      <c r="P32" s="2" t="n"/>
      <c r="Q32" s="3" t="inlineStr">
        <is>
          <t>O=[Os](=O)(O)OC1CCCCC1O</t>
        </is>
      </c>
      <c r="R32" s="2" t="inlineStr">
        <is>
          <t>One C–O–Os link is cut. (In water the proton can also be passed along by solvent molecules.)</t>
        </is>
      </c>
      <c r="S32" s="3" t="inlineStr">
        <is>
          <t>O=[Os](=O)([O+:5]([H:7])[H])OC1CCCCC1[O-:1]</t>
        </is>
      </c>
      <c r="T32" s="3" t="inlineStr">
        <is>
          <t>1&gt;7; 7-5&gt;5</t>
        </is>
      </c>
    </row>
    <row r="33">
      <c r="A33" s="2" t="inlineStr">
        <is>
          <t>R010</t>
        </is>
      </c>
      <c r="B33" s="2" t="n">
        <v>4</v>
      </c>
      <c r="C33" s="2" t="inlineStr">
        <is>
          <t>hydrolysis 2: a second water adds to Os</t>
        </is>
      </c>
      <c r="D33" s="2" t="inlineStr">
        <is>
          <t>a lone pair on a second water</t>
        </is>
      </c>
      <c r="E33" s="2" t="inlineStr">
        <is>
          <t>Os; the last Os–O(C) bond's electrons go onto that O</t>
        </is>
      </c>
      <c r="F33" s="2" t="inlineStr">
        <is>
          <t>Os–O (water)</t>
        </is>
      </c>
      <c r="G33" s="2" t="inlineStr">
        <is>
          <t>Os–O (to the diol O)</t>
        </is>
      </c>
      <c r="H33" s="2" t="n"/>
      <c r="I33" s="2" t="n"/>
      <c r="J33" s="2" t="n"/>
      <c r="K33" s="2" t="n"/>
      <c r="L33" s="2">
        <f>IF(AND(ISNUMBER(I33),ISNUMBER(K33)),K33-I33,"")</f>
        <v/>
      </c>
      <c r="M33" s="4">
        <f>IF(ISNUMBER(L33),10^L33,"")</f>
        <v/>
      </c>
      <c r="N33" s="2">
        <f>IF(ISNUMBER(L33),IF(L33&gt;=0,"downhill (favoured)","uphill (small amount)"),"")</f>
        <v/>
      </c>
      <c r="O33" s="2" t="n"/>
      <c r="P33" s="2" t="n"/>
      <c r="Q33" s="3" t="inlineStr">
        <is>
          <t>O=[Os](=O)(O)[OH2+].[O-]C1CCCCC1O</t>
        </is>
      </c>
      <c r="R33" s="2" t="n"/>
      <c r="S33" s="3" t="inlineStr">
        <is>
          <t>OC1CCCCC1[O:1][Os:6](=O)(=O)O.[OH2:5]</t>
        </is>
      </c>
      <c r="T33" s="3" t="inlineStr">
        <is>
          <t>5&gt;6; 6-1&gt;1</t>
        </is>
      </c>
    </row>
    <row r="34">
      <c r="A34" s="2" t="inlineStr">
        <is>
          <t>R010</t>
        </is>
      </c>
      <c r="B34" s="2" t="n">
        <v>5</v>
      </c>
      <c r="C34" s="2" t="inlineStr">
        <is>
          <t>proton transfer</t>
        </is>
      </c>
      <c r="D34" s="2" t="inlineStr">
        <is>
          <t>a lone pair on the alkoxide O</t>
        </is>
      </c>
      <c r="E34" s="2" t="inlineStr">
        <is>
          <t>an H of the Os–OH2⁺</t>
        </is>
      </c>
      <c r="F34" s="2" t="inlineStr">
        <is>
          <t>O–H</t>
        </is>
      </c>
      <c r="G34" s="2" t="inlineStr">
        <is>
          <t>O–H (on Os)</t>
        </is>
      </c>
      <c r="H34" s="2" t="n"/>
      <c r="I34" s="2" t="n"/>
      <c r="J34" s="2" t="n"/>
      <c r="K34" s="2" t="n"/>
      <c r="L34" s="2">
        <f>IF(AND(ISNUMBER(I34),ISNUMBER(K34)),K34-I34,"")</f>
        <v/>
      </c>
      <c r="M34" s="4">
        <f>IF(ISNUMBER(L34),10^L34,"")</f>
        <v/>
      </c>
      <c r="N34" s="2">
        <f>IF(ISNUMBER(L34),IF(L34&gt;=0,"downhill (favoured)","uphill (small amount)"),"")</f>
        <v/>
      </c>
      <c r="O34" s="2" t="n"/>
      <c r="P34" s="2" t="n"/>
      <c r="Q34" s="3" t="inlineStr">
        <is>
          <t>OC1CCCCC1O.O=[Os](=O)(O)O</t>
        </is>
      </c>
      <c r="R34" s="2" t="inlineStr">
        <is>
          <t>cis-Cyclohexane-1,2-diol (both O came from OsO4 on one face) and Os(VI) as OsO2(OH)2. NMO re-oxidises Os(VI) to OsO4, so only a catalytic amount is needed.</t>
        </is>
      </c>
      <c r="S34" s="3" t="inlineStr">
        <is>
          <t>O=[Os](=O)(O)[O+:5]([H:7])[H].[O-:1]C1CCCCC1O</t>
        </is>
      </c>
      <c r="T34" s="3" t="inlineStr">
        <is>
          <t>1&gt;7; 7-5&gt;5</t>
        </is>
      </c>
    </row>
    <row r="35">
      <c r="A35" s="2" t="inlineStr">
        <is>
          <t>R011</t>
        </is>
      </c>
      <c r="B35" s="2" t="n">
        <v>1</v>
      </c>
      <c r="C35" s="2" t="inlineStr">
        <is>
          <t>[3+2] cycloaddition</t>
        </is>
      </c>
      <c r="D35" s="2" t="inlineStr">
        <is>
          <t>the C=C π electrons</t>
        </is>
      </c>
      <c r="E35" s="2" t="inlineStr">
        <is>
          <t>the end O atoms of ozone</t>
        </is>
      </c>
      <c r="F35" s="2" t="inlineStr">
        <is>
          <t>2 × C–O</t>
        </is>
      </c>
      <c r="G35" s="2" t="inlineStr">
        <is>
          <t>C=C (π)</t>
        </is>
      </c>
      <c r="H35" s="2" t="n"/>
      <c r="I35" s="2" t="n"/>
      <c r="J35" s="2" t="n"/>
      <c r="K35" s="2" t="n"/>
      <c r="L35" s="2">
        <f>IF(AND(ISNUMBER(I35),ISNUMBER(K35)),K35-I35,"")</f>
        <v/>
      </c>
      <c r="M35" s="4">
        <f>IF(ISNUMBER(L35),10^L35,"")</f>
        <v/>
      </c>
      <c r="N35" s="2">
        <f>IF(ISNUMBER(L35),IF(L35&gt;=0,"downhill (favoured)","uphill (small amount)"),"")</f>
        <v/>
      </c>
      <c r="O35" s="2" t="n"/>
      <c r="P35" s="2" t="n"/>
      <c r="Q35" s="3" t="inlineStr">
        <is>
          <t>CC1OOOC1(C)C</t>
        </is>
      </c>
      <c r="R35" s="2" t="inlineStr">
        <is>
          <t>The molozonide (1,2,3-trioxolane): unstable.</t>
        </is>
      </c>
      <c r="S35" s="3" t="inlineStr">
        <is>
          <t>C[CH:1]=[C:2](C)C.[O-:3][O+:4]=[O:5]</t>
        </is>
      </c>
      <c r="T35" s="3" t="inlineStr">
        <is>
          <t>3&gt;2; 1-2&gt;1-5; 4-5&gt;4</t>
        </is>
      </c>
    </row>
    <row r="36">
      <c r="A36" s="2" t="inlineStr">
        <is>
          <t>R011</t>
        </is>
      </c>
      <c r="B36" s="2" t="n">
        <v>2</v>
      </c>
      <c r="C36" s="2" t="inlineStr">
        <is>
          <t>retro-[3+2] (fragmentation)</t>
        </is>
      </c>
      <c r="D36" s="2" t="inlineStr">
        <is>
          <t>a C–C bond and an O–O bond</t>
        </is>
      </c>
      <c r="E36" s="2" t="inlineStr">
        <is>
          <t>a C=O on one carbon and a carbonyl oxide on the other</t>
        </is>
      </c>
      <c r="F36" s="2" t="inlineStr">
        <is>
          <t>C=O; C=O⁺</t>
        </is>
      </c>
      <c r="G36" s="2" t="inlineStr">
        <is>
          <t>C–C; O–O</t>
        </is>
      </c>
      <c r="H36" s="2" t="n"/>
      <c r="I36" s="2" t="n"/>
      <c r="J36" s="2" t="n"/>
      <c r="K36" s="2" t="n"/>
      <c r="L36" s="2">
        <f>IF(AND(ISNUMBER(I36),ISNUMBER(K36)),K36-I36,"")</f>
        <v/>
      </c>
      <c r="M36" s="4">
        <f>IF(ISNUMBER(L36),10^L36,"")</f>
        <v/>
      </c>
      <c r="N36" s="2">
        <f>IF(ISNUMBER(L36),IF(L36&gt;=0,"downhill (favoured)","uphill (small amount)"),"")</f>
        <v/>
      </c>
      <c r="O36" s="2" t="n"/>
      <c r="P36" s="2" t="n"/>
      <c r="Q36" s="3" t="inlineStr">
        <is>
          <t>CC(C)=O.C[CH]=[O+][O-]</t>
        </is>
      </c>
      <c r="R36" s="2" t="inlineStr">
        <is>
          <t>Acetone and the carbonyl oxide of acetaldehyde.</t>
        </is>
      </c>
      <c r="S36" s="3" t="inlineStr">
        <is>
          <t>C[CH:1]1[O:2][O:3][O:4][C:5]1(C)C</t>
        </is>
      </c>
      <c r="T36" s="3" t="inlineStr">
        <is>
          <t>2&gt;1-2; 1-5&gt;4-5; 3-4&gt;3</t>
        </is>
      </c>
    </row>
    <row r="37">
      <c r="A37" s="2" t="inlineStr">
        <is>
          <t>R011</t>
        </is>
      </c>
      <c r="B37" s="2" t="n">
        <v>3</v>
      </c>
      <c r="C37" s="2" t="inlineStr">
        <is>
          <t>[3+2] recombination</t>
        </is>
      </c>
      <c r="D37" s="2" t="inlineStr">
        <is>
          <t>the carbonyl oxide's ends</t>
        </is>
      </c>
      <c r="E37" s="2" t="inlineStr">
        <is>
          <t>the C=O of acetone</t>
        </is>
      </c>
      <c r="F37" s="2" t="inlineStr">
        <is>
          <t>C–O; O–C</t>
        </is>
      </c>
      <c r="G37" s="2" t="inlineStr">
        <is>
          <t>C=O (π)</t>
        </is>
      </c>
      <c r="H37" s="2" t="n"/>
      <c r="I37" s="2" t="n"/>
      <c r="J37" s="2" t="n"/>
      <c r="K37" s="2" t="n"/>
      <c r="L37" s="2">
        <f>IF(AND(ISNUMBER(I37),ISNUMBER(K37)),K37-I37,"")</f>
        <v/>
      </c>
      <c r="M37" s="4">
        <f>IF(ISNUMBER(L37),10^L37,"")</f>
        <v/>
      </c>
      <c r="N37" s="2">
        <f>IF(ISNUMBER(L37),IF(L37&gt;=0,"downhill (favoured)","uphill (small amount)"),"")</f>
        <v/>
      </c>
      <c r="O37" s="2" t="n"/>
      <c r="P37" s="2" t="n"/>
      <c r="Q37" s="3" t="inlineStr">
        <is>
          <t>CC1OC(C)(C)OO1</t>
        </is>
      </c>
      <c r="R37" s="2" t="inlineStr">
        <is>
          <t>The ozonide (1,2,4-trioxolane).</t>
        </is>
      </c>
      <c r="S37" s="3" t="inlineStr">
        <is>
          <t>C[CH:1]=[O+:2][O-:3].C[C:4](C)=[O:5]</t>
        </is>
      </c>
      <c r="T37" s="3" t="inlineStr">
        <is>
          <t>3&gt;4; 4-5&gt;1-5; 1-2&gt;2</t>
        </is>
      </c>
    </row>
    <row r="38">
      <c r="A38" s="2" t="inlineStr">
        <is>
          <t>R011</t>
        </is>
      </c>
      <c r="B38" s="2" t="n">
        <v>4</v>
      </c>
      <c r="C38" s="2" t="inlineStr">
        <is>
          <t>reduction (Me2S): S attacks the O–O</t>
        </is>
      </c>
      <c r="D38" s="2" t="inlineStr">
        <is>
          <t>a lone pair on the S of Me2S</t>
        </is>
      </c>
      <c r="E38" s="2" t="inlineStr">
        <is>
          <t>an O of the O–O bond; the O–O electrons go onto the other O (the ring opens)</t>
        </is>
      </c>
      <c r="F38" s="2" t="inlineStr">
        <is>
          <t>S–O</t>
        </is>
      </c>
      <c r="G38" s="2" t="inlineStr">
        <is>
          <t>O–O</t>
        </is>
      </c>
      <c r="H38" s="2" t="n"/>
      <c r="I38" s="2" t="n"/>
      <c r="J38" s="2" t="n"/>
      <c r="K38" s="2" t="n"/>
      <c r="L38" s="2">
        <f>IF(AND(ISNUMBER(I38),ISNUMBER(K38)),K38-I38,"")</f>
        <v/>
      </c>
      <c r="M38" s="4">
        <f>IF(ISNUMBER(L38),10^L38,"")</f>
        <v/>
      </c>
      <c r="N38" s="2">
        <f>IF(ISNUMBER(L38),IF(L38&gt;=0,"downhill (favoured)","uphill (small amount)"),"")</f>
        <v/>
      </c>
      <c r="O38" s="2" t="n"/>
      <c r="P38" s="2" t="n"/>
      <c r="Q38" s="3" t="inlineStr">
        <is>
          <t>C[S+](C)OC(C)(C)OC(C)[O-]</t>
        </is>
      </c>
      <c r="R38" s="2" t="inlineStr">
        <is>
          <t>The weak O–O bond (≈ 35 kcal/mol) is the one that breaks.</t>
        </is>
      </c>
      <c r="S38" s="3" t="inlineStr">
        <is>
          <t>CC1OC(C)(C)[O:3][O:2]1.C[S:5]C</t>
        </is>
      </c>
      <c r="T38" s="3" t="inlineStr">
        <is>
          <t>5&gt;3; 3-2&gt;2</t>
        </is>
      </c>
    </row>
    <row r="39">
      <c r="A39" s="2" t="inlineStr">
        <is>
          <t>R011</t>
        </is>
      </c>
      <c r="B39" s="2" t="n">
        <v>5</v>
      </c>
      <c r="C39" s="2" t="inlineStr">
        <is>
          <t>fragmentation to the two carbonyls</t>
        </is>
      </c>
      <c r="D39" s="2" t="inlineStr">
        <is>
          <t>the O⁻ lone pair, then a C–O bond, then the C–O bond to the O on S</t>
        </is>
      </c>
      <c r="E39" s="2" t="inlineStr">
        <is>
          <t>the C=O of acetaldehyde, the C=O of acetone, and the O on S (DMSO)</t>
        </is>
      </c>
      <c r="F39" s="2" t="inlineStr">
        <is>
          <t>2 × C=O</t>
        </is>
      </c>
      <c r="G39" s="2" t="inlineStr">
        <is>
          <t>2 × C–O</t>
        </is>
      </c>
      <c r="H39" s="2" t="n"/>
      <c r="I39" s="2" t="n"/>
      <c r="J39" s="2" t="n"/>
      <c r="K39" s="2" t="n"/>
      <c r="L39" s="2">
        <f>IF(AND(ISNUMBER(I39),ISNUMBER(K39)),K39-I39,"")</f>
        <v/>
      </c>
      <c r="M39" s="4">
        <f>IF(ISNUMBER(L39),10^L39,"")</f>
        <v/>
      </c>
      <c r="N39" s="2">
        <f>IF(ISNUMBER(L39),IF(L39&gt;=0,"downhill (favoured)","uphill (small amount)"),"")</f>
        <v/>
      </c>
      <c r="O39" s="2" t="n"/>
      <c r="P39" s="2" t="n"/>
      <c r="Q39" s="3" t="inlineStr">
        <is>
          <t>CC=O.CC(C)=O.C[S+](C)[O-]</t>
        </is>
      </c>
      <c r="R39" s="2" t="inlineStr">
        <is>
          <t>Acetaldehyde + acetone, and DMSO (drawn Me2S⁺–O⁻, the same as Me2S=O). Me2S takes the extra O, so no H2O2 forms and the aldehyde is not oxidised to the acid.</t>
        </is>
      </c>
      <c r="S39" s="3" t="inlineStr">
        <is>
          <t>C[S+:5](C)[O:3][C:4](C)(C)[O:6][CH:7](C)[O-:2]</t>
        </is>
      </c>
      <c r="T39" s="3" t="inlineStr">
        <is>
          <t>2&gt;2-7; 7-6&gt;6-4; 4-3&gt;3</t>
        </is>
      </c>
    </row>
    <row r="40">
      <c r="A40" s="2" t="inlineStr">
        <is>
          <t>R012</t>
        </is>
      </c>
      <c r="B40" s="2" t="n">
        <v>1</v>
      </c>
      <c r="C40" s="2" t="inlineStr">
        <is>
          <t>initiation (radical)</t>
        </is>
      </c>
      <c r="D40" s="2" t="inlineStr">
        <is>
          <t>light splits a Br–Br bond (NBS keeps a trace of Br2): one electron to each Br</t>
        </is>
      </c>
      <c r="E40" s="2" t="inlineStr">
        <is>
          <t>two Br•</t>
        </is>
      </c>
      <c r="F40" s="2" t="n"/>
      <c r="G40" s="2" t="inlineStr">
        <is>
          <t>Br–Br</t>
        </is>
      </c>
      <c r="H40" s="2" t="n"/>
      <c r="I40" s="2" t="n"/>
      <c r="J40" s="2" t="n"/>
      <c r="K40" s="2" t="n"/>
      <c r="L40" s="2">
        <f>IF(AND(ISNUMBER(I40),ISNUMBER(K40)),K40-I40,"")</f>
        <v/>
      </c>
      <c r="M40" s="4">
        <f>IF(ISNUMBER(L40),10^L40,"")</f>
        <v/>
      </c>
      <c r="N40" s="2">
        <f>IF(ISNUMBER(L40),IF(L40&gt;=0,"downhill (favoured)","uphill (small amount)"),"")</f>
        <v/>
      </c>
      <c r="O40" s="2" t="n"/>
      <c r="P40" s="2" t="n"/>
      <c r="Q40" s="3" t="inlineStr">
        <is>
          <t>[Br].[Br]</t>
        </is>
      </c>
      <c r="R40" s="2" t="n"/>
      <c r="S40" s="3" t="inlineStr">
        <is>
          <t>[Br:1][Br:2]</t>
        </is>
      </c>
      <c r="T40" s="3" t="inlineStr">
        <is>
          <t>~1-2&gt;1; ~1-2&gt;2</t>
        </is>
      </c>
    </row>
    <row r="41">
      <c r="A41" s="2" t="inlineStr">
        <is>
          <t>R012</t>
        </is>
      </c>
      <c r="B41" s="2" t="n">
        <v>2</v>
      </c>
      <c r="C41" s="2" t="inlineStr">
        <is>
          <t>allylic H abstraction</t>
        </is>
      </c>
      <c r="D41" s="2" t="inlineStr">
        <is>
          <t>Br• and one electron of an allylic C–H</t>
        </is>
      </c>
      <c r="E41" s="2" t="inlineStr">
        <is>
          <t>a new H–Br bond; the other electron stays on C (allylic radical)</t>
        </is>
      </c>
      <c r="F41" s="2" t="inlineStr">
        <is>
          <t>H–Br</t>
        </is>
      </c>
      <c r="G41" s="2" t="inlineStr">
        <is>
          <t>C–H (allylic)</t>
        </is>
      </c>
      <c r="H41" s="2" t="n"/>
      <c r="I41" s="2" t="n"/>
      <c r="J41" s="2" t="n"/>
      <c r="K41" s="2" t="n"/>
      <c r="L41" s="2">
        <f>IF(AND(ISNUMBER(I41),ISNUMBER(K41)),K41-I41,"")</f>
        <v/>
      </c>
      <c r="M41" s="4">
        <f>IF(ISNUMBER(L41),10^L41,"")</f>
        <v/>
      </c>
      <c r="N41" s="2">
        <f>IF(ISNUMBER(L41),IF(L41&gt;=0,"downhill (favoured)","uphill (small amount)"),"")</f>
        <v/>
      </c>
      <c r="O41" s="2" t="n"/>
      <c r="P41" s="2" t="n"/>
      <c r="Q41" s="3" t="inlineStr">
        <is>
          <t>[CH]1C=CCCC1.Br</t>
        </is>
      </c>
      <c r="R41" s="2" t="inlineStr">
        <is>
          <t>The allylic radical is resonance-stabilised (the electron is shared by both ends); the allylic C–H is weak (≈ 89 kcal/mol).</t>
        </is>
      </c>
      <c r="S41" s="3" t="inlineStr">
        <is>
          <t>[Br:1].[CH:2]1=[CH:3][CH:4]([H:5])CCC1</t>
        </is>
      </c>
      <c r="T41" s="3" t="inlineStr">
        <is>
          <t>~1&gt;1-5; ~4-5&gt;1-5; ~4-5&gt;4</t>
        </is>
      </c>
    </row>
    <row r="42">
      <c r="A42" s="2" t="inlineStr">
        <is>
          <t>R012</t>
        </is>
      </c>
      <c r="B42" s="2" t="n">
        <v>3</v>
      </c>
      <c r="C42" s="2" t="inlineStr">
        <is>
          <t>Br2 regenerated</t>
        </is>
      </c>
      <c r="D42" s="2" t="inlineStr">
        <is>
          <t>the HBr just formed reacts with NBS</t>
        </is>
      </c>
      <c r="E42" s="2" t="inlineStr">
        <is>
          <t>Br2 and succinimide</t>
        </is>
      </c>
      <c r="F42" s="2" t="inlineStr">
        <is>
          <t>Br–Br</t>
        </is>
      </c>
      <c r="G42" s="2" t="inlineStr">
        <is>
          <t>N–Br; H–Br</t>
        </is>
      </c>
      <c r="H42" s="2" t="n"/>
      <c r="I42" s="2" t="n"/>
      <c r="J42" s="2" t="n"/>
      <c r="K42" s="2" t="n"/>
      <c r="L42" s="2">
        <f>IF(AND(ISNUMBER(I42),ISNUMBER(K42)),K42-I42,"")</f>
        <v/>
      </c>
      <c r="M42" s="4">
        <f>IF(ISNUMBER(L42),10^L42,"")</f>
        <v/>
      </c>
      <c r="N42" s="2">
        <f>IF(ISNUMBER(L42),IF(L42&gt;=0,"downhill (favoured)","uphill (small amount)"),"")</f>
        <v/>
      </c>
      <c r="O42" s="2" t="n"/>
      <c r="P42" s="2" t="n"/>
      <c r="Q42" s="3" t="inlineStr">
        <is>
          <t>O=C1CCC(=O)N1.BrBr</t>
        </is>
      </c>
      <c r="R42" s="2" t="inlineStr">
        <is>
          <t>NBS keeps Br2 very low, so Br2 does not add across the C=C.</t>
        </is>
      </c>
      <c r="S42" s="3" t="inlineStr">
        <is>
          <t>[H:1][Br:2].O=C1CCC(=O)[N:3]1[Br:4]</t>
        </is>
      </c>
      <c r="T42" s="3" t="inlineStr">
        <is>
          <t>2&gt;4; 3-4&gt;3; 3&gt;1; 1-2&gt;2</t>
        </is>
      </c>
    </row>
    <row r="43">
      <c r="A43" s="2" t="inlineStr">
        <is>
          <t>R012</t>
        </is>
      </c>
      <c r="B43" s="2" t="n">
        <v>4</v>
      </c>
      <c r="C43" s="2" t="inlineStr">
        <is>
          <t>bromine transfer</t>
        </is>
      </c>
      <c r="D43" s="2" t="inlineStr">
        <is>
          <t>the radical C and one electron of a Br–Br bond</t>
        </is>
      </c>
      <c r="E43" s="2" t="inlineStr">
        <is>
          <t>a new C–Br bond; the other Br becomes Br•</t>
        </is>
      </c>
      <c r="F43" s="2" t="inlineStr">
        <is>
          <t>C–Br</t>
        </is>
      </c>
      <c r="G43" s="2" t="inlineStr">
        <is>
          <t>Br–Br</t>
        </is>
      </c>
      <c r="H43" s="2" t="n"/>
      <c r="I43" s="2" t="n"/>
      <c r="J43" s="2" t="n"/>
      <c r="K43" s="2" t="n"/>
      <c r="L43" s="2">
        <f>IF(AND(ISNUMBER(I43),ISNUMBER(K43)),K43-I43,"")</f>
        <v/>
      </c>
      <c r="M43" s="4">
        <f>IF(ISNUMBER(L43),10^L43,"")</f>
        <v/>
      </c>
      <c r="N43" s="2">
        <f>IF(ISNUMBER(L43),IF(L43&gt;=0,"downhill (favoured)","uphill (small amount)"),"")</f>
        <v/>
      </c>
      <c r="O43" s="2" t="n"/>
      <c r="P43" s="2" t="n"/>
      <c r="Q43" s="3" t="inlineStr">
        <is>
          <t>BrC1C=CCCC1.[Br]</t>
        </is>
      </c>
      <c r="R43" s="2" t="inlineStr">
        <is>
          <t>Br• carries the chain on.</t>
        </is>
      </c>
      <c r="S43" s="3" t="inlineStr">
        <is>
          <t>[CH:1]1C=CCCC1.[Br:2][Br:3]</t>
        </is>
      </c>
      <c r="T43" s="3" t="inlineStr">
        <is>
          <t>~1&gt;1-2; ~2-3&gt;1-2; ~2-3&gt;3</t>
        </is>
      </c>
    </row>
    <row r="44">
      <c r="A44" s="2" t="inlineStr">
        <is>
          <t>R013</t>
        </is>
      </c>
      <c r="B44" s="2" t="n">
        <v>1</v>
      </c>
      <c r="C44" s="2" t="inlineStr">
        <is>
          <t>first H2 adds (syn, on Pd)</t>
        </is>
      </c>
      <c r="D44" s="2" t="inlineStr">
        <is>
          <t>the H–H electrons via the Pd surface</t>
        </is>
      </c>
      <c r="E44" s="2" t="inlineStr">
        <is>
          <t>both alkyne C (one π bond)</t>
        </is>
      </c>
      <c r="F44" s="2" t="inlineStr">
        <is>
          <t>2 × C–H</t>
        </is>
      </c>
      <c r="G44" s="2" t="inlineStr">
        <is>
          <t>one C≡C π bond</t>
        </is>
      </c>
      <c r="H44" s="2" t="n"/>
      <c r="I44" s="2" t="n"/>
      <c r="J44" s="2" t="n"/>
      <c r="K44" s="2" t="n"/>
      <c r="L44" s="2">
        <f>IF(AND(ISNUMBER(I44),ISNUMBER(K44)),K44-I44,"")</f>
        <v/>
      </c>
      <c r="M44" s="4">
        <f>IF(ISNUMBER(L44),10^L44,"")</f>
        <v/>
      </c>
      <c r="N44" s="2">
        <f>IF(ISNUMBER(L44),IF(L44&gt;=0,"downhill (favoured)","uphill (small amount)"),"")</f>
        <v/>
      </c>
      <c r="O44" s="2" t="n"/>
      <c r="P44" s="2" t="n"/>
      <c r="Q44" s="3" t="inlineStr">
        <is>
          <t>C/C=C\C</t>
        </is>
      </c>
      <c r="R44" s="2" t="inlineStr">
        <is>
          <t>A cis-alkene first.</t>
        </is>
      </c>
      <c r="S44" s="3" t="inlineStr">
        <is>
          <t>C[C:1]#[C:2]C.[H:3][H:4]</t>
        </is>
      </c>
      <c r="T44" s="3" t="inlineStr">
        <is>
          <t>3-4&gt;1-3; 1-2&gt;2-4</t>
        </is>
      </c>
    </row>
    <row r="45">
      <c r="A45" s="2" t="inlineStr">
        <is>
          <t>R013</t>
        </is>
      </c>
      <c r="B45" s="2" t="n">
        <v>2</v>
      </c>
      <c r="C45" s="2" t="inlineStr">
        <is>
          <t>second H2 adds (syn, on Pd)</t>
        </is>
      </c>
      <c r="D45" s="2" t="inlineStr">
        <is>
          <t>the H–H electrons via the Pd surface</t>
        </is>
      </c>
      <c r="E45" s="2" t="inlineStr">
        <is>
          <t>both alkene C</t>
        </is>
      </c>
      <c r="F45" s="2" t="inlineStr">
        <is>
          <t>2 × C–H</t>
        </is>
      </c>
      <c r="G45" s="2" t="inlineStr">
        <is>
          <t>C=C (π)</t>
        </is>
      </c>
      <c r="H45" s="2" t="n"/>
      <c r="I45" s="2" t="n"/>
      <c r="J45" s="2" t="n"/>
      <c r="K45" s="2" t="n"/>
      <c r="L45" s="2">
        <f>IF(AND(ISNUMBER(I45),ISNUMBER(K45)),K45-I45,"")</f>
        <v/>
      </c>
      <c r="M45" s="4">
        <f>IF(ISNUMBER(L45),10^L45,"")</f>
        <v/>
      </c>
      <c r="N45" s="2">
        <f>IF(ISNUMBER(L45),IF(L45&gt;=0,"downhill (favoured)","uphill (small amount)"),"")</f>
        <v/>
      </c>
      <c r="O45" s="2" t="n"/>
      <c r="P45" s="2" t="n"/>
      <c r="Q45" s="3" t="inlineStr">
        <is>
          <t>CCCC</t>
        </is>
      </c>
      <c r="R45" s="2" t="inlineStr">
        <is>
          <t>Plain Pd keeps going to the alkane.</t>
        </is>
      </c>
      <c r="S45" s="3" t="inlineStr">
        <is>
          <t>C/[CH:1]=[CH:2]\C.[H:3][H:4]</t>
        </is>
      </c>
      <c r="T45" s="3" t="inlineStr">
        <is>
          <t>3-4&gt;1-3; 1-2&gt;2-4</t>
        </is>
      </c>
    </row>
    <row r="46">
      <c r="A46" s="2" t="inlineStr">
        <is>
          <t>R014</t>
        </is>
      </c>
      <c r="B46" s="2" t="n">
        <v>1</v>
      </c>
      <c r="C46" s="2" t="inlineStr">
        <is>
          <t>H2 adds to the poisoned Pd</t>
        </is>
      </c>
      <c r="D46" s="2" t="inlineStr">
        <is>
          <t>the H–H bond's electrons</t>
        </is>
      </c>
      <c r="E46" s="2" t="inlineStr">
        <is>
          <t>the Pd surface: two Pd–H bonds</t>
        </is>
      </c>
      <c r="F46" s="2" t="inlineStr">
        <is>
          <t>2 × Pd–H</t>
        </is>
      </c>
      <c r="G46" s="2" t="inlineStr">
        <is>
          <t>H–H</t>
        </is>
      </c>
      <c r="H46" s="2" t="n"/>
      <c r="I46" s="2" t="n"/>
      <c r="J46" s="2" t="n"/>
      <c r="K46" s="2" t="n"/>
      <c r="L46" s="2">
        <f>IF(AND(ISNUMBER(I46),ISNUMBER(K46)),K46-I46,"")</f>
        <v/>
      </c>
      <c r="M46" s="4">
        <f>IF(ISNUMBER(L46),10^L46,"")</f>
        <v/>
      </c>
      <c r="N46" s="2">
        <f>IF(ISNUMBER(L46),IF(L46&gt;=0,"downhill (favoured)","uphill (small amount)"),"")</f>
        <v/>
      </c>
      <c r="O46" s="2" t="n"/>
      <c r="P46" s="2" t="n"/>
      <c r="Q46" s="3" t="inlineStr">
        <is>
          <t>[H][Pd][H]</t>
        </is>
      </c>
      <c r="R46" s="2" t="n"/>
      <c r="S46" s="3" t="inlineStr">
        <is>
          <t>[H:1][H:2].[Pd:3]</t>
        </is>
      </c>
      <c r="T46" s="3" t="inlineStr">
        <is>
          <t>1-2&gt;2-3; 3&gt;1</t>
        </is>
      </c>
    </row>
    <row r="47">
      <c r="A47" s="2" t="inlineStr">
        <is>
          <t>R014</t>
        </is>
      </c>
      <c r="B47" s="2" t="n">
        <v>2</v>
      </c>
      <c r="C47" s="2" t="inlineStr">
        <is>
          <t>syn addition of 2 H</t>
        </is>
      </c>
      <c r="D47" s="2" t="inlineStr">
        <is>
          <t>the Pd–H bond electrons</t>
        </is>
      </c>
      <c r="E47" s="2" t="inlineStr">
        <is>
          <t>both alkyne C from the same face</t>
        </is>
      </c>
      <c r="F47" s="2" t="inlineStr">
        <is>
          <t>2 × C–H</t>
        </is>
      </c>
      <c r="G47" s="2" t="inlineStr">
        <is>
          <t>one C≡C π bond</t>
        </is>
      </c>
      <c r="H47" s="2" t="n"/>
      <c r="I47" s="2" t="n"/>
      <c r="J47" s="2" t="n"/>
      <c r="K47" s="2" t="n"/>
      <c r="L47" s="2">
        <f>IF(AND(ISNUMBER(I47),ISNUMBER(K47)),K47-I47,"")</f>
        <v/>
      </c>
      <c r="M47" s="4">
        <f>IF(ISNUMBER(L47),10^L47,"")</f>
        <v/>
      </c>
      <c r="N47" s="2">
        <f>IF(ISNUMBER(L47),IF(L47&gt;=0,"downhill (favoured)","uphill (small amount)"),"")</f>
        <v/>
      </c>
      <c r="O47" s="2" t="n"/>
      <c r="P47" s="2" t="n"/>
      <c r="Q47" s="3" t="inlineStr">
        <is>
          <t>C/C=C\C</t>
        </is>
      </c>
      <c r="R47" s="2" t="inlineStr">
        <is>
          <t>Lead and quinoline weaken the catalyst so the alkene comes off and is not reduced: the cis (Z) alkene.</t>
        </is>
      </c>
      <c r="S47" s="3" t="inlineStr">
        <is>
          <t>[H:1][Pd:3][H:2].C[C:4]#[C:5]C</t>
        </is>
      </c>
      <c r="T47" s="3" t="inlineStr">
        <is>
          <t>3-1&gt;1-4; 4-5&gt;5-2; 3-2&gt;3</t>
        </is>
      </c>
    </row>
    <row r="48">
      <c r="A48" s="2" t="inlineStr">
        <is>
          <t>R015</t>
        </is>
      </c>
      <c r="B48" s="2" t="n">
        <v>1</v>
      </c>
      <c r="C48" s="2" t="inlineStr">
        <is>
          <t>electron transfer</t>
        </is>
      </c>
      <c r="D48" s="2" t="inlineStr">
        <is>
          <t>one electron from Na</t>
        </is>
      </c>
      <c r="E48" s="2" t="inlineStr">
        <is>
          <t>the alkyne's π* orbital</t>
        </is>
      </c>
      <c r="F48" s="2" t="n"/>
      <c r="G48" s="2" t="n"/>
      <c r="H48" s="2" t="n"/>
      <c r="I48" s="2" t="n"/>
      <c r="J48" s="2" t="n"/>
      <c r="K48" s="2" t="n"/>
      <c r="L48" s="2">
        <f>IF(AND(ISNUMBER(I48),ISNUMBER(K48)),K48-I48,"")</f>
        <v/>
      </c>
      <c r="M48" s="4">
        <f>IF(ISNUMBER(L48),10^L48,"")</f>
        <v/>
      </c>
      <c r="N48" s="2">
        <f>IF(ISNUMBER(L48),IF(L48&gt;=0,"downhill (favoured)","uphill (small amount)"),"")</f>
        <v/>
      </c>
      <c r="O48" s="2" t="n"/>
      <c r="P48" s="2" t="n"/>
      <c r="Q48" s="3" t="inlineStr">
        <is>
          <t>C[C-]=[C]C</t>
        </is>
      </c>
      <c r="R48" s="2" t="inlineStr">
        <is>
          <t>A radical anion.</t>
        </is>
      </c>
      <c r="S48" s="3" t="inlineStr">
        <is>
          <t>C[C:1]#[C:2]C.[Na:3]</t>
        </is>
      </c>
      <c r="T48" s="3" t="inlineStr">
        <is>
          <t>1-2&gt;1; ~3&gt;2</t>
        </is>
      </c>
    </row>
    <row r="49">
      <c r="A49" s="2" t="inlineStr">
        <is>
          <t>R015</t>
        </is>
      </c>
      <c r="B49" s="2" t="n">
        <v>2</v>
      </c>
      <c r="C49" s="2" t="inlineStr">
        <is>
          <t>protonation</t>
        </is>
      </c>
      <c r="D49" s="2" t="inlineStr">
        <is>
          <t>the carbanion's lone pair</t>
        </is>
      </c>
      <c r="E49" s="2" t="inlineStr">
        <is>
          <t>an H of NH3; that N–H bond's electrons go to N (NH2⁻)</t>
        </is>
      </c>
      <c r="F49" s="2" t="inlineStr">
        <is>
          <t>C–H</t>
        </is>
      </c>
      <c r="G49" s="2" t="inlineStr">
        <is>
          <t>N–H</t>
        </is>
      </c>
      <c r="H49" s="2" t="inlineStr">
        <is>
          <t>NH3</t>
        </is>
      </c>
      <c r="I49" s="2" t="n">
        <v>38</v>
      </c>
      <c r="J49" s="2" t="inlineStr">
        <is>
          <t>the alkene C–H (vinyl)</t>
        </is>
      </c>
      <c r="K49" s="2" t="n">
        <v>44</v>
      </c>
      <c r="L49" s="2">
        <f>IF(AND(ISNUMBER(I49),ISNUMBER(K49)),K49-I49,"")</f>
        <v/>
      </c>
      <c r="M49" s="4">
        <f>IF(ISNUMBER(L49),10^L49,"")</f>
        <v/>
      </c>
      <c r="N49" s="2">
        <f>IF(ISNUMBER(L49),IF(L49&gt;=0,"downhill (favoured)","uphill (small amount)"),"")</f>
        <v/>
      </c>
      <c r="O49" s="2" t="n"/>
      <c r="P49" s="2" t="n"/>
      <c r="Q49" s="3" t="inlineStr">
        <is>
          <t>CC=[C]C.[NH2-]</t>
        </is>
      </c>
      <c r="R49" s="2" t="inlineStr">
        <is>
          <t>A vinyl radical; the groups go trans to keep apart.</t>
        </is>
      </c>
      <c r="S49" s="3" t="inlineStr">
        <is>
          <t>C[C-:1]=[C:2]C.[NH2:3][H:4]</t>
        </is>
      </c>
      <c r="T49" s="3" t="inlineStr">
        <is>
          <t>1&gt;1-4; 4-3&gt;3</t>
        </is>
      </c>
    </row>
    <row r="50">
      <c r="A50" s="2" t="inlineStr">
        <is>
          <t>R015</t>
        </is>
      </c>
      <c r="B50" s="2" t="n">
        <v>3</v>
      </c>
      <c r="C50" s="2" t="inlineStr">
        <is>
          <t>second electron transfer</t>
        </is>
      </c>
      <c r="D50" s="2" t="inlineStr">
        <is>
          <t>one electron from Na</t>
        </is>
      </c>
      <c r="E50" s="2" t="inlineStr">
        <is>
          <t>the vinyl radical</t>
        </is>
      </c>
      <c r="F50" s="2" t="n"/>
      <c r="G50" s="2" t="n"/>
      <c r="H50" s="2" t="n"/>
      <c r="I50" s="2" t="n"/>
      <c r="J50" s="2" t="n"/>
      <c r="K50" s="2" t="n"/>
      <c r="L50" s="2">
        <f>IF(AND(ISNUMBER(I50),ISNUMBER(K50)),K50-I50,"")</f>
        <v/>
      </c>
      <c r="M50" s="4">
        <f>IF(ISNUMBER(L50),10^L50,"")</f>
        <v/>
      </c>
      <c r="N50" s="2">
        <f>IF(ISNUMBER(L50),IF(L50&gt;=0,"downhill (favoured)","uphill (small amount)"),"")</f>
        <v/>
      </c>
      <c r="O50" s="2" t="n"/>
      <c r="P50" s="2" t="n"/>
      <c r="Q50" s="3" t="inlineStr">
        <is>
          <t>C/C=[C-]/C</t>
        </is>
      </c>
      <c r="R50" s="2" t="inlineStr">
        <is>
          <t>The trans vinyl anion (more stable).</t>
        </is>
      </c>
      <c r="S50" s="3" t="inlineStr">
        <is>
          <t>C[CH:1]=[C:2]C.[Na:3]</t>
        </is>
      </c>
      <c r="T50" s="3" t="inlineStr">
        <is>
          <t>~3&gt;2</t>
        </is>
      </c>
    </row>
    <row r="51">
      <c r="A51" s="2" t="inlineStr">
        <is>
          <t>R015</t>
        </is>
      </c>
      <c r="B51" s="2" t="n">
        <v>4</v>
      </c>
      <c r="C51" s="2" t="inlineStr">
        <is>
          <t>protonation</t>
        </is>
      </c>
      <c r="D51" s="2" t="inlineStr">
        <is>
          <t>the vinyl anion's lone pair</t>
        </is>
      </c>
      <c r="E51" s="2" t="inlineStr">
        <is>
          <t>an H of NH3</t>
        </is>
      </c>
      <c r="F51" s="2" t="inlineStr">
        <is>
          <t>C–H</t>
        </is>
      </c>
      <c r="G51" s="2" t="inlineStr">
        <is>
          <t>N–H</t>
        </is>
      </c>
      <c r="H51" s="2" t="inlineStr">
        <is>
          <t>NH3</t>
        </is>
      </c>
      <c r="I51" s="2" t="n">
        <v>38</v>
      </c>
      <c r="J51" s="2" t="inlineStr">
        <is>
          <t>the alkene C–H (vinyl)</t>
        </is>
      </c>
      <c r="K51" s="2" t="n">
        <v>44</v>
      </c>
      <c r="L51" s="2">
        <f>IF(AND(ISNUMBER(I51),ISNUMBER(K51)),K51-I51,"")</f>
        <v/>
      </c>
      <c r="M51" s="4">
        <f>IF(ISNUMBER(L51),10^L51,"")</f>
        <v/>
      </c>
      <c r="N51" s="2">
        <f>IF(ISNUMBER(L51),IF(L51&gt;=0,"downhill (favoured)","uphill (small amount)"),"")</f>
        <v/>
      </c>
      <c r="O51" s="2" t="n"/>
      <c r="P51" s="2" t="n"/>
      <c r="Q51" s="3" t="inlineStr">
        <is>
          <t>C/C=C/C.[NH2-]</t>
        </is>
      </c>
      <c r="R51" s="2" t="inlineStr">
        <is>
          <t>The E (trans) alkene.</t>
        </is>
      </c>
      <c r="S51" s="3" t="inlineStr">
        <is>
          <t>C/[CH:1]=[C-:2]/C.[NH2:3][H:4]</t>
        </is>
      </c>
      <c r="T51" s="3" t="inlineStr">
        <is>
          <t>2&gt;2-4; 4-3&gt;3</t>
        </is>
      </c>
    </row>
    <row r="52">
      <c r="A52" s="2" t="inlineStr">
        <is>
          <t>R016</t>
        </is>
      </c>
      <c r="B52" s="2" t="n">
        <v>1</v>
      </c>
      <c r="C52" s="2" t="inlineStr">
        <is>
          <t>Hg²⁺ adds to the alkyne</t>
        </is>
      </c>
      <c r="D52" s="2" t="inlineStr">
        <is>
          <t>the C≡C π electrons</t>
        </is>
      </c>
      <c r="E52" s="2" t="inlineStr">
        <is>
          <t>Hg²⁺ (mercury bonds to the terminal C)</t>
        </is>
      </c>
      <c r="F52" s="2" t="inlineStr">
        <is>
          <t>C–Hg</t>
        </is>
      </c>
      <c r="G52" s="2" t="inlineStr">
        <is>
          <t>C≡C (one π)</t>
        </is>
      </c>
      <c r="H52" s="2" t="n"/>
      <c r="I52" s="2" t="n"/>
      <c r="J52" s="2" t="n"/>
      <c r="K52" s="2" t="n"/>
      <c r="L52" s="2">
        <f>IF(AND(ISNUMBER(I52),ISNUMBER(K52)),K52-I52,"")</f>
        <v/>
      </c>
      <c r="M52" s="4">
        <f>IF(ISNUMBER(L52),10^L52,"")</f>
        <v/>
      </c>
      <c r="N52" s="2">
        <f>IF(ISNUMBER(L52),IF(L52&gt;=0,"downhill (favoured)","uphill (small amount)"),"")</f>
        <v/>
      </c>
      <c r="O52" s="2" t="n"/>
      <c r="P52" s="2" t="n"/>
      <c r="Q52" s="3" t="inlineStr">
        <is>
          <t>C[C+]=C[Hg+]</t>
        </is>
      </c>
      <c r="R52" s="2" t="inlineStr">
        <is>
          <t>Positive charge on the more substituted C.</t>
        </is>
      </c>
      <c r="S52" s="3" t="inlineStr">
        <is>
          <t>C[C:1]#[CH:2].[Hg+2:3]</t>
        </is>
      </c>
      <c r="T52" s="3" t="inlineStr">
        <is>
          <t>1-2&gt;2-3</t>
        </is>
      </c>
    </row>
    <row r="53">
      <c r="A53" s="2" t="inlineStr">
        <is>
          <t>R016</t>
        </is>
      </c>
      <c r="B53" s="2" t="n">
        <v>2</v>
      </c>
      <c r="C53" s="2" t="inlineStr">
        <is>
          <t>water adds</t>
        </is>
      </c>
      <c r="D53" s="2" t="inlineStr">
        <is>
          <t>a lone pair on water</t>
        </is>
      </c>
      <c r="E53" s="2" t="inlineStr">
        <is>
          <t>the more substituted (cationic) C</t>
        </is>
      </c>
      <c r="F53" s="2" t="inlineStr">
        <is>
          <t>C–O</t>
        </is>
      </c>
      <c r="G53" s="2" t="n"/>
      <c r="H53" s="2" t="n"/>
      <c r="I53" s="2" t="n"/>
      <c r="J53" s="2" t="n"/>
      <c r="K53" s="2" t="n"/>
      <c r="L53" s="2">
        <f>IF(AND(ISNUMBER(I53),ISNUMBER(K53)),K53-I53,"")</f>
        <v/>
      </c>
      <c r="M53" s="4">
        <f>IF(ISNUMBER(L53),10^L53,"")</f>
        <v/>
      </c>
      <c r="N53" s="2">
        <f>IF(ISNUMBER(L53),IF(L53&gt;=0,"downhill (favoured)","uphill (small amount)"),"")</f>
        <v/>
      </c>
      <c r="O53" s="2" t="n"/>
      <c r="P53" s="2" t="n"/>
      <c r="Q53" s="3" t="inlineStr">
        <is>
          <t>CC([OH2+])=C[Hg+]</t>
        </is>
      </c>
      <c r="R53" s="2" t="inlineStr">
        <is>
          <t>Markovnikov.</t>
        </is>
      </c>
      <c r="S53" s="3" t="inlineStr">
        <is>
          <t>C[C+:1]=C[Hg+].[OH2:2]</t>
        </is>
      </c>
      <c r="T53" s="3" t="inlineStr">
        <is>
          <t>2&gt;1</t>
        </is>
      </c>
    </row>
    <row r="54">
      <c r="A54" s="2" t="inlineStr">
        <is>
          <t>R016</t>
        </is>
      </c>
      <c r="B54" s="2" t="n">
        <v>3</v>
      </c>
      <c r="C54" s="2" t="inlineStr">
        <is>
          <t>proton transfer</t>
        </is>
      </c>
      <c r="D54" s="2" t="inlineStr">
        <is>
          <t>a lone pair on another water</t>
        </is>
      </c>
      <c r="E54" s="2" t="inlineStr">
        <is>
          <t>an H on the oxonium O</t>
        </is>
      </c>
      <c r="F54" s="2" t="inlineStr">
        <is>
          <t>H–OH2⁺</t>
        </is>
      </c>
      <c r="G54" s="2" t="inlineStr">
        <is>
          <t>O–H</t>
        </is>
      </c>
      <c r="H54" s="2" t="inlineStr">
        <is>
          <t>the oxonium (R–OH2⁺)</t>
        </is>
      </c>
      <c r="I54" s="2" t="n">
        <v>-2</v>
      </c>
      <c r="J54" s="2" t="inlineStr">
        <is>
          <t>H3O⁺</t>
        </is>
      </c>
      <c r="K54" s="2" t="n">
        <v>-1.7</v>
      </c>
      <c r="L54" s="2">
        <f>IF(AND(ISNUMBER(I54),ISNUMBER(K54)),K54-I54,"")</f>
        <v/>
      </c>
      <c r="M54" s="4">
        <f>IF(ISNUMBER(L54),10^L54,"")</f>
        <v/>
      </c>
      <c r="N54" s="2">
        <f>IF(ISNUMBER(L54),IF(L54&gt;=0,"downhill (favoured)","uphill (small amount)"),"")</f>
        <v/>
      </c>
      <c r="O54" s="2" t="n"/>
      <c r="P54" s="2" t="n"/>
      <c r="Q54" s="3" t="inlineStr">
        <is>
          <t>CC(O)=C[Hg+].[OH3+]</t>
        </is>
      </c>
      <c r="R54" s="2" t="n"/>
      <c r="S54" s="3" t="inlineStr">
        <is>
          <t>CC(=C[Hg+])[O+:1]([H:2])[H].[OH2:3]</t>
        </is>
      </c>
      <c r="T54" s="3" t="inlineStr">
        <is>
          <t>3&gt;2; 2-1&gt;1</t>
        </is>
      </c>
    </row>
    <row r="55">
      <c r="A55" s="2" t="inlineStr">
        <is>
          <t>R016</t>
        </is>
      </c>
      <c r="B55" s="2" t="n">
        <v>4</v>
      </c>
      <c r="C55" s="2" t="inlineStr">
        <is>
          <t>protodemercuration</t>
        </is>
      </c>
      <c r="D55" s="2" t="inlineStr">
        <is>
          <t>the C=C π electrons (pushed by the O lone pair)</t>
        </is>
      </c>
      <c r="E55" s="2" t="inlineStr">
        <is>
          <t>an H of H3O⁺; the C–Hg bond's electrons go to Hg (Hg²⁺ leaves)</t>
        </is>
      </c>
      <c r="F55" s="2" t="inlineStr">
        <is>
          <t>C–H</t>
        </is>
      </c>
      <c r="G55" s="2" t="inlineStr">
        <is>
          <t>C–Hg</t>
        </is>
      </c>
      <c r="H55" s="2" t="n"/>
      <c r="I55" s="2" t="n"/>
      <c r="J55" s="2" t="n"/>
      <c r="K55" s="2" t="n"/>
      <c r="L55" s="2">
        <f>IF(AND(ISNUMBER(I55),ISNUMBER(K55)),K55-I55,"")</f>
        <v/>
      </c>
      <c r="M55" s="4">
        <f>IF(ISNUMBER(L55),10^L55,"")</f>
        <v/>
      </c>
      <c r="N55" s="2">
        <f>IF(ISNUMBER(L55),IF(L55&gt;=0,"downhill (favoured)","uphill (small amount)"),"")</f>
        <v/>
      </c>
      <c r="O55" s="2" t="n"/>
      <c r="P55" s="2" t="n"/>
      <c r="Q55" s="3" t="inlineStr">
        <is>
          <t>CC(O)=C.[Hg+2].O</t>
        </is>
      </c>
      <c r="R55" s="2" t="inlineStr">
        <is>
          <t>An enol; Hg²⁺ is free again (catalytic), and H3O⁺ is back to water.</t>
        </is>
      </c>
      <c r="S55" s="3" t="inlineStr">
        <is>
          <t>C[C:1]([OH:2])=[CH:3][Hg+:4].[H:5][OH2+:6]</t>
        </is>
      </c>
      <c r="T55" s="3" t="inlineStr">
        <is>
          <t>1-3&gt;3-5; 5-6&gt;6; 3-4&gt;1-3</t>
        </is>
      </c>
    </row>
    <row r="56">
      <c r="A56" s="2" t="inlineStr">
        <is>
          <t>R016</t>
        </is>
      </c>
      <c r="B56" s="2" t="n">
        <v>5</v>
      </c>
      <c r="C56" s="2" t="inlineStr">
        <is>
          <t>tautomerisation (keto–enol)</t>
        </is>
      </c>
      <c r="D56" s="2" t="inlineStr">
        <is>
          <t>the enol C=C π electrons, then the O–H</t>
        </is>
      </c>
      <c r="E56" s="2" t="inlineStr">
        <is>
          <t>an H⁺ onto the CH2 end, then off the O</t>
        </is>
      </c>
      <c r="F56" s="2" t="inlineStr">
        <is>
          <t>C–H; C=O</t>
        </is>
      </c>
      <c r="G56" s="2" t="inlineStr">
        <is>
          <t>O–H; C=C</t>
        </is>
      </c>
      <c r="H56" s="2" t="n"/>
      <c r="I56" s="2" t="n"/>
      <c r="J56" s="2" t="n"/>
      <c r="K56" s="2" t="n"/>
      <c r="L56" s="2">
        <f>IF(AND(ISNUMBER(I56),ISNUMBER(K56)),K56-I56,"")</f>
        <v/>
      </c>
      <c r="M56" s="4">
        <f>IF(ISNUMBER(L56),10^L56,"")</f>
        <v/>
      </c>
      <c r="N56" s="2">
        <f>IF(ISNUMBER(L56),IF(L56&gt;=0,"downhill (favoured)","uphill (small amount)"),"")</f>
        <v/>
      </c>
      <c r="O56" s="2" t="n"/>
      <c r="P56" s="2" t="n"/>
      <c r="Q56" s="3" t="inlineStr">
        <is>
          <t>CC(C)=O.[OH3+]</t>
        </is>
      </c>
      <c r="R56" s="2" t="inlineStr">
        <is>
          <t>The keto form is far more stable (C=O is stronger than C=C); acetone. H3O⁺ is given back (catalytic).</t>
        </is>
      </c>
      <c r="S56" s="3" t="inlineStr">
        <is>
          <t>C[C:1]([O:2][H:7])=[CH2:4].[H:5][OH2+:6]</t>
        </is>
      </c>
      <c r="T56" s="3" t="inlineStr">
        <is>
          <t>1-4&gt;4-5; 5-6&gt;6; 2&gt;1-2; 6&gt;7; 7-2&gt;2</t>
        </is>
      </c>
    </row>
    <row r="57">
      <c r="A57" s="2" t="inlineStr">
        <is>
          <t>R017</t>
        </is>
      </c>
      <c r="B57" s="2" t="n">
        <v>1</v>
      </c>
      <c r="C57" s="2" t="inlineStr">
        <is>
          <t>Lewis acid activates Br2</t>
        </is>
      </c>
      <c r="D57" s="2" t="inlineStr">
        <is>
          <t>a lone pair on Br2</t>
        </is>
      </c>
      <c r="E57" s="2" t="inlineStr">
        <is>
          <t>Fe of FeBr3</t>
        </is>
      </c>
      <c r="F57" s="2" t="inlineStr">
        <is>
          <t>Br–Fe</t>
        </is>
      </c>
      <c r="G57" s="2" t="n"/>
      <c r="H57" s="2" t="n"/>
      <c r="I57" s="2" t="n"/>
      <c r="J57" s="2" t="n"/>
      <c r="K57" s="2" t="n"/>
      <c r="L57" s="2">
        <f>IF(AND(ISNUMBER(I57),ISNUMBER(K57)),K57-I57,"")</f>
        <v/>
      </c>
      <c r="M57" s="4">
        <f>IF(ISNUMBER(L57),10^L57,"")</f>
        <v/>
      </c>
      <c r="N57" s="2">
        <f>IF(ISNUMBER(L57),IF(L57&gt;=0,"downhill (favoured)","uphill (small amount)"),"")</f>
        <v/>
      </c>
      <c r="O57" s="2" t="n"/>
      <c r="P57" s="2" t="n"/>
      <c r="Q57" s="3" t="inlineStr">
        <is>
          <t>Br[Br+][Fe-](Br)(Br)Br</t>
        </is>
      </c>
      <c r="R57" s="2" t="inlineStr">
        <is>
          <t>Makes the outer Br strongly electrophilic.</t>
        </is>
      </c>
      <c r="S57" s="3" t="inlineStr">
        <is>
          <t>[Br:1][Br:2].Br[Fe:3](Br)Br</t>
        </is>
      </c>
      <c r="T57" s="3" t="inlineStr">
        <is>
          <t>2&gt;3</t>
        </is>
      </c>
    </row>
    <row r="58">
      <c r="A58" s="2" t="inlineStr">
        <is>
          <t>R017</t>
        </is>
      </c>
      <c r="B58" s="2" t="n">
        <v>2</v>
      </c>
      <c r="C58" s="2" t="inlineStr">
        <is>
          <t>electrophilic attack</t>
        </is>
      </c>
      <c r="D58" s="2" t="inlineStr">
        <is>
          <t>the ring's π electrons</t>
        </is>
      </c>
      <c r="E58" s="2" t="inlineStr">
        <is>
          <t>the outer Br; the Br–Br electrons go to FeBr4⁻</t>
        </is>
      </c>
      <c r="F58" s="2" t="inlineStr">
        <is>
          <t>C–Br</t>
        </is>
      </c>
      <c r="G58" s="2" t="inlineStr">
        <is>
          <t>Br–Br; ring π</t>
        </is>
      </c>
      <c r="H58" s="2" t="n"/>
      <c r="I58" s="2" t="n"/>
      <c r="J58" s="2" t="n"/>
      <c r="K58" s="2" t="n"/>
      <c r="L58" s="2">
        <f>IF(AND(ISNUMBER(I58),ISNUMBER(K58)),K58-I58,"")</f>
        <v/>
      </c>
      <c r="M58" s="4">
        <f>IF(ISNUMBER(L58),10^L58,"")</f>
        <v/>
      </c>
      <c r="N58" s="2">
        <f>IF(ISNUMBER(L58),IF(L58&gt;=0,"downhill (favoured)","uphill (small amount)"),"")</f>
        <v/>
      </c>
      <c r="O58" s="2" t="n"/>
      <c r="P58" s="2" t="n"/>
      <c r="Q58" s="3" t="inlineStr">
        <is>
          <t>BrC1C=CC=C[CH+]1.Br[Fe-](Br)(Br)Br</t>
        </is>
      </c>
      <c r="R58" s="2" t="inlineStr">
        <is>
          <t>Arenium ion (σ-complex): aromaticity is lost here, so this is the slow step.</t>
        </is>
      </c>
      <c r="S58" s="3" t="inlineStr">
        <is>
          <t>[CH:1]1=[CH:2]C=CC=C1.[Br:3][Br+:4][Fe-](Br)(Br)Br</t>
        </is>
      </c>
      <c r="T58" s="3" t="inlineStr">
        <is>
          <t>1-2&gt;1-3; 3-4&gt;4</t>
        </is>
      </c>
    </row>
    <row r="59">
      <c r="A59" s="2" t="inlineStr">
        <is>
          <t>R017</t>
        </is>
      </c>
      <c r="B59" s="2" t="n">
        <v>3</v>
      </c>
      <c r="C59" s="2" t="inlineStr">
        <is>
          <t>deprotonation (rearomatisation)</t>
        </is>
      </c>
      <c r="D59" s="2" t="inlineStr">
        <is>
          <t>a lone pair on a Br of FeBr4⁻</t>
        </is>
      </c>
      <c r="E59" s="2" t="inlineStr">
        <is>
          <t>the H on the sp3 ring C; the C–H electrons go back into the ring</t>
        </is>
      </c>
      <c r="F59" s="2" t="inlineStr">
        <is>
          <t>H–Br</t>
        </is>
      </c>
      <c r="G59" s="2" t="inlineStr">
        <is>
          <t>C–H</t>
        </is>
      </c>
      <c r="H59" s="2" t="n"/>
      <c r="I59" s="2" t="n"/>
      <c r="J59" s="2" t="n"/>
      <c r="K59" s="2" t="n"/>
      <c r="L59" s="2">
        <f>IF(AND(ISNUMBER(I59),ISNUMBER(K59)),K59-I59,"")</f>
        <v/>
      </c>
      <c r="M59" s="4">
        <f>IF(ISNUMBER(L59),10^L59,"")</f>
        <v/>
      </c>
      <c r="N59" s="2">
        <f>IF(ISNUMBER(L59),IF(L59&gt;=0,"downhill (favoured)","uphill (small amount)"),"")</f>
        <v/>
      </c>
      <c r="O59" s="2" t="n"/>
      <c r="P59" s="2" t="n"/>
      <c r="Q59" s="3" t="inlineStr">
        <is>
          <t>Brc1ccccc1.Br.Br[Fe](Br)Br</t>
        </is>
      </c>
      <c r="R59" s="2" t="inlineStr">
        <is>
          <t>Aromaticity restored; FeBr3 is regenerated (catalyst).</t>
        </is>
      </c>
      <c r="S59" s="3" t="inlineStr">
        <is>
          <t>Br[C:1]1([H:2])C=CC=C[CH+:3]1.[Br:4][Fe-:5](Br)(Br)Br</t>
        </is>
      </c>
      <c r="T59" s="3" t="inlineStr">
        <is>
          <t>5-4&gt;4; 4&gt;2; 2-1&gt;1-3</t>
        </is>
      </c>
    </row>
    <row r="60">
      <c r="A60" s="2" t="inlineStr">
        <is>
          <t>R018</t>
        </is>
      </c>
      <c r="B60" s="2" t="n">
        <v>1</v>
      </c>
      <c r="C60" s="2" t="inlineStr">
        <is>
          <t>proton transfer</t>
        </is>
      </c>
      <c r="D60" s="2" t="inlineStr">
        <is>
          <t>a lone pair on the OH of HNO3</t>
        </is>
      </c>
      <c r="E60" s="2" t="inlineStr">
        <is>
          <t>an H of H2SO4</t>
        </is>
      </c>
      <c r="F60" s="2" t="inlineStr">
        <is>
          <t>O–H</t>
        </is>
      </c>
      <c r="G60" s="2" t="inlineStr">
        <is>
          <t>O–H (H2SO4)</t>
        </is>
      </c>
      <c r="H60" s="2" t="n"/>
      <c r="I60" s="2" t="n"/>
      <c r="J60" s="2" t="n"/>
      <c r="K60" s="2" t="n"/>
      <c r="L60" s="2">
        <f>IF(AND(ISNUMBER(I60),ISNUMBER(K60)),K60-I60,"")</f>
        <v/>
      </c>
      <c r="M60" s="4">
        <f>IF(ISNUMBER(L60),10^L60,"")</f>
        <v/>
      </c>
      <c r="N60" s="2">
        <f>IF(ISNUMBER(L60),IF(L60&gt;=0,"downhill (favoured)","uphill (small amount)"),"")</f>
        <v/>
      </c>
      <c r="O60" s="2" t="n"/>
      <c r="P60" s="2" t="n"/>
      <c r="Q60" s="3" t="inlineStr">
        <is>
          <t>O=[N+]([O-])[OH2+].O=S(=O)([O-])O</t>
        </is>
      </c>
      <c r="R60" s="2" t="inlineStr">
        <is>
          <t>H2SO4 is the stronger acid and protonates HNO3.</t>
        </is>
      </c>
      <c r="S60" s="3" t="inlineStr">
        <is>
          <t>O=[N+]([O-])[OH:1].O=S(=O)(O)[O:2][H:3]</t>
        </is>
      </c>
      <c r="T60" s="3" t="inlineStr">
        <is>
          <t>1&gt;3; 3-2&gt;2</t>
        </is>
      </c>
    </row>
    <row r="61">
      <c r="A61" s="2" t="inlineStr">
        <is>
          <t>R018</t>
        </is>
      </c>
      <c r="B61" s="2" t="n">
        <v>2</v>
      </c>
      <c r="C61" s="2" t="inlineStr">
        <is>
          <t>loss of water</t>
        </is>
      </c>
      <c r="D61" s="2" t="inlineStr">
        <is>
          <t>the N–OH2⁺ bond's electrons</t>
        </is>
      </c>
      <c r="E61" s="2" t="inlineStr">
        <is>
          <t>the leaving O (water)</t>
        </is>
      </c>
      <c r="F61" s="2" t="n"/>
      <c r="G61" s="2" t="inlineStr">
        <is>
          <t>N–O</t>
        </is>
      </c>
      <c r="H61" s="2" t="n"/>
      <c r="I61" s="2" t="n"/>
      <c r="J61" s="2" t="n"/>
      <c r="K61" s="2" t="n"/>
      <c r="L61" s="2">
        <f>IF(AND(ISNUMBER(I61),ISNUMBER(K61)),K61-I61,"")</f>
        <v/>
      </c>
      <c r="M61" s="4">
        <f>IF(ISNUMBER(L61),10^L61,"")</f>
        <v/>
      </c>
      <c r="N61" s="2">
        <f>IF(ISNUMBER(L61),IF(L61&gt;=0,"downhill (favoured)","uphill (small amount)"),"")</f>
        <v/>
      </c>
      <c r="O61" s="2" t="inlineStr">
        <is>
          <t>water</t>
        </is>
      </c>
      <c r="P61" s="2" t="n">
        <v>-1.7</v>
      </c>
      <c r="Q61" s="3" t="inlineStr">
        <is>
          <t>O=[N+]=O.O</t>
        </is>
      </c>
      <c r="R61" s="2" t="inlineStr">
        <is>
          <t>The nitronium ion NO2⁺, the electrophile.</t>
        </is>
      </c>
      <c r="S61" s="3" t="inlineStr">
        <is>
          <t>[O-:3][N+:1](=O)[OH2+:2]</t>
        </is>
      </c>
      <c r="T61" s="3" t="inlineStr">
        <is>
          <t>3&gt;1-3; 1-2&gt;2</t>
        </is>
      </c>
    </row>
    <row r="62">
      <c r="A62" s="2" t="inlineStr">
        <is>
          <t>R018</t>
        </is>
      </c>
      <c r="B62" s="2" t="n">
        <v>3</v>
      </c>
      <c r="C62" s="2" t="inlineStr">
        <is>
          <t>electrophilic attack</t>
        </is>
      </c>
      <c r="D62" s="2" t="inlineStr">
        <is>
          <t>the ring's π electrons</t>
        </is>
      </c>
      <c r="E62" s="2" t="inlineStr">
        <is>
          <t>the N of NO2⁺; an N=O π bond's electrons go to O</t>
        </is>
      </c>
      <c r="F62" s="2" t="inlineStr">
        <is>
          <t>C–N</t>
        </is>
      </c>
      <c r="G62" s="2" t="inlineStr">
        <is>
          <t>ring π; N=O (π)</t>
        </is>
      </c>
      <c r="H62" s="2" t="n"/>
      <c r="I62" s="2" t="n"/>
      <c r="J62" s="2" t="n"/>
      <c r="K62" s="2" t="n"/>
      <c r="L62" s="2">
        <f>IF(AND(ISNUMBER(I62),ISNUMBER(K62)),K62-I62,"")</f>
        <v/>
      </c>
      <c r="M62" s="4">
        <f>IF(ISNUMBER(L62),10^L62,"")</f>
        <v/>
      </c>
      <c r="N62" s="2">
        <f>IF(ISNUMBER(L62),IF(L62&gt;=0,"downhill (favoured)","uphill (small amount)"),"")</f>
        <v/>
      </c>
      <c r="O62" s="2" t="n"/>
      <c r="P62" s="2" t="n"/>
      <c r="Q62" s="3" t="inlineStr">
        <is>
          <t>O=[N+]([O-])C1C=CC=C[CH+]1</t>
        </is>
      </c>
      <c r="R62" s="2" t="inlineStr">
        <is>
          <t>Arenium ion (slow step).</t>
        </is>
      </c>
      <c r="S62" s="3" t="inlineStr">
        <is>
          <t>[CH:1]1=[CH:2]C=CC=C1.[O:3]=[N+:4]=O</t>
        </is>
      </c>
      <c r="T62" s="3" t="inlineStr">
        <is>
          <t>1-2&gt;1-4; 4-3&gt;3</t>
        </is>
      </c>
    </row>
    <row r="63">
      <c r="A63" s="2" t="inlineStr">
        <is>
          <t>R018</t>
        </is>
      </c>
      <c r="B63" s="2" t="n">
        <v>4</v>
      </c>
      <c r="C63" s="2" t="inlineStr">
        <is>
          <t>deprotonation (rearomatisation)</t>
        </is>
      </c>
      <c r="D63" s="2" t="inlineStr">
        <is>
          <t>a lone pair on HSO4⁻ (or water)</t>
        </is>
      </c>
      <c r="E63" s="2" t="inlineStr">
        <is>
          <t>the H on the sp3 ring C; the C–H electrons go back into the ring</t>
        </is>
      </c>
      <c r="F63" s="2" t="inlineStr">
        <is>
          <t>O–H</t>
        </is>
      </c>
      <c r="G63" s="2" t="inlineStr">
        <is>
          <t>C–H</t>
        </is>
      </c>
      <c r="H63" s="2" t="n"/>
      <c r="I63" s="2" t="n"/>
      <c r="J63" s="2" t="n"/>
      <c r="K63" s="2" t="n"/>
      <c r="L63" s="2">
        <f>IF(AND(ISNUMBER(I63),ISNUMBER(K63)),K63-I63,"")</f>
        <v/>
      </c>
      <c r="M63" s="4">
        <f>IF(ISNUMBER(L63),10^L63,"")</f>
        <v/>
      </c>
      <c r="N63" s="2">
        <f>IF(ISNUMBER(L63),IF(L63&gt;=0,"downhill (favoured)","uphill (small amount)"),"")</f>
        <v/>
      </c>
      <c r="O63" s="2" t="n"/>
      <c r="P63" s="2" t="n"/>
      <c r="Q63" s="3" t="inlineStr">
        <is>
          <t>O=[N+]([O-])c1ccccc1.O=S(=O)(O)O</t>
        </is>
      </c>
      <c r="R63" s="2" t="inlineStr">
        <is>
          <t>Nitrobenzene; H2SO4 is regenerated.</t>
        </is>
      </c>
      <c r="S63" s="3" t="inlineStr">
        <is>
          <t>O=[N+]([O-])[C:1]1([H:2])C=CC=C[CH+:3]1.[O-:4]S(=O)(=O)O</t>
        </is>
      </c>
      <c r="T63" s="3" t="inlineStr">
        <is>
          <t>4&gt;2; 2-1&gt;1-3</t>
        </is>
      </c>
    </row>
    <row r="64">
      <c r="A64" s="2" t="inlineStr">
        <is>
          <t>R019</t>
        </is>
      </c>
      <c r="B64" s="2" t="n">
        <v>1</v>
      </c>
      <c r="C64" s="2" t="inlineStr">
        <is>
          <t>Lewis acid–base complex</t>
        </is>
      </c>
      <c r="D64" s="2" t="inlineStr">
        <is>
          <t>a lone pair on the Cl of acetyl chloride</t>
        </is>
      </c>
      <c r="E64" s="2" t="inlineStr">
        <is>
          <t>Al of AlCl3</t>
        </is>
      </c>
      <c r="F64" s="2" t="inlineStr">
        <is>
          <t>Cl–Al</t>
        </is>
      </c>
      <c r="G64" s="2" t="n"/>
      <c r="H64" s="2" t="n"/>
      <c r="I64" s="2" t="n"/>
      <c r="J64" s="2" t="n"/>
      <c r="K64" s="2" t="n"/>
      <c r="L64" s="2">
        <f>IF(AND(ISNUMBER(I64),ISNUMBER(K64)),K64-I64,"")</f>
        <v/>
      </c>
      <c r="M64" s="4">
        <f>IF(ISNUMBER(L64),10^L64,"")</f>
        <v/>
      </c>
      <c r="N64" s="2">
        <f>IF(ISNUMBER(L64),IF(L64&gt;=0,"downhill (favoured)","uphill (small amount)"),"")</f>
        <v/>
      </c>
      <c r="O64" s="2" t="n"/>
      <c r="P64" s="2" t="n"/>
      <c r="Q64" s="3" t="inlineStr">
        <is>
          <t>CC(=O)[Cl+][Al-](Cl)(Cl)Cl</t>
        </is>
      </c>
      <c r="R64" s="2" t="n"/>
      <c r="S64" s="3" t="inlineStr">
        <is>
          <t>C[C:1](=O)[Cl:2].Cl[Al:3](Cl)Cl</t>
        </is>
      </c>
      <c r="T64" s="3" t="inlineStr">
        <is>
          <t>2&gt;3</t>
        </is>
      </c>
    </row>
    <row r="65">
      <c r="A65" s="2" t="inlineStr">
        <is>
          <t>R019</t>
        </is>
      </c>
      <c r="B65" s="2" t="n">
        <v>2</v>
      </c>
      <c r="C65" s="2" t="inlineStr">
        <is>
          <t>acylium ion forms</t>
        </is>
      </c>
      <c r="D65" s="2" t="inlineStr">
        <is>
          <t>the C–Cl bond's electrons</t>
        </is>
      </c>
      <c r="E65" s="2" t="inlineStr">
        <is>
          <t>Cl (leaves as AlCl4⁻)</t>
        </is>
      </c>
      <c r="F65" s="2" t="inlineStr">
        <is>
          <t>C≡O⁺ (O lone pair)</t>
        </is>
      </c>
      <c r="G65" s="2" t="inlineStr">
        <is>
          <t>C–Cl</t>
        </is>
      </c>
      <c r="H65" s="2" t="n"/>
      <c r="I65" s="2" t="n"/>
      <c r="J65" s="2" t="n"/>
      <c r="K65" s="2" t="n"/>
      <c r="L65" s="2">
        <f>IF(AND(ISNUMBER(I65),ISNUMBER(K65)),K65-I65,"")</f>
        <v/>
      </c>
      <c r="M65" s="4">
        <f>IF(ISNUMBER(L65),10^L65,"")</f>
        <v/>
      </c>
      <c r="N65" s="2">
        <f>IF(ISNUMBER(L65),IF(L65&gt;=0,"downhill (favoured)","uphill (small amount)"),"")</f>
        <v/>
      </c>
      <c r="O65" s="2" t="inlineStr">
        <is>
          <t>AlCl4⁻ (chloride)</t>
        </is>
      </c>
      <c r="P65" s="2" t="n">
        <v>-7</v>
      </c>
      <c r="Q65" s="3" t="inlineStr">
        <is>
          <t>CC#[O+].Cl[Al-](Cl)(Cl)Cl</t>
        </is>
      </c>
      <c r="R65" s="2" t="inlineStr">
        <is>
          <t>The acylium ion is stabilised by the O lone pair: it never rearranges.</t>
        </is>
      </c>
      <c r="S65" s="3" t="inlineStr">
        <is>
          <t>C[C:1](=[O:4])[Cl+:2][Al-](Cl)(Cl)Cl</t>
        </is>
      </c>
      <c r="T65" s="3" t="inlineStr">
        <is>
          <t>1-2&gt;2; 4&gt;1-4</t>
        </is>
      </c>
    </row>
    <row r="66">
      <c r="A66" s="2" t="inlineStr">
        <is>
          <t>R019</t>
        </is>
      </c>
      <c r="B66" s="2" t="n">
        <v>3</v>
      </c>
      <c r="C66" s="2" t="inlineStr">
        <is>
          <t>electrophilic attack</t>
        </is>
      </c>
      <c r="D66" s="2" t="inlineStr">
        <is>
          <t>the ring's π electrons</t>
        </is>
      </c>
      <c r="E66" s="2" t="inlineStr">
        <is>
          <t>the acylium C; the C≡O π electrons go to O</t>
        </is>
      </c>
      <c r="F66" s="2" t="inlineStr">
        <is>
          <t>C–C</t>
        </is>
      </c>
      <c r="G66" s="2" t="inlineStr">
        <is>
          <t>ring π</t>
        </is>
      </c>
      <c r="H66" s="2" t="n"/>
      <c r="I66" s="2" t="n"/>
      <c r="J66" s="2" t="n"/>
      <c r="K66" s="2" t="n"/>
      <c r="L66" s="2">
        <f>IF(AND(ISNUMBER(I66),ISNUMBER(K66)),K66-I66,"")</f>
        <v/>
      </c>
      <c r="M66" s="4">
        <f>IF(ISNUMBER(L66),10^L66,"")</f>
        <v/>
      </c>
      <c r="N66" s="2">
        <f>IF(ISNUMBER(L66),IF(L66&gt;=0,"downhill (favoured)","uphill (small amount)"),"")</f>
        <v/>
      </c>
      <c r="O66" s="2" t="n"/>
      <c r="P66" s="2" t="n"/>
      <c r="Q66" s="3" t="inlineStr">
        <is>
          <t>CC(=O)C1C=CC=C[CH+]1</t>
        </is>
      </c>
      <c r="R66" s="2" t="inlineStr">
        <is>
          <t>Arenium ion.</t>
        </is>
      </c>
      <c r="S66" s="3" t="inlineStr">
        <is>
          <t>[CH:1]1=[CH:2]C=CC=C1.C[C:3]#[O+:4]</t>
        </is>
      </c>
      <c r="T66" s="3" t="inlineStr">
        <is>
          <t>1-2&gt;1-3; 3-4&gt;4</t>
        </is>
      </c>
    </row>
    <row r="67">
      <c r="A67" s="2" t="inlineStr">
        <is>
          <t>R019</t>
        </is>
      </c>
      <c r="B67" s="2" t="n">
        <v>4</v>
      </c>
      <c r="C67" s="2" t="inlineStr">
        <is>
          <t>deprotonation (rearomatisation)</t>
        </is>
      </c>
      <c r="D67" s="2" t="inlineStr">
        <is>
          <t>a lone pair on a Cl of AlCl4⁻</t>
        </is>
      </c>
      <c r="E67" s="2" t="inlineStr">
        <is>
          <t>the H on the sp3 ring C</t>
        </is>
      </c>
      <c r="F67" s="2" t="inlineStr">
        <is>
          <t>H–Cl</t>
        </is>
      </c>
      <c r="G67" s="2" t="inlineStr">
        <is>
          <t>C–H</t>
        </is>
      </c>
      <c r="H67" s="2" t="n"/>
      <c r="I67" s="2" t="n"/>
      <c r="J67" s="2" t="n"/>
      <c r="K67" s="2" t="n"/>
      <c r="L67" s="2">
        <f>IF(AND(ISNUMBER(I67),ISNUMBER(K67)),K67-I67,"")</f>
        <v/>
      </c>
      <c r="M67" s="4">
        <f>IF(ISNUMBER(L67),10^L67,"")</f>
        <v/>
      </c>
      <c r="N67" s="2">
        <f>IF(ISNUMBER(L67),IF(L67&gt;=0,"downhill (favoured)","uphill (small amount)"),"")</f>
        <v/>
      </c>
      <c r="O67" s="2" t="n"/>
      <c r="P67" s="2" t="n"/>
      <c r="Q67" s="3" t="inlineStr">
        <is>
          <t>CC(=O)c1ccccc1.Cl.Cl[Al](Cl)Cl</t>
        </is>
      </c>
      <c r="R67" s="2" t="inlineStr">
        <is>
          <t>Acetophenone (in practice it holds the AlCl3 until the water work-up).</t>
        </is>
      </c>
      <c r="S67" s="3" t="inlineStr">
        <is>
          <t>CC(=O)[C:1]1([H:2])C=CC=C[CH+:3]1.[Cl:4][Al-:5](Cl)(Cl)Cl</t>
        </is>
      </c>
      <c r="T67" s="3" t="inlineStr">
        <is>
          <t>5-4&gt;4; 4&gt;2; 2-1&gt;1-3</t>
        </is>
      </c>
    </row>
    <row r="68">
      <c r="A68" s="2" t="inlineStr">
        <is>
          <t>R020</t>
        </is>
      </c>
      <c r="B68" s="2" t="n">
        <v>1</v>
      </c>
      <c r="C68" s="2" t="inlineStr">
        <is>
          <t>Lewis acid–base complex</t>
        </is>
      </c>
      <c r="D68" s="2" t="inlineStr">
        <is>
          <t>a lone pair on the Cl of t-BuCl</t>
        </is>
      </c>
      <c r="E68" s="2" t="inlineStr">
        <is>
          <t>Al of AlCl3</t>
        </is>
      </c>
      <c r="F68" s="2" t="inlineStr">
        <is>
          <t>Cl–Al</t>
        </is>
      </c>
      <c r="G68" s="2" t="n"/>
      <c r="H68" s="2" t="n"/>
      <c r="I68" s="2" t="n"/>
      <c r="J68" s="2" t="n"/>
      <c r="K68" s="2" t="n"/>
      <c r="L68" s="2">
        <f>IF(AND(ISNUMBER(I68),ISNUMBER(K68)),K68-I68,"")</f>
        <v/>
      </c>
      <c r="M68" s="4">
        <f>IF(ISNUMBER(L68),10^L68,"")</f>
        <v/>
      </c>
      <c r="N68" s="2">
        <f>IF(ISNUMBER(L68),IF(L68&gt;=0,"downhill (favoured)","uphill (small amount)"),"")</f>
        <v/>
      </c>
      <c r="O68" s="2" t="n"/>
      <c r="P68" s="2" t="n"/>
      <c r="Q68" s="3" t="inlineStr">
        <is>
          <t>CC(C)(C)[Cl+][Al-](Cl)(Cl)Cl</t>
        </is>
      </c>
      <c r="R68" s="2" t="n"/>
      <c r="S68" s="3" t="inlineStr">
        <is>
          <t>CC(C)(C)[Cl:1].Cl[Al:2](Cl)Cl</t>
        </is>
      </c>
      <c r="T68" s="3" t="inlineStr">
        <is>
          <t>1&gt;2</t>
        </is>
      </c>
    </row>
    <row r="69">
      <c r="A69" s="2" t="inlineStr">
        <is>
          <t>R020</t>
        </is>
      </c>
      <c r="B69" s="2" t="n">
        <v>2</v>
      </c>
      <c r="C69" s="2" t="inlineStr">
        <is>
          <t>carbocation forms</t>
        </is>
      </c>
      <c r="D69" s="2" t="inlineStr">
        <is>
          <t>the C–Cl bond's electrons</t>
        </is>
      </c>
      <c r="E69" s="2" t="inlineStr">
        <is>
          <t>Cl (leaves as AlCl4⁻)</t>
        </is>
      </c>
      <c r="F69" s="2" t="n"/>
      <c r="G69" s="2" t="inlineStr">
        <is>
          <t>C–Cl</t>
        </is>
      </c>
      <c r="H69" s="2" t="n"/>
      <c r="I69" s="2" t="n"/>
      <c r="J69" s="2" t="n"/>
      <c r="K69" s="2" t="n"/>
      <c r="L69" s="2">
        <f>IF(AND(ISNUMBER(I69),ISNUMBER(K69)),K69-I69,"")</f>
        <v/>
      </c>
      <c r="M69" s="4">
        <f>IF(ISNUMBER(L69),10^L69,"")</f>
        <v/>
      </c>
      <c r="N69" s="2">
        <f>IF(ISNUMBER(L69),IF(L69&gt;=0,"downhill (favoured)","uphill (small amount)"),"")</f>
        <v/>
      </c>
      <c r="O69" s="2" t="inlineStr">
        <is>
          <t>AlCl4⁻ (chloride)</t>
        </is>
      </c>
      <c r="P69" s="2" t="n">
        <v>-7</v>
      </c>
      <c r="Q69" s="3" t="inlineStr">
        <is>
          <t>C[C+](C)C.Cl[Al-](Cl)(Cl)Cl</t>
        </is>
      </c>
      <c r="R69" s="2" t="inlineStr">
        <is>
          <t>tert-Butyl cation (3°, no rearrangement).</t>
        </is>
      </c>
      <c r="S69" s="3" t="inlineStr">
        <is>
          <t>C[C:1](C)(C)[Cl+:2][Al-](Cl)(Cl)Cl</t>
        </is>
      </c>
      <c r="T69" s="3" t="inlineStr">
        <is>
          <t>1-2&gt;2</t>
        </is>
      </c>
    </row>
    <row r="70">
      <c r="A70" s="2" t="inlineStr">
        <is>
          <t>R020</t>
        </is>
      </c>
      <c r="B70" s="2" t="n">
        <v>3</v>
      </c>
      <c r="C70" s="2" t="inlineStr">
        <is>
          <t>electrophilic attack</t>
        </is>
      </c>
      <c r="D70" s="2" t="inlineStr">
        <is>
          <t>the ring's π electrons</t>
        </is>
      </c>
      <c r="E70" s="2" t="inlineStr">
        <is>
          <t>the carbocation C</t>
        </is>
      </c>
      <c r="F70" s="2" t="inlineStr">
        <is>
          <t>C–C</t>
        </is>
      </c>
      <c r="G70" s="2" t="inlineStr">
        <is>
          <t>ring π</t>
        </is>
      </c>
      <c r="H70" s="2" t="n"/>
      <c r="I70" s="2" t="n"/>
      <c r="J70" s="2" t="n"/>
      <c r="K70" s="2" t="n"/>
      <c r="L70" s="2">
        <f>IF(AND(ISNUMBER(I70),ISNUMBER(K70)),K70-I70,"")</f>
        <v/>
      </c>
      <c r="M70" s="4">
        <f>IF(ISNUMBER(L70),10^L70,"")</f>
        <v/>
      </c>
      <c r="N70" s="2">
        <f>IF(ISNUMBER(L70),IF(L70&gt;=0,"downhill (favoured)","uphill (small amount)"),"")</f>
        <v/>
      </c>
      <c r="O70" s="2" t="n"/>
      <c r="P70" s="2" t="n"/>
      <c r="Q70" s="3" t="inlineStr">
        <is>
          <t>CC(C)(C)C1C=CC=C[CH+]1</t>
        </is>
      </c>
      <c r="R70" s="2" t="inlineStr">
        <is>
          <t>Arenium ion.</t>
        </is>
      </c>
      <c r="S70" s="3" t="inlineStr">
        <is>
          <t>[CH:1]1=[CH:2]C=CC=C1.C[C+:3](C)C</t>
        </is>
      </c>
      <c r="T70" s="3" t="inlineStr">
        <is>
          <t>1-2&gt;1-3</t>
        </is>
      </c>
    </row>
    <row r="71">
      <c r="A71" s="2" t="inlineStr">
        <is>
          <t>R020</t>
        </is>
      </c>
      <c r="B71" s="2" t="n">
        <v>4</v>
      </c>
      <c r="C71" s="2" t="inlineStr">
        <is>
          <t>deprotonation (rearomatisation)</t>
        </is>
      </c>
      <c r="D71" s="2" t="inlineStr">
        <is>
          <t>a lone pair on a Cl of AlCl4⁻</t>
        </is>
      </c>
      <c r="E71" s="2" t="inlineStr">
        <is>
          <t>the H on the sp3 ring C</t>
        </is>
      </c>
      <c r="F71" s="2" t="inlineStr">
        <is>
          <t>H–Cl</t>
        </is>
      </c>
      <c r="G71" s="2" t="inlineStr">
        <is>
          <t>C–H</t>
        </is>
      </c>
      <c r="H71" s="2" t="n"/>
      <c r="I71" s="2" t="n"/>
      <c r="J71" s="2" t="n"/>
      <c r="K71" s="2" t="n"/>
      <c r="L71" s="2">
        <f>IF(AND(ISNUMBER(I71),ISNUMBER(K71)),K71-I71,"")</f>
        <v/>
      </c>
      <c r="M71" s="4">
        <f>IF(ISNUMBER(L71),10^L71,"")</f>
        <v/>
      </c>
      <c r="N71" s="2">
        <f>IF(ISNUMBER(L71),IF(L71&gt;=0,"downhill (favoured)","uphill (small amount)"),"")</f>
        <v/>
      </c>
      <c r="O71" s="2" t="n"/>
      <c r="P71" s="2" t="n"/>
      <c r="Q71" s="3" t="inlineStr">
        <is>
          <t>CC(C)(C)c1ccccc1.Cl.Cl[Al](Cl)Cl</t>
        </is>
      </c>
      <c r="R71" s="2" t="n"/>
      <c r="S71" s="3" t="inlineStr">
        <is>
          <t>CC(C)(C)[C:1]1([H:2])C=CC=C[CH+:3]1.[Cl:4][Al-:5](Cl)(Cl)Cl</t>
        </is>
      </c>
      <c r="T71" s="3" t="inlineStr">
        <is>
          <t>5-4&gt;4; 4&gt;2; 2-1&gt;1-3</t>
        </is>
      </c>
    </row>
    <row r="72">
      <c r="A72" s="2" t="inlineStr">
        <is>
          <t>R021</t>
        </is>
      </c>
      <c r="B72" s="2" t="n">
        <v>1</v>
      </c>
      <c r="C72" s="2" t="inlineStr">
        <is>
          <t>initiation (radical)</t>
        </is>
      </c>
      <c r="D72" s="2" t="inlineStr">
        <is>
          <t>light splits a Br–Br bond (NBS keeps a trace of Br2)</t>
        </is>
      </c>
      <c r="E72" s="2" t="inlineStr">
        <is>
          <t>two Br•</t>
        </is>
      </c>
      <c r="F72" s="2" t="n"/>
      <c r="G72" s="2" t="inlineStr">
        <is>
          <t>Br–Br</t>
        </is>
      </c>
      <c r="H72" s="2" t="n"/>
      <c r="I72" s="2" t="n"/>
      <c r="J72" s="2" t="n"/>
      <c r="K72" s="2" t="n"/>
      <c r="L72" s="2">
        <f>IF(AND(ISNUMBER(I72),ISNUMBER(K72)),K72-I72,"")</f>
        <v/>
      </c>
      <c r="M72" s="4">
        <f>IF(ISNUMBER(L72),10^L72,"")</f>
        <v/>
      </c>
      <c r="N72" s="2">
        <f>IF(ISNUMBER(L72),IF(L72&gt;=0,"downhill (favoured)","uphill (small amount)"),"")</f>
        <v/>
      </c>
      <c r="O72" s="2" t="n"/>
      <c r="P72" s="2" t="n"/>
      <c r="Q72" s="3" t="inlineStr">
        <is>
          <t>[Br].[Br]</t>
        </is>
      </c>
      <c r="R72" s="2" t="n"/>
      <c r="S72" s="3" t="inlineStr">
        <is>
          <t>[Br:1][Br:2]</t>
        </is>
      </c>
      <c r="T72" s="3" t="inlineStr">
        <is>
          <t>~1-2&gt;1; ~1-2&gt;2</t>
        </is>
      </c>
    </row>
    <row r="73">
      <c r="A73" s="2" t="inlineStr">
        <is>
          <t>R021</t>
        </is>
      </c>
      <c r="B73" s="2" t="n">
        <v>2</v>
      </c>
      <c r="C73" s="2" t="inlineStr">
        <is>
          <t>benzylic H abstraction</t>
        </is>
      </c>
      <c r="D73" s="2" t="inlineStr">
        <is>
          <t>Br• and one electron of a benzylic C–H</t>
        </is>
      </c>
      <c r="E73" s="2" t="inlineStr">
        <is>
          <t>a new H–Br bond; the other electron stays on C</t>
        </is>
      </c>
      <c r="F73" s="2" t="inlineStr">
        <is>
          <t>H–Br</t>
        </is>
      </c>
      <c r="G73" s="2" t="inlineStr">
        <is>
          <t>C–H (benzylic)</t>
        </is>
      </c>
      <c r="H73" s="2" t="n"/>
      <c r="I73" s="2" t="n"/>
      <c r="J73" s="2" t="n"/>
      <c r="K73" s="2" t="n"/>
      <c r="L73" s="2">
        <f>IF(AND(ISNUMBER(I73),ISNUMBER(K73)),K73-I73,"")</f>
        <v/>
      </c>
      <c r="M73" s="4">
        <f>IF(ISNUMBER(L73),10^L73,"")</f>
        <v/>
      </c>
      <c r="N73" s="2">
        <f>IF(ISNUMBER(L73),IF(L73&gt;=0,"downhill (favoured)","uphill (small amount)"),"")</f>
        <v/>
      </c>
      <c r="O73" s="2" t="n"/>
      <c r="P73" s="2" t="n"/>
      <c r="Q73" s="3" t="inlineStr">
        <is>
          <t>[CH2]c1ccccc1.Br</t>
        </is>
      </c>
      <c r="R73" s="2" t="inlineStr">
        <is>
          <t>The benzyl radical is resonance-stabilised by the ring; the benzylic C–H is weak (≈ 90 kcal/mol).</t>
        </is>
      </c>
      <c r="S73" s="3" t="inlineStr">
        <is>
          <t>[Br:1].[H:2][CH2:3]c1ccccc1</t>
        </is>
      </c>
      <c r="T73" s="3" t="inlineStr">
        <is>
          <t>~1&gt;1-2; ~2-3&gt;1-2; ~2-3&gt;3</t>
        </is>
      </c>
    </row>
    <row r="74">
      <c r="A74" s="2" t="inlineStr">
        <is>
          <t>R021</t>
        </is>
      </c>
      <c r="B74" s="2" t="n">
        <v>3</v>
      </c>
      <c r="C74" s="2" t="inlineStr">
        <is>
          <t>Br2 regenerated</t>
        </is>
      </c>
      <c r="D74" s="2" t="inlineStr">
        <is>
          <t>the HBr just formed reacts with NBS</t>
        </is>
      </c>
      <c r="E74" s="2" t="inlineStr">
        <is>
          <t>Br2 and succinimide</t>
        </is>
      </c>
      <c r="F74" s="2" t="inlineStr">
        <is>
          <t>Br–Br</t>
        </is>
      </c>
      <c r="G74" s="2" t="inlineStr">
        <is>
          <t>N–Br; H–Br</t>
        </is>
      </c>
      <c r="H74" s="2" t="n"/>
      <c r="I74" s="2" t="n"/>
      <c r="J74" s="2" t="n"/>
      <c r="K74" s="2" t="n"/>
      <c r="L74" s="2">
        <f>IF(AND(ISNUMBER(I74),ISNUMBER(K74)),K74-I74,"")</f>
        <v/>
      </c>
      <c r="M74" s="4">
        <f>IF(ISNUMBER(L74),10^L74,"")</f>
        <v/>
      </c>
      <c r="N74" s="2">
        <f>IF(ISNUMBER(L74),IF(L74&gt;=0,"downhill (favoured)","uphill (small amount)"),"")</f>
        <v/>
      </c>
      <c r="O74" s="2" t="n"/>
      <c r="P74" s="2" t="n"/>
      <c r="Q74" s="3" t="inlineStr">
        <is>
          <t>O=C1CCC(=O)N1.BrBr</t>
        </is>
      </c>
      <c r="R74" s="2" t="n"/>
      <c r="S74" s="3" t="inlineStr">
        <is>
          <t>[H:1][Br:2].O=C1CCC(=O)[N:3]1[Br:4]</t>
        </is>
      </c>
      <c r="T74" s="3" t="inlineStr">
        <is>
          <t>2&gt;4; 3-4&gt;3; 3&gt;1; 1-2&gt;2</t>
        </is>
      </c>
    </row>
    <row r="75">
      <c r="A75" s="2" t="inlineStr">
        <is>
          <t>R021</t>
        </is>
      </c>
      <c r="B75" s="2" t="n">
        <v>4</v>
      </c>
      <c r="C75" s="2" t="inlineStr">
        <is>
          <t>bromine transfer</t>
        </is>
      </c>
      <c r="D75" s="2" t="inlineStr">
        <is>
          <t>the radical C and one electron of a Br–Br bond</t>
        </is>
      </c>
      <c r="E75" s="2" t="inlineStr">
        <is>
          <t>a new C–Br bond; the other Br becomes Br•</t>
        </is>
      </c>
      <c r="F75" s="2" t="inlineStr">
        <is>
          <t>C–Br</t>
        </is>
      </c>
      <c r="G75" s="2" t="inlineStr">
        <is>
          <t>Br–Br</t>
        </is>
      </c>
      <c r="H75" s="2" t="n"/>
      <c r="I75" s="2" t="n"/>
      <c r="J75" s="2" t="n"/>
      <c r="K75" s="2" t="n"/>
      <c r="L75" s="2">
        <f>IF(AND(ISNUMBER(I75),ISNUMBER(K75)),K75-I75,"")</f>
        <v/>
      </c>
      <c r="M75" s="4">
        <f>IF(ISNUMBER(L75),10^L75,"")</f>
        <v/>
      </c>
      <c r="N75" s="2">
        <f>IF(ISNUMBER(L75),IF(L75&gt;=0,"downhill (favoured)","uphill (small amount)"),"")</f>
        <v/>
      </c>
      <c r="O75" s="2" t="n"/>
      <c r="P75" s="2" t="n"/>
      <c r="Q75" s="3" t="inlineStr">
        <is>
          <t>BrCc1ccccc1.[Br]</t>
        </is>
      </c>
      <c r="R75" s="2" t="inlineStr">
        <is>
          <t>Chain continues.</t>
        </is>
      </c>
      <c r="S75" s="3" t="inlineStr">
        <is>
          <t>[CH2:1]c1ccccc1.[Br:2][Br:3]</t>
        </is>
      </c>
      <c r="T75" s="3" t="inlineStr">
        <is>
          <t>~1&gt;1-2; ~2-3&gt;1-2; ~2-3&gt;3</t>
        </is>
      </c>
    </row>
    <row r="76">
      <c r="A76" s="2" t="inlineStr">
        <is>
          <t>R022</t>
        </is>
      </c>
      <c r="B76" s="2" t="n">
        <v>1</v>
      </c>
      <c r="C76" s="2" t="inlineStr">
        <is>
          <t>benzylic C–H attacked by MnO4⁻</t>
        </is>
      </c>
      <c r="D76" s="2" t="inlineStr">
        <is>
          <t>one electron of a benzylic C–H</t>
        </is>
      </c>
      <c r="E76" s="2" t="inlineStr">
        <is>
          <t>an Mn=O oxygen (H atom transfer)</t>
        </is>
      </c>
      <c r="F76" s="2" t="inlineStr">
        <is>
          <t>O–H (on Mn)</t>
        </is>
      </c>
      <c r="G76" s="2" t="inlineStr">
        <is>
          <t>C–H (benzylic)</t>
        </is>
      </c>
      <c r="H76" s="2" t="n"/>
      <c r="I76" s="2" t="n"/>
      <c r="J76" s="2" t="n"/>
      <c r="K76" s="2" t="n"/>
      <c r="L76" s="2">
        <f>IF(AND(ISNUMBER(I76),ISNUMBER(K76)),K76-I76,"")</f>
        <v/>
      </c>
      <c r="M76" s="4">
        <f>IF(ISNUMBER(L76),10^L76,"")</f>
        <v/>
      </c>
      <c r="N76" s="2">
        <f>IF(ISNUMBER(L76),IF(L76&gt;=0,"downhill (favoured)","uphill (small amount)"),"")</f>
        <v/>
      </c>
      <c r="O76" s="2" t="n"/>
      <c r="P76" s="2" t="n"/>
      <c r="Q76" s="3" t="inlineStr">
        <is>
          <t>[CH2]c1ccccc1.[OH][Mn](=O)(=O)[O-]</t>
        </is>
      </c>
      <c r="R76" s="2" t="inlineStr">
        <is>
          <t>The H goes to an O of Mn: Mn(VII) → Mn(VI), HO–MnO3⁻. Needs a benzylic H: tert-butylbenzene is not oxidised.</t>
        </is>
      </c>
      <c r="S76" s="3" t="inlineStr">
        <is>
          <t>[O-][Mn:4](=O)(=O)=[O:1].[H:2][CH2:3]c1ccccc1</t>
        </is>
      </c>
      <c r="T76" s="3" t="inlineStr">
        <is>
          <t>~4-1&gt;1-2; ~4-1&gt;4; ~2-3&gt;1-2; ~2-3&gt;3</t>
        </is>
      </c>
    </row>
    <row r="77">
      <c r="A77" s="2" t="inlineStr">
        <is>
          <t>R022</t>
        </is>
      </c>
      <c r="B77" s="2" t="n">
        <v>2</v>
      </c>
      <c r="C77" s="2" t="inlineStr">
        <is>
          <t>oxygen rebound</t>
        </is>
      </c>
      <c r="D77" s="2" t="inlineStr">
        <is>
          <t>the benzyl radical</t>
        </is>
      </c>
      <c r="E77" s="2" t="inlineStr">
        <is>
          <t>the Mn–OH oxygen</t>
        </is>
      </c>
      <c r="F77" s="2" t="inlineStr">
        <is>
          <t>C–O</t>
        </is>
      </c>
      <c r="G77" s="2" t="inlineStr">
        <is>
          <t>Mn–O</t>
        </is>
      </c>
      <c r="H77" s="2" t="n"/>
      <c r="I77" s="2" t="n"/>
      <c r="J77" s="2" t="n"/>
      <c r="K77" s="2" t="n"/>
      <c r="L77" s="2">
        <f>IF(AND(ISNUMBER(I77),ISNUMBER(K77)),K77-I77,"")</f>
        <v/>
      </c>
      <c r="M77" s="4">
        <f>IF(ISNUMBER(L77),10^L77,"")</f>
        <v/>
      </c>
      <c r="N77" s="2">
        <f>IF(ISNUMBER(L77),IF(L77&gt;=0,"downhill (favoured)","uphill (small amount)"),"")</f>
        <v/>
      </c>
      <c r="O77" s="2" t="n"/>
      <c r="P77" s="2" t="n"/>
      <c r="Q77" s="3" t="inlineStr">
        <is>
          <t>OCc1ccccc1.O=[Mn](=O)[O-]</t>
        </is>
      </c>
      <c r="R77" s="2" t="inlineStr">
        <is>
          <t>Benzyl alcohol (oxidised on, it is not isolated); Mn(VI) → Mn(V) (MnO3⁻).</t>
        </is>
      </c>
      <c r="S77" s="3" t="inlineStr">
        <is>
          <t>[CH2:1]c1ccccc1.[OH:2][Mn:3](=O)(=O)[O-]</t>
        </is>
      </c>
      <c r="T77" s="3" t="inlineStr">
        <is>
          <t>~1&gt;1-2; ~2-3&gt;1-2; ~2-3&gt;3</t>
        </is>
      </c>
    </row>
    <row r="78">
      <c r="A78" s="2" t="inlineStr">
        <is>
          <t>R022</t>
        </is>
      </c>
      <c r="B78" s="2" t="n">
        <v>3</v>
      </c>
      <c r="C78" s="2" t="inlineStr">
        <is>
          <t>O attacks Mn (manganate ester)</t>
        </is>
      </c>
      <c r="D78" s="2" t="inlineStr">
        <is>
          <t>a lone pair on the alcohol O</t>
        </is>
      </c>
      <c r="E78" s="2" t="inlineStr">
        <is>
          <t>Mn of MnO4⁻; an Mn=O π bond's electrons go onto O</t>
        </is>
      </c>
      <c r="F78" s="2" t="inlineStr">
        <is>
          <t>O–Mn</t>
        </is>
      </c>
      <c r="G78" s="2" t="inlineStr">
        <is>
          <t>Mn=O (π)</t>
        </is>
      </c>
      <c r="H78" s="2" t="n"/>
      <c r="I78" s="2" t="n"/>
      <c r="J78" s="2" t="n"/>
      <c r="K78" s="2" t="n"/>
      <c r="L78" s="2">
        <f>IF(AND(ISNUMBER(I78),ISNUMBER(K78)),K78-I78,"")</f>
        <v/>
      </c>
      <c r="M78" s="4">
        <f>IF(ISNUMBER(L78),10^L78,"")</f>
        <v/>
      </c>
      <c r="N78" s="2">
        <f>IF(ISNUMBER(L78),IF(L78&gt;=0,"downhill (favoured)","uphill (small amount)"),"")</f>
        <v/>
      </c>
      <c r="O78" s="2" t="n"/>
      <c r="P78" s="2" t="n"/>
      <c r="Q78" s="3" t="inlineStr">
        <is>
          <t>O=[Mn](=O)([O-])([O-])[OH+]Cc1ccccc1</t>
        </is>
      </c>
      <c r="R78" s="2" t="n"/>
      <c r="S78" s="3" t="inlineStr">
        <is>
          <t>[OH:1]Cc1ccccc1.[O-][Mn:2](=O)(=O)=[O:3]</t>
        </is>
      </c>
      <c r="T78" s="3" t="inlineStr">
        <is>
          <t>1&gt;2; 2-3&gt;3</t>
        </is>
      </c>
    </row>
    <row r="79">
      <c r="A79" s="2" t="inlineStr">
        <is>
          <t>R022</t>
        </is>
      </c>
      <c r="B79" s="2" t="n">
        <v>4</v>
      </c>
      <c r="C79" s="2" t="inlineStr">
        <is>
          <t>proton transfer</t>
        </is>
      </c>
      <c r="D79" s="2" t="inlineStr">
        <is>
          <t>a lone pair on an O⁻ of Mn</t>
        </is>
      </c>
      <c r="E79" s="2" t="inlineStr">
        <is>
          <t>the H on the O⁺</t>
        </is>
      </c>
      <c r="F79" s="2" t="inlineStr">
        <is>
          <t>O–H (on Mn)</t>
        </is>
      </c>
      <c r="G79" s="2" t="inlineStr">
        <is>
          <t>O–H (alcohol)</t>
        </is>
      </c>
      <c r="H79" s="2" t="n"/>
      <c r="I79" s="2" t="n"/>
      <c r="J79" s="2" t="n"/>
      <c r="K79" s="2" t="n"/>
      <c r="L79" s="2">
        <f>IF(AND(ISNUMBER(I79),ISNUMBER(K79)),K79-I79,"")</f>
        <v/>
      </c>
      <c r="M79" s="4">
        <f>IF(ISNUMBER(L79),10^L79,"")</f>
        <v/>
      </c>
      <c r="N79" s="2">
        <f>IF(ISNUMBER(L79),IF(L79&gt;=0,"downhill (favoured)","uphill (small amount)"),"")</f>
        <v/>
      </c>
      <c r="O79" s="2" t="n"/>
      <c r="P79" s="2" t="n"/>
      <c r="Q79" s="3" t="inlineStr">
        <is>
          <t>O=[Mn](=O)([O-])(O)OCc1ccccc1</t>
        </is>
      </c>
      <c r="R79" s="2" t="inlineStr">
        <is>
          <t>The manganate ester (C–O–Mn).</t>
        </is>
      </c>
      <c r="S79" s="3" t="inlineStr">
        <is>
          <t>O=[Mn](=O)([O-])([O-:3])[O+:1]([H:2])Cc1ccccc1</t>
        </is>
      </c>
      <c r="T79" s="3" t="inlineStr">
        <is>
          <t>3&gt;2; 2-1&gt;1</t>
        </is>
      </c>
    </row>
    <row r="80">
      <c r="A80" s="2" t="inlineStr">
        <is>
          <t>R022</t>
        </is>
      </c>
      <c r="B80" s="2" t="n">
        <v>5</v>
      </c>
      <c r="C80" s="2" t="inlineStr">
        <is>
          <t>elimination to the aldehyde</t>
        </is>
      </c>
      <c r="D80" s="2" t="inlineStr">
        <is>
          <t>HO⁻ takes the H on the C–O carbon</t>
        </is>
      </c>
      <c r="E80" s="2" t="inlineStr">
        <is>
          <t>the C–H electrons form the C=O; the O–Mn electrons go to Mn (Mn(VII) → Mn(V))</t>
        </is>
      </c>
      <c r="F80" s="2" t="inlineStr">
        <is>
          <t>C=O</t>
        </is>
      </c>
      <c r="G80" s="2" t="inlineStr">
        <is>
          <t>C–H; O–Mn</t>
        </is>
      </c>
      <c r="H80" s="2" t="n"/>
      <c r="I80" s="2" t="n"/>
      <c r="J80" s="2" t="n"/>
      <c r="K80" s="2" t="n"/>
      <c r="L80" s="2">
        <f>IF(AND(ISNUMBER(I80),ISNUMBER(K80)),K80-I80,"")</f>
        <v/>
      </c>
      <c r="M80" s="4">
        <f>IF(ISNUMBER(L80),10^L80,"")</f>
        <v/>
      </c>
      <c r="N80" s="2">
        <f>IF(ISNUMBER(L80),IF(L80&gt;=0,"downhill (favoured)","uphill (small amount)"),"")</f>
        <v/>
      </c>
      <c r="O80" s="2" t="n"/>
      <c r="P80" s="2" t="n"/>
      <c r="Q80" s="3" t="inlineStr">
        <is>
          <t>O=Cc1ccccc1.O.[O-][Mn-](=O)(=O)O</t>
        </is>
      </c>
      <c r="R80" s="2" t="inlineStr">
        <is>
          <t>Benzaldehyde, oxidised on in the hot permanganate. The water turns basic as MnO4⁻ is reduced, so HO⁻ is the base.</t>
        </is>
      </c>
      <c r="S80" s="3" t="inlineStr">
        <is>
          <t>O=[Mn:4](=O)([O-])(O)[O:3][CH:1]([H:2])c1ccccc1.[OH-:5]</t>
        </is>
      </c>
      <c r="T80" s="3" t="inlineStr">
        <is>
          <t>5&gt;2; 2-1&gt;1-3; 3-4&gt;4</t>
        </is>
      </c>
    </row>
    <row r="81">
      <c r="A81" s="2" t="inlineStr">
        <is>
          <t>R022</t>
        </is>
      </c>
      <c r="B81" s="2" t="n">
        <v>6</v>
      </c>
      <c r="C81" s="2" t="inlineStr">
        <is>
          <t>hydroxide adds to the C=O</t>
        </is>
      </c>
      <c r="D81" s="2" t="inlineStr">
        <is>
          <t>a lone pair on HO⁻</t>
        </is>
      </c>
      <c r="E81" s="2" t="inlineStr">
        <is>
          <t>the carbonyl C; the C=O π electrons go onto O</t>
        </is>
      </c>
      <c r="F81" s="2" t="inlineStr">
        <is>
          <t>C–O</t>
        </is>
      </c>
      <c r="G81" s="2" t="inlineStr">
        <is>
          <t>C=O (π)</t>
        </is>
      </c>
      <c r="H81" s="2" t="n"/>
      <c r="I81" s="2" t="n"/>
      <c r="J81" s="2" t="n"/>
      <c r="K81" s="2" t="n"/>
      <c r="L81" s="2">
        <f>IF(AND(ISNUMBER(I81),ISNUMBER(K81)),K81-I81,"")</f>
        <v/>
      </c>
      <c r="M81" s="4">
        <f>IF(ISNUMBER(L81),10^L81,"")</f>
        <v/>
      </c>
      <c r="N81" s="2">
        <f>IF(ISNUMBER(L81),IF(L81&gt;=0,"downhill (favoured)","uphill (small amount)"),"")</f>
        <v/>
      </c>
      <c r="O81" s="2" t="n"/>
      <c r="P81" s="2" t="n"/>
      <c r="Q81" s="3" t="inlineStr">
        <is>
          <t>[O-]C(O)c1ccccc1</t>
        </is>
      </c>
      <c r="R81" s="2" t="inlineStr">
        <is>
          <t>The hydrate anion: it gives the aldehyde carbon an O that can bond to Mn.</t>
        </is>
      </c>
      <c r="S81" s="3" t="inlineStr">
        <is>
          <t>[OH-:1].[O:2]=[CH:3]c1ccccc1</t>
        </is>
      </c>
      <c r="T81" s="3" t="inlineStr">
        <is>
          <t>1&gt;3; 3-2&gt;2</t>
        </is>
      </c>
    </row>
    <row r="82">
      <c r="A82" s="2" t="inlineStr">
        <is>
          <t>R022</t>
        </is>
      </c>
      <c r="B82" s="2" t="n">
        <v>7</v>
      </c>
      <c r="C82" s="2" t="inlineStr">
        <is>
          <t>O attacks Mn (ester of the hydrate)</t>
        </is>
      </c>
      <c r="D82" s="2" t="inlineStr">
        <is>
          <t>a lone pair on the hydrate O⁻</t>
        </is>
      </c>
      <c r="E82" s="2" t="inlineStr">
        <is>
          <t>Mn of MnO4⁻; an Mn=O π bond's electrons go onto O</t>
        </is>
      </c>
      <c r="F82" s="2" t="inlineStr">
        <is>
          <t>O–Mn</t>
        </is>
      </c>
      <c r="G82" s="2" t="inlineStr">
        <is>
          <t>Mn=O (π)</t>
        </is>
      </c>
      <c r="H82" s="2" t="n"/>
      <c r="I82" s="2" t="n"/>
      <c r="J82" s="2" t="n"/>
      <c r="K82" s="2" t="n"/>
      <c r="L82" s="2">
        <f>IF(AND(ISNUMBER(I82),ISNUMBER(K82)),K82-I82,"")</f>
        <v/>
      </c>
      <c r="M82" s="4">
        <f>IF(ISNUMBER(L82),10^L82,"")</f>
        <v/>
      </c>
      <c r="N82" s="2">
        <f>IF(ISNUMBER(L82),IF(L82&gt;=0,"downhill (favoured)","uphill (small amount)"),"")</f>
        <v/>
      </c>
      <c r="O82" s="2" t="n"/>
      <c r="P82" s="2" t="n"/>
      <c r="Q82" s="3" t="inlineStr">
        <is>
          <t>O=[Mn](=O)([O-])([O-])OC(O)c1ccccc1</t>
        </is>
      </c>
      <c r="R82" s="2" t="n"/>
      <c r="S82" s="3" t="inlineStr">
        <is>
          <t>[O-:1]C(O)c1ccccc1.[O-][Mn:2](=O)(=O)=[O:3]</t>
        </is>
      </c>
      <c r="T82" s="3" t="inlineStr">
        <is>
          <t>1&gt;2; 2-3&gt;3</t>
        </is>
      </c>
    </row>
    <row r="83">
      <c r="A83" s="2" t="inlineStr">
        <is>
          <t>R022</t>
        </is>
      </c>
      <c r="B83" s="2" t="n">
        <v>8</v>
      </c>
      <c r="C83" s="2" t="inlineStr">
        <is>
          <t>elimination to the acid</t>
        </is>
      </c>
      <c r="D83" s="2" t="inlineStr">
        <is>
          <t>HO⁻ takes the C–H</t>
        </is>
      </c>
      <c r="E83" s="2" t="inlineStr">
        <is>
          <t>the C–H electrons form the C=O; the O–Mn electrons go to Mn (Mn(VII) → Mn(V))</t>
        </is>
      </c>
      <c r="F83" s="2" t="inlineStr">
        <is>
          <t>C=O</t>
        </is>
      </c>
      <c r="G83" s="2" t="inlineStr">
        <is>
          <t>C–H; O–Mn</t>
        </is>
      </c>
      <c r="H83" s="2" t="n"/>
      <c r="I83" s="2" t="n"/>
      <c r="J83" s="2" t="n"/>
      <c r="K83" s="2" t="n"/>
      <c r="L83" s="2">
        <f>IF(AND(ISNUMBER(I83),ISNUMBER(K83)),K83-I83,"")</f>
        <v/>
      </c>
      <c r="M83" s="4">
        <f>IF(ISNUMBER(L83),10^L83,"")</f>
        <v/>
      </c>
      <c r="N83" s="2">
        <f>IF(ISNUMBER(L83),IF(L83&gt;=0,"downhill (favoured)","uphill (small amount)"),"")</f>
        <v/>
      </c>
      <c r="O83" s="2" t="n"/>
      <c r="P83" s="2" t="n"/>
      <c r="Q83" s="3" t="inlineStr">
        <is>
          <t>O=C(O)c1ccccc1.O.[O-][Mn-](=O)(=O)[O-]</t>
        </is>
      </c>
      <c r="R83" s="2" t="inlineStr">
        <is>
          <t>Mn(V) goes on to MnO2, the brown solid.</t>
        </is>
      </c>
      <c r="S83" s="3" t="inlineStr">
        <is>
          <t>O=[Mn:4](=O)([O-])([O-])[O:3][C:1]([H:2])(O)c1ccccc1.[OH-:5]</t>
        </is>
      </c>
      <c r="T83" s="3" t="inlineStr">
        <is>
          <t>5&gt;2; 2-1&gt;1-3; 3-4&gt;4</t>
        </is>
      </c>
    </row>
    <row r="84">
      <c r="A84" s="2" t="inlineStr">
        <is>
          <t>R022</t>
        </is>
      </c>
      <c r="B84" s="2" t="n">
        <v>9</v>
      </c>
      <c r="C84" s="2" t="inlineStr">
        <is>
          <t>proton transfer (in base)</t>
        </is>
      </c>
      <c r="D84" s="2" t="inlineStr">
        <is>
          <t>a lone pair on HO⁻</t>
        </is>
      </c>
      <c r="E84" s="2" t="inlineStr">
        <is>
          <t>the H of the CO2H</t>
        </is>
      </c>
      <c r="F84" s="2" t="inlineStr">
        <is>
          <t>O–H (water)</t>
        </is>
      </c>
      <c r="G84" s="2" t="inlineStr">
        <is>
          <t>O–H (acid)</t>
        </is>
      </c>
      <c r="H84" s="2" t="inlineStr">
        <is>
          <t>benzoic acid</t>
        </is>
      </c>
      <c r="I84" s="2" t="n">
        <v>4.2</v>
      </c>
      <c r="J84" s="2" t="inlineStr">
        <is>
          <t>water</t>
        </is>
      </c>
      <c r="K84" s="2" t="n">
        <v>15.7</v>
      </c>
      <c r="L84" s="2">
        <f>IF(AND(ISNUMBER(I84),ISNUMBER(K84)),K84-I84,"")</f>
        <v/>
      </c>
      <c r="M84" s="4">
        <f>IF(ISNUMBER(L84),10^L84,"")</f>
        <v/>
      </c>
      <c r="N84" s="2">
        <f>IF(ISNUMBER(L84),IF(L84&gt;=0,"downhill (favoured)","uphill (small amount)"),"")</f>
        <v/>
      </c>
      <c r="O84" s="2" t="n"/>
      <c r="P84" s="2" t="n"/>
      <c r="Q84" s="3" t="inlineStr">
        <is>
          <t>O=C([O-])c1ccccc1.O</t>
        </is>
      </c>
      <c r="R84" s="2" t="inlineStr">
        <is>
          <t>Benzoate: in the basic solution the acid is deprotonated at once.</t>
        </is>
      </c>
      <c r="S84" s="3" t="inlineStr">
        <is>
          <t>O=C([O:1][H:2])c1ccccc1.[OH-:3]</t>
        </is>
      </c>
      <c r="T84" s="3" t="inlineStr">
        <is>
          <t>3&gt;2; 2-1&gt;1</t>
        </is>
      </c>
    </row>
    <row r="85">
      <c r="A85" s="2" t="inlineStr">
        <is>
          <t>R022</t>
        </is>
      </c>
      <c r="B85" s="2" t="n">
        <v>10</v>
      </c>
      <c r="C85" s="2" t="inlineStr">
        <is>
          <t>acid work-up (proton transfer)</t>
        </is>
      </c>
      <c r="D85" s="2" t="inlineStr">
        <is>
          <t>a lone pair on the carboxylate O</t>
        </is>
      </c>
      <c r="E85" s="2" t="inlineStr">
        <is>
          <t>an H of H3O⁺</t>
        </is>
      </c>
      <c r="F85" s="2" t="inlineStr">
        <is>
          <t>O–H</t>
        </is>
      </c>
      <c r="G85" s="2" t="inlineStr">
        <is>
          <t>O–H (H3O⁺)</t>
        </is>
      </c>
      <c r="H85" s="2" t="inlineStr">
        <is>
          <t>H3O⁺</t>
        </is>
      </c>
      <c r="I85" s="2" t="n">
        <v>-1.7</v>
      </c>
      <c r="J85" s="2" t="inlineStr">
        <is>
          <t>benzoic acid</t>
        </is>
      </c>
      <c r="K85" s="2" t="n">
        <v>4.2</v>
      </c>
      <c r="L85" s="2">
        <f>IF(AND(ISNUMBER(I85),ISNUMBER(K85)),K85-I85,"")</f>
        <v/>
      </c>
      <c r="M85" s="4">
        <f>IF(ISNUMBER(L85),10^L85,"")</f>
        <v/>
      </c>
      <c r="N85" s="2">
        <f>IF(ISNUMBER(L85),IF(L85&gt;=0,"downhill (favoured)","uphill (small amount)"),"")</f>
        <v/>
      </c>
      <c r="O85" s="2" t="n"/>
      <c r="P85" s="2" t="n"/>
      <c r="Q85" s="3" t="inlineStr">
        <is>
          <t>O=C(O)c1ccccc1.O</t>
        </is>
      </c>
      <c r="R85" s="2" t="inlineStr">
        <is>
          <t>Benzoic acid precipitates.</t>
        </is>
      </c>
      <c r="S85" s="3" t="inlineStr">
        <is>
          <t>O=C([O-:1])c1ccccc1.[H:2][OH2+:3]</t>
        </is>
      </c>
      <c r="T85" s="3" t="inlineStr">
        <is>
          <t>1&gt;2; 2-3&gt;3</t>
        </is>
      </c>
    </row>
    <row r="86">
      <c r="A86" s="2" t="inlineStr">
        <is>
          <t>R023</t>
        </is>
      </c>
      <c r="B86" s="2" t="n">
        <v>1</v>
      </c>
      <c r="C86" s="2" t="inlineStr">
        <is>
          <t>electron transfer (Fe → nitro)</t>
        </is>
      </c>
      <c r="D86" s="2" t="inlineStr">
        <is>
          <t>one electron from Fe; an N=O π bond's electrons go onto O</t>
        </is>
      </c>
      <c r="E86" s="2" t="inlineStr">
        <is>
          <t>the nitro N (the radical anion ArNO2•⁻)</t>
        </is>
      </c>
      <c r="F86" s="2" t="n"/>
      <c r="G86" s="2" t="inlineStr">
        <is>
          <t>N=O (π)</t>
        </is>
      </c>
      <c r="H86" s="2" t="n"/>
      <c r="I86" s="2" t="n"/>
      <c r="J86" s="2" t="n"/>
      <c r="K86" s="2" t="n"/>
      <c r="L86" s="2">
        <f>IF(AND(ISNUMBER(I86),ISNUMBER(K86)),K86-I86,"")</f>
        <v/>
      </c>
      <c r="M86" s="4">
        <f>IF(ISNUMBER(L86),10^L86,"")</f>
        <v/>
      </c>
      <c r="N86" s="2">
        <f>IF(ISNUMBER(L86),IF(L86&gt;=0,"downhill (favoured)","uphill (small amount)"),"")</f>
        <v/>
      </c>
      <c r="O86" s="2" t="n"/>
      <c r="P86" s="2" t="n"/>
      <c r="Q86" s="3" t="inlineStr">
        <is>
          <t>[O-][N+]([O-])c1ccccc1.[Fe+]</t>
        </is>
      </c>
      <c r="R86" s="2" t="inlineStr">
        <is>
          <t>Fe → Fe²⁺ gives the electrons one at a time; each stage adds 2 e⁻ and 2 H⁺: nitro → nitroso → hydroxylamine → amine.</t>
        </is>
      </c>
      <c r="S86" s="3" t="inlineStr">
        <is>
          <t>[O:1]=[N+:2]([O-])c1ccccc1.[Fe:3]</t>
        </is>
      </c>
      <c r="T86" s="3" t="inlineStr">
        <is>
          <t>2-1&gt;1; ~3&gt;2</t>
        </is>
      </c>
    </row>
    <row r="87">
      <c r="A87" s="2" t="inlineStr">
        <is>
          <t>R023</t>
        </is>
      </c>
      <c r="B87" s="2" t="n">
        <v>2</v>
      </c>
      <c r="C87" s="2" t="inlineStr">
        <is>
          <t>protonation</t>
        </is>
      </c>
      <c r="D87" s="2" t="inlineStr">
        <is>
          <t>a lone pair on an O⁻</t>
        </is>
      </c>
      <c r="E87" s="2" t="inlineStr">
        <is>
          <t>an H of H3O⁺ (from HCl)</t>
        </is>
      </c>
      <c r="F87" s="2" t="inlineStr">
        <is>
          <t>O–H</t>
        </is>
      </c>
      <c r="G87" s="2" t="inlineStr">
        <is>
          <t>O–H (H3O⁺)</t>
        </is>
      </c>
      <c r="H87" s="2" t="n"/>
      <c r="I87" s="2" t="n"/>
      <c r="J87" s="2" t="n"/>
      <c r="K87" s="2" t="n"/>
      <c r="L87" s="2">
        <f>IF(AND(ISNUMBER(I87),ISNUMBER(K87)),K87-I87,"")</f>
        <v/>
      </c>
      <c r="M87" s="4">
        <f>IF(ISNUMBER(L87),10^L87,"")</f>
        <v/>
      </c>
      <c r="N87" s="2">
        <f>IF(ISNUMBER(L87),IF(L87&gt;=0,"downhill (favoured)","uphill (small amount)"),"")</f>
        <v/>
      </c>
      <c r="O87" s="2" t="n"/>
      <c r="P87" s="2" t="n"/>
      <c r="Q87" s="3" t="inlineStr">
        <is>
          <t>O[N+]([O-])c1ccccc1.O</t>
        </is>
      </c>
      <c r="R87" s="2" t="n"/>
      <c r="S87" s="3" t="inlineStr">
        <is>
          <t>[O-:1][N+]([O-])c1ccccc1.[H:2][OH2+:3]</t>
        </is>
      </c>
      <c r="T87" s="3" t="inlineStr">
        <is>
          <t>1&gt;2; 2-3&gt;3</t>
        </is>
      </c>
    </row>
    <row r="88">
      <c r="A88" s="2" t="inlineStr">
        <is>
          <t>R023</t>
        </is>
      </c>
      <c r="B88" s="2" t="n">
        <v>3</v>
      </c>
      <c r="C88" s="2" t="inlineStr">
        <is>
          <t>second electron transfer</t>
        </is>
      </c>
      <c r="D88" s="2" t="inlineStr">
        <is>
          <t>one electron from Fe⁺</t>
        </is>
      </c>
      <c r="E88" s="2" t="inlineStr">
        <is>
          <t>the N radical (the electrons pair up: an N lone pair)</t>
        </is>
      </c>
      <c r="F88" s="2" t="n"/>
      <c r="G88" s="2" t="n"/>
      <c r="H88" s="2" t="n"/>
      <c r="I88" s="2" t="n"/>
      <c r="J88" s="2" t="n"/>
      <c r="K88" s="2" t="n"/>
      <c r="L88" s="2">
        <f>IF(AND(ISNUMBER(I88),ISNUMBER(K88)),K88-I88,"")</f>
        <v/>
      </c>
      <c r="M88" s="4">
        <f>IF(ISNUMBER(L88),10^L88,"")</f>
        <v/>
      </c>
      <c r="N88" s="2">
        <f>IF(ISNUMBER(L88),IF(L88&gt;=0,"downhill (favoured)","uphill (small amount)"),"")</f>
        <v/>
      </c>
      <c r="O88" s="2" t="n"/>
      <c r="P88" s="2" t="n"/>
      <c r="Q88" s="3" t="inlineStr">
        <is>
          <t>ON([O-])c1ccccc1.[Fe+2]</t>
        </is>
      </c>
      <c r="R88" s="2" t="inlineStr">
        <is>
          <t>This Fe has now given 2 electrons (Fe²⁺).</t>
        </is>
      </c>
      <c r="S88" s="3" t="inlineStr">
        <is>
          <t>O[N+:1]([O-])c1ccccc1.[Fe+:2]</t>
        </is>
      </c>
      <c r="T88" s="3" t="inlineStr">
        <is>
          <t>~2&gt;1</t>
        </is>
      </c>
    </row>
    <row r="89">
      <c r="A89" s="2" t="inlineStr">
        <is>
          <t>R023</t>
        </is>
      </c>
      <c r="B89" s="2" t="n">
        <v>4</v>
      </c>
      <c r="C89" s="2" t="inlineStr">
        <is>
          <t>protonation of the OH</t>
        </is>
      </c>
      <c r="D89" s="2" t="inlineStr">
        <is>
          <t>a lone pair on the OH</t>
        </is>
      </c>
      <c r="E89" s="2" t="inlineStr">
        <is>
          <t>an H of H3O⁺</t>
        </is>
      </c>
      <c r="F89" s="2" t="inlineStr">
        <is>
          <t>O–H</t>
        </is>
      </c>
      <c r="G89" s="2" t="inlineStr">
        <is>
          <t>O–H (H3O⁺)</t>
        </is>
      </c>
      <c r="H89" s="2" t="n"/>
      <c r="I89" s="2" t="n"/>
      <c r="J89" s="2" t="n"/>
      <c r="K89" s="2" t="n"/>
      <c r="L89" s="2">
        <f>IF(AND(ISNUMBER(I89),ISNUMBER(K89)),K89-I89,"")</f>
        <v/>
      </c>
      <c r="M89" s="4">
        <f>IF(ISNUMBER(L89),10^L89,"")</f>
        <v/>
      </c>
      <c r="N89" s="2">
        <f>IF(ISNUMBER(L89),IF(L89&gt;=0,"downhill (favoured)","uphill (small amount)"),"")</f>
        <v/>
      </c>
      <c r="O89" s="2" t="n"/>
      <c r="P89" s="2" t="n"/>
      <c r="Q89" s="3" t="inlineStr">
        <is>
          <t>[O-]N([OH2+])c1ccccc1.O</t>
        </is>
      </c>
      <c r="R89" s="2" t="inlineStr">
        <is>
          <t>This makes the OH a leaving group (water).</t>
        </is>
      </c>
      <c r="S89" s="3" t="inlineStr">
        <is>
          <t>[O-]N([OH:1])c1ccccc1.[H:2][OH2+:3]</t>
        </is>
      </c>
      <c r="T89" s="3" t="inlineStr">
        <is>
          <t>1&gt;2; 2-3&gt;3</t>
        </is>
      </c>
    </row>
    <row r="90">
      <c r="A90" s="2" t="inlineStr">
        <is>
          <t>R023</t>
        </is>
      </c>
      <c r="B90" s="2" t="n">
        <v>5</v>
      </c>
      <c r="C90" s="2" t="inlineStr">
        <is>
          <t>loss of water (nitroso)</t>
        </is>
      </c>
      <c r="D90" s="2" t="inlineStr">
        <is>
          <t>a lone pair on the O⁻</t>
        </is>
      </c>
      <c r="E90" s="2" t="inlineStr">
        <is>
          <t>the N=O bond; the N–OH2⁺ bond's electrons go with water</t>
        </is>
      </c>
      <c r="F90" s="2" t="inlineStr">
        <is>
          <t>N=O</t>
        </is>
      </c>
      <c r="G90" s="2" t="inlineStr">
        <is>
          <t>N–O</t>
        </is>
      </c>
      <c r="H90" s="2" t="n"/>
      <c r="I90" s="2" t="n"/>
      <c r="J90" s="2" t="n"/>
      <c r="K90" s="2" t="n"/>
      <c r="L90" s="2">
        <f>IF(AND(ISNUMBER(I90),ISNUMBER(K90)),K90-I90,"")</f>
        <v/>
      </c>
      <c r="M90" s="4">
        <f>IF(ISNUMBER(L90),10^L90,"")</f>
        <v/>
      </c>
      <c r="N90" s="2">
        <f>IF(ISNUMBER(L90),IF(L90&gt;=0,"downhill (favoured)","uphill (small amount)"),"")</f>
        <v/>
      </c>
      <c r="O90" s="2" t="inlineStr">
        <is>
          <t>water</t>
        </is>
      </c>
      <c r="P90" s="2" t="n">
        <v>-1.7</v>
      </c>
      <c r="Q90" s="3" t="inlineStr">
        <is>
          <t>O=Nc1ccccc1.O</t>
        </is>
      </c>
      <c r="R90" s="2" t="inlineStr">
        <is>
          <t>Nitrosobenzene: the first 2 e⁻ + 2 H⁺.</t>
        </is>
      </c>
      <c r="S90" s="3" t="inlineStr">
        <is>
          <t>[O-:1][N:2]([OH2+:3])c1ccccc1</t>
        </is>
      </c>
      <c r="T90" s="3" t="inlineStr">
        <is>
          <t>1&gt;1-2; 2-3&gt;3</t>
        </is>
      </c>
    </row>
    <row r="91">
      <c r="A91" s="2" t="inlineStr">
        <is>
          <t>R023</t>
        </is>
      </c>
      <c r="B91" s="2" t="n">
        <v>6</v>
      </c>
      <c r="C91" s="2" t="inlineStr">
        <is>
          <t>electron transfer (Fe → nitroso)</t>
        </is>
      </c>
      <c r="D91" s="2" t="inlineStr">
        <is>
          <t>one electron from Fe; the N=O π electrons go onto O</t>
        </is>
      </c>
      <c r="E91" s="2" t="inlineStr">
        <is>
          <t>the N (a radical anion)</t>
        </is>
      </c>
      <c r="F91" s="2" t="n"/>
      <c r="G91" s="2" t="inlineStr">
        <is>
          <t>N=O (π)</t>
        </is>
      </c>
      <c r="H91" s="2" t="n"/>
      <c r="I91" s="2" t="n"/>
      <c r="J91" s="2" t="n"/>
      <c r="K91" s="2" t="n"/>
      <c r="L91" s="2">
        <f>IF(AND(ISNUMBER(I91),ISNUMBER(K91)),K91-I91,"")</f>
        <v/>
      </c>
      <c r="M91" s="4">
        <f>IF(ISNUMBER(L91),10^L91,"")</f>
        <v/>
      </c>
      <c r="N91" s="2">
        <f>IF(ISNUMBER(L91),IF(L91&gt;=0,"downhill (favoured)","uphill (small amount)"),"")</f>
        <v/>
      </c>
      <c r="O91" s="2" t="n"/>
      <c r="P91" s="2" t="n"/>
      <c r="Q91" s="3" t="inlineStr">
        <is>
          <t>[O-][N]c1ccccc1.[Fe+]</t>
        </is>
      </c>
      <c r="R91" s="2" t="n"/>
      <c r="S91" s="3" t="inlineStr">
        <is>
          <t>[O:1]=[N:2]c1ccccc1.[Fe:3]</t>
        </is>
      </c>
      <c r="T91" s="3" t="inlineStr">
        <is>
          <t>2-1&gt;1; ~3&gt;2</t>
        </is>
      </c>
    </row>
    <row r="92">
      <c r="A92" s="2" t="inlineStr">
        <is>
          <t>R023</t>
        </is>
      </c>
      <c r="B92" s="2" t="n">
        <v>7</v>
      </c>
      <c r="C92" s="2" t="inlineStr">
        <is>
          <t>protonation</t>
        </is>
      </c>
      <c r="D92" s="2" t="inlineStr">
        <is>
          <t>a lone pair on the O⁻</t>
        </is>
      </c>
      <c r="E92" s="2" t="inlineStr">
        <is>
          <t>an H of H3O⁺</t>
        </is>
      </c>
      <c r="F92" s="2" t="inlineStr">
        <is>
          <t>O–H</t>
        </is>
      </c>
      <c r="G92" s="2" t="inlineStr">
        <is>
          <t>O–H (H3O⁺)</t>
        </is>
      </c>
      <c r="H92" s="2" t="n"/>
      <c r="I92" s="2" t="n"/>
      <c r="J92" s="2" t="n"/>
      <c r="K92" s="2" t="n"/>
      <c r="L92" s="2">
        <f>IF(AND(ISNUMBER(I92),ISNUMBER(K92)),K92-I92,"")</f>
        <v/>
      </c>
      <c r="M92" s="4">
        <f>IF(ISNUMBER(L92),10^L92,"")</f>
        <v/>
      </c>
      <c r="N92" s="2">
        <f>IF(ISNUMBER(L92),IF(L92&gt;=0,"downhill (favoured)","uphill (small amount)"),"")</f>
        <v/>
      </c>
      <c r="O92" s="2" t="n"/>
      <c r="P92" s="2" t="n"/>
      <c r="Q92" s="3" t="inlineStr">
        <is>
          <t>O[N]c1ccccc1.O</t>
        </is>
      </c>
      <c r="R92" s="2" t="n"/>
      <c r="S92" s="3" t="inlineStr">
        <is>
          <t>[O-:1][N]c1ccccc1.[H:2][OH2+:3]</t>
        </is>
      </c>
      <c r="T92" s="3" t="inlineStr">
        <is>
          <t>1&gt;2; 2-3&gt;3</t>
        </is>
      </c>
    </row>
    <row r="93">
      <c r="A93" s="2" t="inlineStr">
        <is>
          <t>R023</t>
        </is>
      </c>
      <c r="B93" s="2" t="n">
        <v>8</v>
      </c>
      <c r="C93" s="2" t="inlineStr">
        <is>
          <t>second electron transfer</t>
        </is>
      </c>
      <c r="D93" s="2" t="inlineStr">
        <is>
          <t>one electron from Fe⁺</t>
        </is>
      </c>
      <c r="E93" s="2" t="inlineStr">
        <is>
          <t>the N radical (an N⁻ lone pair forms)</t>
        </is>
      </c>
      <c r="F93" s="2" t="n"/>
      <c r="G93" s="2" t="n"/>
      <c r="H93" s="2" t="n"/>
      <c r="I93" s="2" t="n"/>
      <c r="J93" s="2" t="n"/>
      <c r="K93" s="2" t="n"/>
      <c r="L93" s="2">
        <f>IF(AND(ISNUMBER(I93),ISNUMBER(K93)),K93-I93,"")</f>
        <v/>
      </c>
      <c r="M93" s="4">
        <f>IF(ISNUMBER(L93),10^L93,"")</f>
        <v/>
      </c>
      <c r="N93" s="2">
        <f>IF(ISNUMBER(L93),IF(L93&gt;=0,"downhill (favoured)","uphill (small amount)"),"")</f>
        <v/>
      </c>
      <c r="O93" s="2" t="n"/>
      <c r="P93" s="2" t="n"/>
      <c r="Q93" s="3" t="inlineStr">
        <is>
          <t>O[N-]c1ccccc1.[Fe+2]</t>
        </is>
      </c>
      <c r="R93" s="2" t="n"/>
      <c r="S93" s="3" t="inlineStr">
        <is>
          <t>O[N:1]c1ccccc1.[Fe+:2]</t>
        </is>
      </c>
      <c r="T93" s="3" t="inlineStr">
        <is>
          <t>~2&gt;1</t>
        </is>
      </c>
    </row>
    <row r="94">
      <c r="A94" s="2" t="inlineStr">
        <is>
          <t>R023</t>
        </is>
      </c>
      <c r="B94" s="2" t="n">
        <v>9</v>
      </c>
      <c r="C94" s="2" t="inlineStr">
        <is>
          <t>protonation</t>
        </is>
      </c>
      <c r="D94" s="2" t="inlineStr">
        <is>
          <t>a lone pair on the N⁻</t>
        </is>
      </c>
      <c r="E94" s="2" t="inlineStr">
        <is>
          <t>an H of H3O⁺</t>
        </is>
      </c>
      <c r="F94" s="2" t="inlineStr">
        <is>
          <t>N–H</t>
        </is>
      </c>
      <c r="G94" s="2" t="inlineStr">
        <is>
          <t>O–H (H3O⁺)</t>
        </is>
      </c>
      <c r="H94" s="2" t="n"/>
      <c r="I94" s="2" t="n"/>
      <c r="J94" s="2" t="n"/>
      <c r="K94" s="2" t="n"/>
      <c r="L94" s="2">
        <f>IF(AND(ISNUMBER(I94),ISNUMBER(K94)),K94-I94,"")</f>
        <v/>
      </c>
      <c r="M94" s="4">
        <f>IF(ISNUMBER(L94),10^L94,"")</f>
        <v/>
      </c>
      <c r="N94" s="2">
        <f>IF(ISNUMBER(L94),IF(L94&gt;=0,"downhill (favoured)","uphill (small amount)"),"")</f>
        <v/>
      </c>
      <c r="O94" s="2" t="n"/>
      <c r="P94" s="2" t="n"/>
      <c r="Q94" s="3" t="inlineStr">
        <is>
          <t>ONc1ccccc1.O</t>
        </is>
      </c>
      <c r="R94" s="2" t="inlineStr">
        <is>
          <t>N-Phenylhydroxylamine: the second 2 e⁻ + 2 H⁺.</t>
        </is>
      </c>
      <c r="S94" s="3" t="inlineStr">
        <is>
          <t>O[N-:1]c1ccccc1.[H:2][OH2+:3]</t>
        </is>
      </c>
      <c r="T94" s="3" t="inlineStr">
        <is>
          <t>1&gt;2; 2-3&gt;3</t>
        </is>
      </c>
    </row>
    <row r="95">
      <c r="A95" s="2" t="inlineStr">
        <is>
          <t>R023</t>
        </is>
      </c>
      <c r="B95" s="2" t="n">
        <v>10</v>
      </c>
      <c r="C95" s="2" t="inlineStr">
        <is>
          <t>protonation of the OH</t>
        </is>
      </c>
      <c r="D95" s="2" t="inlineStr">
        <is>
          <t>a lone pair on the OH</t>
        </is>
      </c>
      <c r="E95" s="2" t="inlineStr">
        <is>
          <t>an H of H3O⁺</t>
        </is>
      </c>
      <c r="F95" s="2" t="inlineStr">
        <is>
          <t>O–H</t>
        </is>
      </c>
      <c r="G95" s="2" t="inlineStr">
        <is>
          <t>O–H (H3O⁺)</t>
        </is>
      </c>
      <c r="H95" s="2" t="n"/>
      <c r="I95" s="2" t="n"/>
      <c r="J95" s="2" t="n"/>
      <c r="K95" s="2" t="n"/>
      <c r="L95" s="2">
        <f>IF(AND(ISNUMBER(I95),ISNUMBER(K95)),K95-I95,"")</f>
        <v/>
      </c>
      <c r="M95" s="4">
        <f>IF(ISNUMBER(L95),10^L95,"")</f>
        <v/>
      </c>
      <c r="N95" s="2">
        <f>IF(ISNUMBER(L95),IF(L95&gt;=0,"downhill (favoured)","uphill (small amount)"),"")</f>
        <v/>
      </c>
      <c r="O95" s="2" t="n"/>
      <c r="P95" s="2" t="n"/>
      <c r="Q95" s="3" t="inlineStr">
        <is>
          <t>[OH2+]Nc1ccccc1.O</t>
        </is>
      </c>
      <c r="R95" s="2" t="n"/>
      <c r="S95" s="3" t="inlineStr">
        <is>
          <t>[OH:1]Nc1ccccc1.[H:2][OH2+:3]</t>
        </is>
      </c>
      <c r="T95" s="3" t="inlineStr">
        <is>
          <t>1&gt;2; 2-3&gt;3</t>
        </is>
      </c>
    </row>
    <row r="96">
      <c r="A96" s="2" t="inlineStr">
        <is>
          <t>R023</t>
        </is>
      </c>
      <c r="B96" s="2" t="n">
        <v>11</v>
      </c>
      <c r="C96" s="2" t="inlineStr">
        <is>
          <t>electron transfer; water leaves</t>
        </is>
      </c>
      <c r="D96" s="2" t="inlineStr">
        <is>
          <t>one electron from Fe; the N–OH2⁺ bond's electrons go with water</t>
        </is>
      </c>
      <c r="E96" s="2" t="inlineStr">
        <is>
          <t>the N (the anilino radical ArNH•)</t>
        </is>
      </c>
      <c r="F96" s="2" t="n"/>
      <c r="G96" s="2" t="inlineStr">
        <is>
          <t>N–O</t>
        </is>
      </c>
      <c r="H96" s="2" t="n"/>
      <c r="I96" s="2" t="n"/>
      <c r="J96" s="2" t="n"/>
      <c r="K96" s="2" t="n"/>
      <c r="L96" s="2">
        <f>IF(AND(ISNUMBER(I96),ISNUMBER(K96)),K96-I96,"")</f>
        <v/>
      </c>
      <c r="M96" s="4">
        <f>IF(ISNUMBER(L96),10^L96,"")</f>
        <v/>
      </c>
      <c r="N96" s="2">
        <f>IF(ISNUMBER(L96),IF(L96&gt;=0,"downhill (favoured)","uphill (small amount)"),"")</f>
        <v/>
      </c>
      <c r="O96" s="2" t="inlineStr">
        <is>
          <t>water</t>
        </is>
      </c>
      <c r="P96" s="2" t="n">
        <v>-1.7</v>
      </c>
      <c r="Q96" s="3" t="inlineStr">
        <is>
          <t>[NH]c1ccccc1.O.[Fe+]</t>
        </is>
      </c>
      <c r="R96" s="2" t="n"/>
      <c r="S96" s="3" t="inlineStr">
        <is>
          <t>[OH2+:1][NH:2]c1ccccc1.[Fe:3]</t>
        </is>
      </c>
      <c r="T96" s="3" t="inlineStr">
        <is>
          <t>2-1&gt;1; ~3&gt;2</t>
        </is>
      </c>
    </row>
    <row r="97">
      <c r="A97" s="2" t="inlineStr">
        <is>
          <t>R023</t>
        </is>
      </c>
      <c r="B97" s="2" t="n">
        <v>12</v>
      </c>
      <c r="C97" s="2" t="inlineStr">
        <is>
          <t>second electron transfer</t>
        </is>
      </c>
      <c r="D97" s="2" t="inlineStr">
        <is>
          <t>one electron from Fe⁺</t>
        </is>
      </c>
      <c r="E97" s="2" t="inlineStr">
        <is>
          <t>the N radical (an N⁻ lone pair forms)</t>
        </is>
      </c>
      <c r="F97" s="2" t="n"/>
      <c r="G97" s="2" t="n"/>
      <c r="H97" s="2" t="n"/>
      <c r="I97" s="2" t="n"/>
      <c r="J97" s="2" t="n"/>
      <c r="K97" s="2" t="n"/>
      <c r="L97" s="2">
        <f>IF(AND(ISNUMBER(I97),ISNUMBER(K97)),K97-I97,"")</f>
        <v/>
      </c>
      <c r="M97" s="4">
        <f>IF(ISNUMBER(L97),10^L97,"")</f>
        <v/>
      </c>
      <c r="N97" s="2">
        <f>IF(ISNUMBER(L97),IF(L97&gt;=0,"downhill (favoured)","uphill (small amount)"),"")</f>
        <v/>
      </c>
      <c r="O97" s="2" t="n"/>
      <c r="P97" s="2" t="n"/>
      <c r="Q97" s="3" t="inlineStr">
        <is>
          <t>[NH-]c1ccccc1.[Fe+2]</t>
        </is>
      </c>
      <c r="R97" s="2" t="n"/>
      <c r="S97" s="3" t="inlineStr">
        <is>
          <t>[NH:1]c1ccccc1.[Fe+:2]</t>
        </is>
      </c>
      <c r="T97" s="3" t="inlineStr">
        <is>
          <t>~2&gt;1</t>
        </is>
      </c>
    </row>
    <row r="98">
      <c r="A98" s="2" t="inlineStr">
        <is>
          <t>R023</t>
        </is>
      </c>
      <c r="B98" s="2" t="n">
        <v>13</v>
      </c>
      <c r="C98" s="2" t="inlineStr">
        <is>
          <t>protonation</t>
        </is>
      </c>
      <c r="D98" s="2" t="inlineStr">
        <is>
          <t>a lone pair on the N⁻</t>
        </is>
      </c>
      <c r="E98" s="2" t="inlineStr">
        <is>
          <t>an H of H3O⁺</t>
        </is>
      </c>
      <c r="F98" s="2" t="inlineStr">
        <is>
          <t>N–H</t>
        </is>
      </c>
      <c r="G98" s="2" t="inlineStr">
        <is>
          <t>O–H (H3O⁺)</t>
        </is>
      </c>
      <c r="H98" s="2" t="n"/>
      <c r="I98" s="2" t="n"/>
      <c r="J98" s="2" t="n"/>
      <c r="K98" s="2" t="n"/>
      <c r="L98" s="2">
        <f>IF(AND(ISNUMBER(I98),ISNUMBER(K98)),K98-I98,"")</f>
        <v/>
      </c>
      <c r="M98" s="4">
        <f>IF(ISNUMBER(L98),10^L98,"")</f>
        <v/>
      </c>
      <c r="N98" s="2">
        <f>IF(ISNUMBER(L98),IF(L98&gt;=0,"downhill (favoured)","uphill (small amount)"),"")</f>
        <v/>
      </c>
      <c r="O98" s="2" t="n"/>
      <c r="P98" s="2" t="n"/>
      <c r="Q98" s="3" t="inlineStr">
        <is>
          <t>Nc1ccccc1.O</t>
        </is>
      </c>
      <c r="R98" s="2" t="inlineStr">
        <is>
          <t>Aniline: the third 2 e⁻ + 2 H⁺ (6 e⁻ from 3 Fe in all).</t>
        </is>
      </c>
      <c r="S98" s="3" t="inlineStr">
        <is>
          <t>[NH-:1]c1ccccc1.[H:2][OH2+:3]</t>
        </is>
      </c>
      <c r="T98" s="3" t="inlineStr">
        <is>
          <t>1&gt;2; 2-3&gt;3</t>
        </is>
      </c>
    </row>
    <row r="99">
      <c r="A99" s="2" t="inlineStr">
        <is>
          <t>R023</t>
        </is>
      </c>
      <c r="B99" s="2" t="n">
        <v>14</v>
      </c>
      <c r="C99" s="2" t="inlineStr">
        <is>
          <t>protonation (anilinium)</t>
        </is>
      </c>
      <c r="D99" s="2" t="inlineStr">
        <is>
          <t>the lone pair on the N</t>
        </is>
      </c>
      <c r="E99" s="2" t="inlineStr">
        <is>
          <t>an H of H3O⁺</t>
        </is>
      </c>
      <c r="F99" s="2" t="inlineStr">
        <is>
          <t>N–H</t>
        </is>
      </c>
      <c r="G99" s="2" t="inlineStr">
        <is>
          <t>O–H (H3O⁺)</t>
        </is>
      </c>
      <c r="H99" s="2" t="inlineStr">
        <is>
          <t>H3O⁺</t>
        </is>
      </c>
      <c r="I99" s="2" t="n">
        <v>-1.7</v>
      </c>
      <c r="J99" s="2" t="inlineStr">
        <is>
          <t>anilinium (ArNH3⁺)</t>
        </is>
      </c>
      <c r="K99" s="2" t="n">
        <v>4.6</v>
      </c>
      <c r="L99" s="2">
        <f>IF(AND(ISNUMBER(I99),ISNUMBER(K99)),K99-I99,"")</f>
        <v/>
      </c>
      <c r="M99" s="4">
        <f>IF(ISNUMBER(L99),10^L99,"")</f>
        <v/>
      </c>
      <c r="N99" s="2">
        <f>IF(ISNUMBER(L99),IF(L99&gt;=0,"downhill (favoured)","uphill (small amount)"),"")</f>
        <v/>
      </c>
      <c r="O99" s="2" t="n"/>
      <c r="P99" s="2" t="n"/>
      <c r="Q99" s="3" t="inlineStr">
        <is>
          <t>[NH3+]c1ccccc1.O</t>
        </is>
      </c>
      <c r="R99" s="2" t="inlineStr">
        <is>
          <t>In acid the amine is protonated.</t>
        </is>
      </c>
      <c r="S99" s="3" t="inlineStr">
        <is>
          <t>[NH2:1]c1ccccc1.[H:2][OH2+:3]</t>
        </is>
      </c>
      <c r="T99" s="3" t="inlineStr">
        <is>
          <t>1&gt;2; 2-3&gt;3</t>
        </is>
      </c>
    </row>
    <row r="100">
      <c r="A100" s="2" t="inlineStr">
        <is>
          <t>R023</t>
        </is>
      </c>
      <c r="B100" s="2" t="n">
        <v>15</v>
      </c>
      <c r="C100" s="2" t="inlineStr">
        <is>
          <t>base work-up (proton transfer)</t>
        </is>
      </c>
      <c r="D100" s="2" t="inlineStr">
        <is>
          <t>a lone pair on HO⁻</t>
        </is>
      </c>
      <c r="E100" s="2" t="inlineStr">
        <is>
          <t>an H of the anilinium N</t>
        </is>
      </c>
      <c r="F100" s="2" t="inlineStr">
        <is>
          <t>O–H</t>
        </is>
      </c>
      <c r="G100" s="2" t="inlineStr">
        <is>
          <t>N–H</t>
        </is>
      </c>
      <c r="H100" s="2" t="inlineStr">
        <is>
          <t>anilinium (ArNH3⁺)</t>
        </is>
      </c>
      <c r="I100" s="2" t="n">
        <v>4.6</v>
      </c>
      <c r="J100" s="2" t="inlineStr">
        <is>
          <t>water</t>
        </is>
      </c>
      <c r="K100" s="2" t="n">
        <v>15.7</v>
      </c>
      <c r="L100" s="2">
        <f>IF(AND(ISNUMBER(I100),ISNUMBER(K100)),K100-I100,"")</f>
        <v/>
      </c>
      <c r="M100" s="4">
        <f>IF(ISNUMBER(L100),10^L100,"")</f>
        <v/>
      </c>
      <c r="N100" s="2">
        <f>IF(ISNUMBER(L100),IF(L100&gt;=0,"downhill (favoured)","uphill (small amount)"),"")</f>
        <v/>
      </c>
      <c r="O100" s="2" t="n"/>
      <c r="P100" s="2" t="n"/>
      <c r="Q100" s="3" t="inlineStr">
        <is>
          <t>Nc1ccccc1.O</t>
        </is>
      </c>
      <c r="R100" s="2" t="inlineStr">
        <is>
          <t>Free aniline.</t>
        </is>
      </c>
      <c r="S100" s="3" t="inlineStr">
        <is>
          <t>[NH2+:1]([H:2])c1ccccc1.[OH-:3]</t>
        </is>
      </c>
      <c r="T100" s="3" t="inlineStr">
        <is>
          <t>3&gt;2; 2-1&gt;1</t>
        </is>
      </c>
    </row>
    <row r="101">
      <c r="A101" s="2" t="inlineStr">
        <is>
          <t>R024</t>
        </is>
      </c>
      <c r="B101" s="2" t="n">
        <v>1</v>
      </c>
      <c r="C101" s="2" t="inlineStr">
        <is>
          <t>nitrous acid forms (proton transfer)</t>
        </is>
      </c>
      <c r="D101" s="2" t="inlineStr">
        <is>
          <t>a lone pair on nitrite (NO2⁻, from NaNO2)</t>
        </is>
      </c>
      <c r="E101" s="2" t="inlineStr">
        <is>
          <t>an H of H3O⁺ (from HCl)</t>
        </is>
      </c>
      <c r="F101" s="2" t="inlineStr">
        <is>
          <t>O–H</t>
        </is>
      </c>
      <c r="G101" s="2" t="inlineStr">
        <is>
          <t>O–H (H3O⁺)</t>
        </is>
      </c>
      <c r="H101" s="2" t="inlineStr">
        <is>
          <t>H3O⁺</t>
        </is>
      </c>
      <c r="I101" s="2" t="n">
        <v>-1.7</v>
      </c>
      <c r="J101" s="2" t="inlineStr">
        <is>
          <t>nitrous acid (HONO)</t>
        </is>
      </c>
      <c r="K101" s="2" t="n">
        <v>3.3</v>
      </c>
      <c r="L101" s="2">
        <f>IF(AND(ISNUMBER(I101),ISNUMBER(K101)),K101-I101,"")</f>
        <v/>
      </c>
      <c r="M101" s="4">
        <f>IF(ISNUMBER(L101),10^L101,"")</f>
        <v/>
      </c>
      <c r="N101" s="2">
        <f>IF(ISNUMBER(L101),IF(L101&gt;=0,"downhill (favoured)","uphill (small amount)"),"")</f>
        <v/>
      </c>
      <c r="O101" s="2" t="n"/>
      <c r="P101" s="2" t="n"/>
      <c r="Q101" s="3" t="inlineStr">
        <is>
          <t>O=NO.O</t>
        </is>
      </c>
      <c r="R101" s="2" t="inlineStr">
        <is>
          <t>NaNO2 + HCl make HONO in the cold solution.</t>
        </is>
      </c>
      <c r="S101" s="3" t="inlineStr">
        <is>
          <t>O=N[O-:1].[H:2][OH2+:3]</t>
        </is>
      </c>
      <c r="T101" s="3" t="inlineStr">
        <is>
          <t>1&gt;2; 2-3&gt;3</t>
        </is>
      </c>
    </row>
    <row r="102">
      <c r="A102" s="2" t="inlineStr">
        <is>
          <t>R024</t>
        </is>
      </c>
      <c r="B102" s="2" t="n">
        <v>2</v>
      </c>
      <c r="C102" s="2" t="inlineStr">
        <is>
          <t>HONO is protonated on OH</t>
        </is>
      </c>
      <c r="D102" s="2" t="inlineStr">
        <is>
          <t>a lone pair on the OH of HONO</t>
        </is>
      </c>
      <c r="E102" s="2" t="inlineStr">
        <is>
          <t>an H of H3O⁺</t>
        </is>
      </c>
      <c r="F102" s="2" t="inlineStr">
        <is>
          <t>O–H</t>
        </is>
      </c>
      <c r="G102" s="2" t="inlineStr">
        <is>
          <t>O–H (H3O⁺)</t>
        </is>
      </c>
      <c r="H102" s="2" t="n"/>
      <c r="I102" s="2" t="n"/>
      <c r="J102" s="2" t="n"/>
      <c r="K102" s="2" t="n"/>
      <c r="L102" s="2">
        <f>IF(AND(ISNUMBER(I102),ISNUMBER(K102)),K102-I102,"")</f>
        <v/>
      </c>
      <c r="M102" s="4">
        <f>IF(ISNUMBER(L102),10^L102,"")</f>
        <v/>
      </c>
      <c r="N102" s="2">
        <f>IF(ISNUMBER(L102),IF(L102&gt;=0,"downhill (favoured)","uphill (small amount)"),"")</f>
        <v/>
      </c>
      <c r="O102" s="2" t="n"/>
      <c r="P102" s="2" t="n"/>
      <c r="Q102" s="3" t="inlineStr">
        <is>
          <t>O=N[OH2+].O</t>
        </is>
      </c>
      <c r="R102" s="2" t="inlineStr">
        <is>
          <t>This makes the OH a leaving group (water).</t>
        </is>
      </c>
      <c r="S102" s="3" t="inlineStr">
        <is>
          <t>O=N[OH:1].[H:2][OH2+:3]</t>
        </is>
      </c>
      <c r="T102" s="3" t="inlineStr">
        <is>
          <t>1&gt;2; 2-3&gt;3</t>
        </is>
      </c>
    </row>
    <row r="103">
      <c r="A103" s="2" t="inlineStr">
        <is>
          <t>R024</t>
        </is>
      </c>
      <c r="B103" s="2" t="n">
        <v>3</v>
      </c>
      <c r="C103" s="2" t="inlineStr">
        <is>
          <t>nitrosonium ion forms (water leaves)</t>
        </is>
      </c>
      <c r="D103" s="2" t="inlineStr">
        <is>
          <t>the N–OH2⁺ bond's electrons go to O (water leaves); a lone pair on the other O</t>
        </is>
      </c>
      <c r="E103" s="2" t="inlineStr">
        <is>
          <t>the N≡O⁺ triple bond</t>
        </is>
      </c>
      <c r="F103" s="2" t="inlineStr">
        <is>
          <t>N≡O⁺</t>
        </is>
      </c>
      <c r="G103" s="2" t="inlineStr">
        <is>
          <t>N–O</t>
        </is>
      </c>
      <c r="H103" s="2" t="n"/>
      <c r="I103" s="2" t="n"/>
      <c r="J103" s="2" t="n"/>
      <c r="K103" s="2" t="n"/>
      <c r="L103" s="2">
        <f>IF(AND(ISNUMBER(I103),ISNUMBER(K103)),K103-I103,"")</f>
        <v/>
      </c>
      <c r="M103" s="4">
        <f>IF(ISNUMBER(L103),10^L103,"")</f>
        <v/>
      </c>
      <c r="N103" s="2">
        <f>IF(ISNUMBER(L103),IF(L103&gt;=0,"downhill (favoured)","uphill (small amount)"),"")</f>
        <v/>
      </c>
      <c r="O103" s="2" t="inlineStr">
        <is>
          <t>water</t>
        </is>
      </c>
      <c r="P103" s="2" t="n">
        <v>-1.7</v>
      </c>
      <c r="Q103" s="3" t="inlineStr">
        <is>
          <t>N#[O+].O</t>
        </is>
      </c>
      <c r="R103" s="2" t="inlineStr">
        <is>
          <t>NO⁺ is the electrophile.</t>
        </is>
      </c>
      <c r="S103" s="3" t="inlineStr">
        <is>
          <t>[O:2]=[N:3][OH2+:1]</t>
        </is>
      </c>
      <c r="T103" s="3" t="inlineStr">
        <is>
          <t>3-1&gt;1; 2&gt;2-3</t>
        </is>
      </c>
    </row>
    <row r="104">
      <c r="A104" s="2" t="inlineStr">
        <is>
          <t>R024</t>
        </is>
      </c>
      <c r="B104" s="2" t="n">
        <v>4</v>
      </c>
      <c r="C104" s="2" t="inlineStr">
        <is>
          <t>N attacks NO⁺</t>
        </is>
      </c>
      <c r="D104" s="2" t="inlineStr">
        <is>
          <t>the lone pair on aniline's N</t>
        </is>
      </c>
      <c r="E104" s="2" t="inlineStr">
        <is>
          <t>the N of NO⁺; the N≡O π electrons go to O</t>
        </is>
      </c>
      <c r="F104" s="2" t="inlineStr">
        <is>
          <t>N–N</t>
        </is>
      </c>
      <c r="G104" s="2" t="inlineStr">
        <is>
          <t>N≡O (π)</t>
        </is>
      </c>
      <c r="H104" s="2" t="n"/>
      <c r="I104" s="2" t="n"/>
      <c r="J104" s="2" t="n"/>
      <c r="K104" s="2" t="n"/>
      <c r="L104" s="2">
        <f>IF(AND(ISNUMBER(I104),ISNUMBER(K104)),K104-I104,"")</f>
        <v/>
      </c>
      <c r="M104" s="4">
        <f>IF(ISNUMBER(L104),10^L104,"")</f>
        <v/>
      </c>
      <c r="N104" s="2">
        <f>IF(ISNUMBER(L104),IF(L104&gt;=0,"downhill (favoured)","uphill (small amount)"),"")</f>
        <v/>
      </c>
      <c r="O104" s="2" t="n"/>
      <c r="P104" s="2" t="n"/>
      <c r="Q104" s="3" t="inlineStr">
        <is>
          <t>O=N[NH2+]c1ccccc1</t>
        </is>
      </c>
      <c r="R104" s="2" t="n"/>
      <c r="S104" s="3" t="inlineStr">
        <is>
          <t>[NH2:1]c1ccccc1.[N:2]#[O+:3]</t>
        </is>
      </c>
      <c r="T104" s="3" t="inlineStr">
        <is>
          <t>1&gt;2; 2-3&gt;3</t>
        </is>
      </c>
    </row>
    <row r="105">
      <c r="A105" s="2" t="inlineStr">
        <is>
          <t>R024</t>
        </is>
      </c>
      <c r="B105" s="2" t="n">
        <v>5</v>
      </c>
      <c r="C105" s="2" t="inlineStr">
        <is>
          <t>proton transfer</t>
        </is>
      </c>
      <c r="D105" s="2" t="inlineStr">
        <is>
          <t>a lone pair on water</t>
        </is>
      </c>
      <c r="E105" s="2" t="inlineStr">
        <is>
          <t>an H on the N⁺</t>
        </is>
      </c>
      <c r="F105" s="2" t="inlineStr">
        <is>
          <t>O–H</t>
        </is>
      </c>
      <c r="G105" s="2" t="inlineStr">
        <is>
          <t>N–H</t>
        </is>
      </c>
      <c r="H105" s="2" t="n"/>
      <c r="I105" s="2" t="n"/>
      <c r="J105" s="2" t="n"/>
      <c r="K105" s="2" t="n"/>
      <c r="L105" s="2">
        <f>IF(AND(ISNUMBER(I105),ISNUMBER(K105)),K105-I105,"")</f>
        <v/>
      </c>
      <c r="M105" s="4">
        <f>IF(ISNUMBER(L105),10^L105,"")</f>
        <v/>
      </c>
      <c r="N105" s="2">
        <f>IF(ISNUMBER(L105),IF(L105&gt;=0,"downhill (favoured)","uphill (small amount)"),"")</f>
        <v/>
      </c>
      <c r="O105" s="2" t="n"/>
      <c r="P105" s="2" t="n"/>
      <c r="Q105" s="3" t="inlineStr">
        <is>
          <t>O=NNc1ccccc1.[OH3+]</t>
        </is>
      </c>
      <c r="R105" s="2" t="inlineStr">
        <is>
          <t>N-Nitrosamine.</t>
        </is>
      </c>
      <c r="S105" s="3" t="inlineStr">
        <is>
          <t>O=N[NH+:1]([H:2])c1ccccc1.[OH2:3]</t>
        </is>
      </c>
      <c r="T105" s="3" t="inlineStr">
        <is>
          <t>3&gt;2; 2-1&gt;1</t>
        </is>
      </c>
    </row>
    <row r="106">
      <c r="A106" s="2" t="inlineStr">
        <is>
          <t>R024</t>
        </is>
      </c>
      <c r="B106" s="2" t="n">
        <v>6</v>
      </c>
      <c r="C106" s="2" t="inlineStr">
        <is>
          <t>tautomerisation</t>
        </is>
      </c>
      <c r="D106" s="2" t="inlineStr">
        <is>
          <t>the N–H and the N=O π electrons</t>
        </is>
      </c>
      <c r="E106" s="2" t="inlineStr">
        <is>
          <t>H moves from N to O</t>
        </is>
      </c>
      <c r="F106" s="2" t="inlineStr">
        <is>
          <t>N=N; O–H</t>
        </is>
      </c>
      <c r="G106" s="2" t="inlineStr">
        <is>
          <t>N–H; N=O (π)</t>
        </is>
      </c>
      <c r="H106" s="2" t="n"/>
      <c r="I106" s="2" t="n"/>
      <c r="J106" s="2" t="n"/>
      <c r="K106" s="2" t="n"/>
      <c r="L106" s="2">
        <f>IF(AND(ISNUMBER(I106),ISNUMBER(K106)),K106-I106,"")</f>
        <v/>
      </c>
      <c r="M106" s="4">
        <f>IF(ISNUMBER(L106),10^L106,"")</f>
        <v/>
      </c>
      <c r="N106" s="2">
        <f>IF(ISNUMBER(L106),IF(L106&gt;=0,"downhill (favoured)","uphill (small amount)"),"")</f>
        <v/>
      </c>
      <c r="O106" s="2" t="n"/>
      <c r="P106" s="2" t="n"/>
      <c r="Q106" s="3" t="inlineStr">
        <is>
          <t>ON=Nc1ccccc1</t>
        </is>
      </c>
      <c r="R106" s="2" t="inlineStr">
        <is>
          <t>Diazohydroxide.</t>
        </is>
      </c>
      <c r="S106" s="3" t="inlineStr">
        <is>
          <t>[O:1]=[N:2][N:3]([H:4])c1ccccc1</t>
        </is>
      </c>
      <c r="T106" s="3" t="inlineStr">
        <is>
          <t>3&gt;2-3; 2-1&gt;1; 1&gt;4; 4-3&gt;3</t>
        </is>
      </c>
    </row>
    <row r="107">
      <c r="A107" s="2" t="inlineStr">
        <is>
          <t>R024</t>
        </is>
      </c>
      <c r="B107" s="2" t="n">
        <v>7</v>
      </c>
      <c r="C107" s="2" t="inlineStr">
        <is>
          <t>protonation of the OH</t>
        </is>
      </c>
      <c r="D107" s="2" t="inlineStr">
        <is>
          <t>a lone pair on the OH of the diazohydroxide</t>
        </is>
      </c>
      <c r="E107" s="2" t="inlineStr">
        <is>
          <t>an H of H3O⁺</t>
        </is>
      </c>
      <c r="F107" s="2" t="inlineStr">
        <is>
          <t>O–H</t>
        </is>
      </c>
      <c r="G107" s="2" t="inlineStr">
        <is>
          <t>O–H (H3O⁺)</t>
        </is>
      </c>
      <c r="H107" s="2" t="n"/>
      <c r="I107" s="2" t="n"/>
      <c r="J107" s="2" t="n"/>
      <c r="K107" s="2" t="n"/>
      <c r="L107" s="2">
        <f>IF(AND(ISNUMBER(I107),ISNUMBER(K107)),K107-I107,"")</f>
        <v/>
      </c>
      <c r="M107" s="4">
        <f>IF(ISNUMBER(L107),10^L107,"")</f>
        <v/>
      </c>
      <c r="N107" s="2">
        <f>IF(ISNUMBER(L107),IF(L107&gt;=0,"downhill (favoured)","uphill (small amount)"),"")</f>
        <v/>
      </c>
      <c r="O107" s="2" t="n"/>
      <c r="P107" s="2" t="n"/>
      <c r="Q107" s="3" t="inlineStr">
        <is>
          <t>[OH2+]N=Nc1ccccc1.O</t>
        </is>
      </c>
      <c r="R107" s="2" t="inlineStr">
        <is>
          <t>Again this makes the OH a leaving group.</t>
        </is>
      </c>
      <c r="S107" s="3" t="inlineStr">
        <is>
          <t>[OH:1]N=Nc1ccccc1.[H:2][OH2+:3]</t>
        </is>
      </c>
      <c r="T107" s="3" t="inlineStr">
        <is>
          <t>1&gt;2; 2-3&gt;3</t>
        </is>
      </c>
    </row>
    <row r="108">
      <c r="A108" s="2" t="inlineStr">
        <is>
          <t>R024</t>
        </is>
      </c>
      <c r="B108" s="2" t="n">
        <v>8</v>
      </c>
      <c r="C108" s="2" t="inlineStr">
        <is>
          <t>loss of water (diazonium)</t>
        </is>
      </c>
      <c r="D108" s="2" t="inlineStr">
        <is>
          <t>a lone pair on the N next to the ring; the N–OH2⁺ bond's electrons</t>
        </is>
      </c>
      <c r="E108" s="2" t="inlineStr">
        <is>
          <t>form the N≡N (water leaves)</t>
        </is>
      </c>
      <c r="F108" s="2" t="inlineStr">
        <is>
          <t>N≡N</t>
        </is>
      </c>
      <c r="G108" s="2" t="inlineStr">
        <is>
          <t>N–O</t>
        </is>
      </c>
      <c r="H108" s="2" t="n"/>
      <c r="I108" s="2" t="n"/>
      <c r="J108" s="2" t="n"/>
      <c r="K108" s="2" t="n"/>
      <c r="L108" s="2">
        <f>IF(AND(ISNUMBER(I108),ISNUMBER(K108)),K108-I108,"")</f>
        <v/>
      </c>
      <c r="M108" s="4">
        <f>IF(ISNUMBER(L108),10^L108,"")</f>
        <v/>
      </c>
      <c r="N108" s="2">
        <f>IF(ISNUMBER(L108),IF(L108&gt;=0,"downhill (favoured)","uphill (small amount)"),"")</f>
        <v/>
      </c>
      <c r="O108" s="2" t="inlineStr">
        <is>
          <t>water</t>
        </is>
      </c>
      <c r="P108" s="2" t="n">
        <v>-1.7</v>
      </c>
      <c r="Q108" s="3" t="inlineStr">
        <is>
          <t>N#[N+]c1ccccc1.O</t>
        </is>
      </c>
      <c r="R108" s="2" t="inlineStr">
        <is>
          <t>Aryl diazonium: stable only cold (0–5 °C).</t>
        </is>
      </c>
      <c r="S108" s="3" t="inlineStr">
        <is>
          <t>[OH2+:1][N:2]=[N:3]c1ccccc1</t>
        </is>
      </c>
      <c r="T108" s="3" t="inlineStr">
        <is>
          <t>3&gt;2-3; 2-1&gt;1</t>
        </is>
      </c>
    </row>
    <row r="109">
      <c r="A109" s="2" t="inlineStr">
        <is>
          <t>R025</t>
        </is>
      </c>
      <c r="B109" s="2" t="n">
        <v>1</v>
      </c>
      <c r="C109" s="2" t="inlineStr">
        <is>
          <t>single electron transfer</t>
        </is>
      </c>
      <c r="D109" s="2" t="inlineStr">
        <is>
          <t>one electron from Cu(I)Br</t>
        </is>
      </c>
      <c r="E109" s="2" t="inlineStr">
        <is>
          <t>the diazonium; the C–N bond's electrons… N2 leaves</t>
        </is>
      </c>
      <c r="F109" s="2" t="n"/>
      <c r="G109" s="2" t="inlineStr">
        <is>
          <t>C–N</t>
        </is>
      </c>
      <c r="H109" s="2" t="n"/>
      <c r="I109" s="2" t="n"/>
      <c r="J109" s="2" t="n"/>
      <c r="K109" s="2" t="n"/>
      <c r="L109" s="2">
        <f>IF(AND(ISNUMBER(I109),ISNUMBER(K109)),K109-I109,"")</f>
        <v/>
      </c>
      <c r="M109" s="4">
        <f>IF(ISNUMBER(L109),10^L109,"")</f>
        <v/>
      </c>
      <c r="N109" s="2">
        <f>IF(ISNUMBER(L109),IF(L109&gt;=0,"downhill (favoured)","uphill (small amount)"),"")</f>
        <v/>
      </c>
      <c r="O109" s="2" t="n"/>
      <c r="P109" s="2" t="n"/>
      <c r="Q109" s="3" t="inlineStr">
        <is>
          <t>[c]1ccccc1.N#N.Br[Cu+]</t>
        </is>
      </c>
      <c r="R109" s="2" t="inlineStr">
        <is>
          <t>Aryl radical + N2 gas (the driving force); Cu(I) → Cu(II) (CuBr⁺).</t>
        </is>
      </c>
      <c r="S109" s="3" t="inlineStr">
        <is>
          <t>[N:1]#[N+:2][c:3]1ccccc1.[Cu:4]Br</t>
        </is>
      </c>
      <c r="T109" s="3" t="inlineStr">
        <is>
          <t>~4&gt;2; ~3-2&gt;3; ~3-2&gt;2</t>
        </is>
      </c>
    </row>
    <row r="110">
      <c r="A110" s="2" t="inlineStr">
        <is>
          <t>R025</t>
        </is>
      </c>
      <c r="B110" s="2" t="n">
        <v>2</v>
      </c>
      <c r="C110" s="2" t="inlineStr">
        <is>
          <t>bromine transfer</t>
        </is>
      </c>
      <c r="D110" s="2" t="inlineStr">
        <is>
          <t>the aryl radical</t>
        </is>
      </c>
      <c r="E110" s="2" t="inlineStr">
        <is>
          <t>the Br on Cu(II) (CuBr⁺); Cu(II) → Cu(I)</t>
        </is>
      </c>
      <c r="F110" s="2" t="inlineStr">
        <is>
          <t>C–Br</t>
        </is>
      </c>
      <c r="G110" s="2" t="inlineStr">
        <is>
          <t>Cu–Br</t>
        </is>
      </c>
      <c r="H110" s="2" t="n"/>
      <c r="I110" s="2" t="n"/>
      <c r="J110" s="2" t="n"/>
      <c r="K110" s="2" t="n"/>
      <c r="L110" s="2">
        <f>IF(AND(ISNUMBER(I110),ISNUMBER(K110)),K110-I110,"")</f>
        <v/>
      </c>
      <c r="M110" s="4">
        <f>IF(ISNUMBER(L110),10^L110,"")</f>
        <v/>
      </c>
      <c r="N110" s="2">
        <f>IF(ISNUMBER(L110),IF(L110&gt;=0,"downhill (favoured)","uphill (small amount)"),"")</f>
        <v/>
      </c>
      <c r="O110" s="2" t="n"/>
      <c r="P110" s="2" t="n"/>
      <c r="Q110" s="3" t="inlineStr">
        <is>
          <t>Brc1ccccc1.[Cu+]</t>
        </is>
      </c>
      <c r="R110" s="2" t="inlineStr">
        <is>
          <t>Cu⁺ (with Br⁻) is CuBr again: the copper is regenerated.</t>
        </is>
      </c>
      <c r="S110" s="3" t="inlineStr">
        <is>
          <t>[c:1]1ccccc1.[Br:2][Cu+:3]</t>
        </is>
      </c>
      <c r="T110" s="3" t="inlineStr">
        <is>
          <t>~1&gt;1-2; ~2-3&gt;1-2; ~2-3&gt;3</t>
        </is>
      </c>
    </row>
    <row r="111">
      <c r="A111" s="2" t="inlineStr">
        <is>
          <t>R026</t>
        </is>
      </c>
      <c r="B111" s="2" t="n">
        <v>1</v>
      </c>
      <c r="C111" s="2" t="inlineStr">
        <is>
          <t>SN2 (one step)</t>
        </is>
      </c>
      <c r="D111" s="2" t="inlineStr">
        <is>
          <t>the lone pair on cyanide's C</t>
        </is>
      </c>
      <c r="E111" s="2" t="inlineStr">
        <is>
          <t>the C–Br carbon from the back; the C–Br bond's electrons go to Br (Br⁻)</t>
        </is>
      </c>
      <c r="F111" s="2" t="inlineStr">
        <is>
          <t>C–C</t>
        </is>
      </c>
      <c r="G111" s="2" t="inlineStr">
        <is>
          <t>C–Br</t>
        </is>
      </c>
      <c r="H111" s="2" t="n"/>
      <c r="I111" s="2" t="n"/>
      <c r="J111" s="2" t="n"/>
      <c r="K111" s="2" t="n"/>
      <c r="L111" s="2">
        <f>IF(AND(ISNUMBER(I111),ISNUMBER(K111)),K111-I111,"")</f>
        <v/>
      </c>
      <c r="M111" s="4">
        <f>IF(ISNUMBER(L111),10^L111,"")</f>
        <v/>
      </c>
      <c r="N111" s="2">
        <f>IF(ISNUMBER(L111),IF(L111&gt;=0,"downhill (favoured)","uphill (small amount)"),"")</f>
        <v/>
      </c>
      <c r="O111" s="2" t="inlineStr">
        <is>
          <t>bromide</t>
        </is>
      </c>
      <c r="P111" s="2" t="n">
        <v>-9</v>
      </c>
      <c r="Q111" s="3" t="inlineStr">
        <is>
          <t>CCCCC#N.[Br-]</t>
        </is>
      </c>
      <c r="R111" s="2" t="inlineStr">
        <is>
          <t>Backside attack: inversion at a stereocentre. DMSO leaves the anion unsolvated and reactive.</t>
        </is>
      </c>
      <c r="S111" s="3" t="inlineStr">
        <is>
          <t>N#[C-:1].[CH2:2]([Br:3])CCC</t>
        </is>
      </c>
      <c r="T111" s="3" t="inlineStr">
        <is>
          <t>1&gt;2; 2-3&gt;3</t>
        </is>
      </c>
    </row>
    <row r="112">
      <c r="A112" s="2" t="inlineStr">
        <is>
          <t>R027</t>
        </is>
      </c>
      <c r="B112" s="2" t="n">
        <v>1</v>
      </c>
      <c r="C112" s="2" t="inlineStr">
        <is>
          <t>SN2 (one step)</t>
        </is>
      </c>
      <c r="D112" s="2" t="inlineStr">
        <is>
          <t>a lone pair on ethoxide's O</t>
        </is>
      </c>
      <c r="E112" s="2" t="inlineStr">
        <is>
          <t>the C–Br carbon from the back; the C–Br bond's electrons go to Br</t>
        </is>
      </c>
      <c r="F112" s="2" t="inlineStr">
        <is>
          <t>C–O</t>
        </is>
      </c>
      <c r="G112" s="2" t="inlineStr">
        <is>
          <t>C–Br</t>
        </is>
      </c>
      <c r="H112" s="2" t="n"/>
      <c r="I112" s="2" t="n"/>
      <c r="J112" s="2" t="n"/>
      <c r="K112" s="2" t="n"/>
      <c r="L112" s="2">
        <f>IF(AND(ISNUMBER(I112),ISNUMBER(K112)),K112-I112,"")</f>
        <v/>
      </c>
      <c r="M112" s="4">
        <f>IF(ISNUMBER(L112),10^L112,"")</f>
        <v/>
      </c>
      <c r="N112" s="2">
        <f>IF(ISNUMBER(L112),IF(L112&gt;=0,"downhill (favoured)","uphill (small amount)"),"")</f>
        <v/>
      </c>
      <c r="O112" s="2" t="inlineStr">
        <is>
          <t>bromide</t>
        </is>
      </c>
      <c r="P112" s="2" t="n">
        <v>-9</v>
      </c>
      <c r="Q112" s="3" t="inlineStr">
        <is>
          <t>CCOCC.[Br-]</t>
        </is>
      </c>
      <c r="R112" s="2" t="inlineStr">
        <is>
          <t>Works on methyl and 1° halides; 2° and 3° halides give E2 instead.</t>
        </is>
      </c>
      <c r="S112" s="3" t="inlineStr">
        <is>
          <t>CC[O-:1].C[CH2:2][Br:3]</t>
        </is>
      </c>
      <c r="T112" s="3" t="inlineStr">
        <is>
          <t>1&gt;2; 2-3&gt;3</t>
        </is>
      </c>
    </row>
    <row r="113">
      <c r="A113" s="2" t="inlineStr">
        <is>
          <t>R028</t>
        </is>
      </c>
      <c r="B113" s="2" t="n">
        <v>1</v>
      </c>
      <c r="C113" s="2" t="inlineStr">
        <is>
          <t>SN2 (one step)</t>
        </is>
      </c>
      <c r="D113" s="2" t="inlineStr">
        <is>
          <t>a lone pair on I⁻</t>
        </is>
      </c>
      <c r="E113" s="2" t="inlineStr">
        <is>
          <t>the C–Cl carbon from the back; the C–Cl bond's electrons go to Cl</t>
        </is>
      </c>
      <c r="F113" s="2" t="inlineStr">
        <is>
          <t>C–I</t>
        </is>
      </c>
      <c r="G113" s="2" t="inlineStr">
        <is>
          <t>C–Cl</t>
        </is>
      </c>
      <c r="H113" s="2" t="n"/>
      <c r="I113" s="2" t="n"/>
      <c r="J113" s="2" t="n"/>
      <c r="K113" s="2" t="n"/>
      <c r="L113" s="2">
        <f>IF(AND(ISNUMBER(I113),ISNUMBER(K113)),K113-I113,"")</f>
        <v/>
      </c>
      <c r="M113" s="4">
        <f>IF(ISNUMBER(L113),10^L113,"")</f>
        <v/>
      </c>
      <c r="N113" s="2">
        <f>IF(ISNUMBER(L113),IF(L113&gt;=0,"downhill (favoured)","uphill (small amount)"),"")</f>
        <v/>
      </c>
      <c r="O113" s="2" t="inlineStr">
        <is>
          <t>chloride</t>
        </is>
      </c>
      <c r="P113" s="2" t="n">
        <v>-7</v>
      </c>
      <c r="Q113" s="3" t="inlineStr">
        <is>
          <t>CCCCI.[Cl-]</t>
        </is>
      </c>
      <c r="R113" s="2" t="inlineStr">
        <is>
          <t>Equilibrium; NaCl is insoluble in acetone and precipitates, pulling it forward.</t>
        </is>
      </c>
      <c r="S113" s="3" t="inlineStr">
        <is>
          <t>[I-:1].CCC[CH2:2][Cl:3]</t>
        </is>
      </c>
      <c r="T113" s="3" t="inlineStr">
        <is>
          <t>1&gt;2; 2-3&gt;3</t>
        </is>
      </c>
    </row>
    <row r="114">
      <c r="A114" s="2" t="inlineStr">
        <is>
          <t>R029</t>
        </is>
      </c>
      <c r="B114" s="2" t="n">
        <v>1</v>
      </c>
      <c r="C114" s="2" t="inlineStr">
        <is>
          <t>E2 (one step)</t>
        </is>
      </c>
      <c r="D114" s="2" t="inlineStr">
        <is>
          <t>a lone pair on t-BuO⁻</t>
        </is>
      </c>
      <c r="E114" s="2" t="inlineStr">
        <is>
          <t>an H on a CH3 (anti-periplanar to Br); the C–H electrons form the C=C; the C–Br electrons go to Br</t>
        </is>
      </c>
      <c r="F114" s="2" t="inlineStr">
        <is>
          <t>O–H; C=C</t>
        </is>
      </c>
      <c r="G114" s="2" t="inlineStr">
        <is>
          <t>C–H; C–Br</t>
        </is>
      </c>
      <c r="H114" s="2" t="n"/>
      <c r="I114" s="2" t="n"/>
      <c r="J114" s="2" t="n"/>
      <c r="K114" s="2" t="n"/>
      <c r="L114" s="2">
        <f>IF(AND(ISNUMBER(I114),ISNUMBER(K114)),K114-I114,"")</f>
        <v/>
      </c>
      <c r="M114" s="4">
        <f>IF(ISNUMBER(L114),10^L114,"")</f>
        <v/>
      </c>
      <c r="N114" s="2">
        <f>IF(ISNUMBER(L114),IF(L114&gt;=0,"downhill (favoured)","uphill (small amount)"),"")</f>
        <v/>
      </c>
      <c r="O114" s="2" t="inlineStr">
        <is>
          <t>bromide</t>
        </is>
      </c>
      <c r="P114" s="2" t="n">
        <v>-9</v>
      </c>
      <c r="Q114" s="3" t="inlineStr">
        <is>
          <t>C=C(C)CC.CC(C)(C)O.[Br-]</t>
        </is>
      </c>
      <c r="R114" s="2" t="inlineStr">
        <is>
          <t>The bulky base reaches the open CH3 hydrogens: Hofmann (less substituted) alkene. On its own the C–H (pKa ≈ 50) → t-BuOH (pKa 18) transfer would be very uphill; losing Br⁻ in the same step pays for it.</t>
        </is>
      </c>
      <c r="S114" s="3" t="inlineStr">
        <is>
          <t>CC(C)(C)[O-:1].[H:2][CH2:3][C:4](C)([Br:5])CC</t>
        </is>
      </c>
      <c r="T114" s="3" t="inlineStr">
        <is>
          <t>1&gt;2; 2-3&gt;3-4; 4-5&gt;5</t>
        </is>
      </c>
    </row>
    <row r="115">
      <c r="A115" s="2" t="inlineStr">
        <is>
          <t>R030</t>
        </is>
      </c>
      <c r="B115" s="2" t="n">
        <v>1</v>
      </c>
      <c r="C115" s="2" t="inlineStr">
        <is>
          <t>E2 (one step)</t>
        </is>
      </c>
      <c r="D115" s="2" t="inlineStr">
        <is>
          <t>a lone pair on EtO⁻</t>
        </is>
      </c>
      <c r="E115" s="2" t="inlineStr">
        <is>
          <t>an H on the CH2 (anti-periplanar to Br); the C–H electrons form the C=C; the C–Br electrons go to Br</t>
        </is>
      </c>
      <c r="F115" s="2" t="inlineStr">
        <is>
          <t>O–H; C=C</t>
        </is>
      </c>
      <c r="G115" s="2" t="inlineStr">
        <is>
          <t>C–H; C–Br</t>
        </is>
      </c>
      <c r="H115" s="2" t="n"/>
      <c r="I115" s="2" t="n"/>
      <c r="J115" s="2" t="n"/>
      <c r="K115" s="2" t="n"/>
      <c r="L115" s="2">
        <f>IF(AND(ISNUMBER(I115),ISNUMBER(K115)),K115-I115,"")</f>
        <v/>
      </c>
      <c r="M115" s="4">
        <f>IF(ISNUMBER(L115),10^L115,"")</f>
        <v/>
      </c>
      <c r="N115" s="2">
        <f>IF(ISNUMBER(L115),IF(L115&gt;=0,"downhill (favoured)","uphill (small amount)"),"")</f>
        <v/>
      </c>
      <c r="O115" s="2" t="inlineStr">
        <is>
          <t>bromide</t>
        </is>
      </c>
      <c r="P115" s="2" t="n">
        <v>-9</v>
      </c>
      <c r="Q115" s="3" t="inlineStr">
        <is>
          <t>CC=C(C)C.CCO.[Br-]</t>
        </is>
      </c>
      <c r="R115" s="2" t="inlineStr">
        <is>
          <t>The small base takes the H that gives the more substituted (more stable) alkene: Zaitsev.</t>
        </is>
      </c>
      <c r="S115" s="3" t="inlineStr">
        <is>
          <t>CC[O-:1].C[CH:3]([H:2])[C:4](C)(C)[Br:5]</t>
        </is>
      </c>
      <c r="T115" s="3" t="inlineStr">
        <is>
          <t>1&gt;2; 2-3&gt;3-4; 4-5&gt;5</t>
        </is>
      </c>
    </row>
    <row r="116">
      <c r="A116" s="2" t="inlineStr">
        <is>
          <t>R031</t>
        </is>
      </c>
      <c r="B116" s="2" t="n">
        <v>1</v>
      </c>
      <c r="C116" s="2" t="inlineStr">
        <is>
          <t>O attacks P</t>
        </is>
      </c>
      <c r="D116" s="2" t="inlineStr">
        <is>
          <t>a lone pair on the alcohol O</t>
        </is>
      </c>
      <c r="E116" s="2" t="inlineStr">
        <is>
          <t>P of PBr3; a P–Br bond's electrons go to Br (Br⁻)</t>
        </is>
      </c>
      <c r="F116" s="2" t="inlineStr">
        <is>
          <t>O–P</t>
        </is>
      </c>
      <c r="G116" s="2" t="inlineStr">
        <is>
          <t>P–Br</t>
        </is>
      </c>
      <c r="H116" s="2" t="n"/>
      <c r="I116" s="2" t="n"/>
      <c r="J116" s="2" t="n"/>
      <c r="K116" s="2" t="n"/>
      <c r="L116" s="2">
        <f>IF(AND(ISNUMBER(I116),ISNUMBER(K116)),K116-I116,"")</f>
        <v/>
      </c>
      <c r="M116" s="4">
        <f>IF(ISNUMBER(L116),10^L116,"")</f>
        <v/>
      </c>
      <c r="N116" s="2">
        <f>IF(ISNUMBER(L116),IF(L116&gt;=0,"downhill (favoured)","uphill (small amount)"),"")</f>
        <v/>
      </c>
      <c r="O116" s="2" t="n"/>
      <c r="P116" s="2" t="n"/>
      <c r="Q116" s="3" t="inlineStr">
        <is>
          <t>CCCC[OH+]P(Br)Br.[Br-]</t>
        </is>
      </c>
      <c r="R116" s="2" t="inlineStr">
        <is>
          <t>The OH becomes a good leaving group (–O⁺(H)PBr2).</t>
        </is>
      </c>
      <c r="S116" s="3" t="inlineStr">
        <is>
          <t>CCC[CH2][OH:1].[Br:3][P:2](Br)Br</t>
        </is>
      </c>
      <c r="T116" s="3" t="inlineStr">
        <is>
          <t>1&gt;2; 2-3&gt;3</t>
        </is>
      </c>
    </row>
    <row r="117">
      <c r="A117" s="2" t="inlineStr">
        <is>
          <t>R031</t>
        </is>
      </c>
      <c r="B117" s="2" t="n">
        <v>2</v>
      </c>
      <c r="C117" s="2" t="inlineStr">
        <is>
          <t>SN2 by bromide</t>
        </is>
      </c>
      <c r="D117" s="2" t="inlineStr">
        <is>
          <t>a lone pair on Br⁻</t>
        </is>
      </c>
      <c r="E117" s="2" t="inlineStr">
        <is>
          <t>the C–O carbon from the back; the C–O bond's electrons go to O</t>
        </is>
      </c>
      <c r="F117" s="2" t="inlineStr">
        <is>
          <t>C–Br</t>
        </is>
      </c>
      <c r="G117" s="2" t="inlineStr">
        <is>
          <t>C–O</t>
        </is>
      </c>
      <c r="H117" s="2" t="n"/>
      <c r="I117" s="2" t="n"/>
      <c r="J117" s="2" t="n"/>
      <c r="K117" s="2" t="n"/>
      <c r="L117" s="2">
        <f>IF(AND(ISNUMBER(I117),ISNUMBER(K117)),K117-I117,"")</f>
        <v/>
      </c>
      <c r="M117" s="4">
        <f>IF(ISNUMBER(L117),10^L117,"")</f>
        <v/>
      </c>
      <c r="N117" s="2">
        <f>IF(ISNUMBER(L117),IF(L117&gt;=0,"downhill (favoured)","uphill (small amount)"),"")</f>
        <v/>
      </c>
      <c r="O117" s="2" t="inlineStr">
        <is>
          <t>HOPBr2</t>
        </is>
      </c>
      <c r="P117" s="2" t="n">
        <v>1</v>
      </c>
      <c r="Q117" s="3" t="inlineStr">
        <is>
          <t>CCCCBr.OP(Br)Br</t>
        </is>
      </c>
      <c r="R117" s="2" t="inlineStr">
        <is>
          <t>Inversion; no carbocation, so no rearrangement. HOPBr2 reacts twice more (→ H3PO3).</t>
        </is>
      </c>
      <c r="S117" s="3" t="inlineStr">
        <is>
          <t>CCC[CH2:1][OH+:2]P(Br)Br.[Br-:3]</t>
        </is>
      </c>
      <c r="T117" s="3" t="inlineStr">
        <is>
          <t>3&gt;1; 1-2&gt;2</t>
        </is>
      </c>
    </row>
    <row r="118">
      <c r="A118" s="2" t="inlineStr">
        <is>
          <t>R032</t>
        </is>
      </c>
      <c r="B118" s="2" t="n">
        <v>1</v>
      </c>
      <c r="C118" s="2" t="inlineStr">
        <is>
          <t>O attacks S</t>
        </is>
      </c>
      <c r="D118" s="2" t="inlineStr">
        <is>
          <t>a lone pair on the alcohol O</t>
        </is>
      </c>
      <c r="E118" s="2" t="inlineStr">
        <is>
          <t>S of SOCl2; an S–Cl bond's electrons go to Cl (Cl⁻)</t>
        </is>
      </c>
      <c r="F118" s="2" t="inlineStr">
        <is>
          <t>O–S</t>
        </is>
      </c>
      <c r="G118" s="2" t="inlineStr">
        <is>
          <t>S–Cl</t>
        </is>
      </c>
      <c r="H118" s="2" t="n"/>
      <c r="I118" s="2" t="n"/>
      <c r="J118" s="2" t="n"/>
      <c r="K118" s="2" t="n"/>
      <c r="L118" s="2">
        <f>IF(AND(ISNUMBER(I118),ISNUMBER(K118)),K118-I118,"")</f>
        <v/>
      </c>
      <c r="M118" s="4">
        <f>IF(ISNUMBER(L118),10^L118,"")</f>
        <v/>
      </c>
      <c r="N118" s="2">
        <f>IF(ISNUMBER(L118),IF(L118&gt;=0,"downhill (favoured)","uphill (small amount)"),"")</f>
        <v/>
      </c>
      <c r="O118" s="2" t="n"/>
      <c r="P118" s="2" t="n"/>
      <c r="Q118" s="3" t="inlineStr">
        <is>
          <t>CCCC[OH+]S(=O)Cl.[Cl-]</t>
        </is>
      </c>
      <c r="R118" s="2" t="n"/>
      <c r="S118" s="3" t="inlineStr">
        <is>
          <t>CCCC[OH:1].O=[S:2](Cl)[Cl:3]</t>
        </is>
      </c>
      <c r="T118" s="3" t="inlineStr">
        <is>
          <t>1&gt;2; 2-3&gt;3</t>
        </is>
      </c>
    </row>
    <row r="119">
      <c r="A119" s="2" t="inlineStr">
        <is>
          <t>R032</t>
        </is>
      </c>
      <c r="B119" s="2" t="n">
        <v>2</v>
      </c>
      <c r="C119" s="2" t="inlineStr">
        <is>
          <t>proton transfer</t>
        </is>
      </c>
      <c r="D119" s="2" t="inlineStr">
        <is>
          <t>the lone pair on pyridine's N</t>
        </is>
      </c>
      <c r="E119" s="2" t="inlineStr">
        <is>
          <t>the H on the O⁺</t>
        </is>
      </c>
      <c r="F119" s="2" t="inlineStr">
        <is>
          <t>N–H</t>
        </is>
      </c>
      <c r="G119" s="2" t="inlineStr">
        <is>
          <t>O–H</t>
        </is>
      </c>
      <c r="H119" s="2" t="inlineStr">
        <is>
          <t>the oxonium (R–O⁺H–S)</t>
        </is>
      </c>
      <c r="I119" s="2" t="n">
        <v>-3.5</v>
      </c>
      <c r="J119" s="2" t="inlineStr">
        <is>
          <t>pyridinium</t>
        </is>
      </c>
      <c r="K119" s="2" t="n">
        <v>5.2</v>
      </c>
      <c r="L119" s="2">
        <f>IF(AND(ISNUMBER(I119),ISNUMBER(K119)),K119-I119,"")</f>
        <v/>
      </c>
      <c r="M119" s="4">
        <f>IF(ISNUMBER(L119),10^L119,"")</f>
        <v/>
      </c>
      <c r="N119" s="2">
        <f>IF(ISNUMBER(L119),IF(L119&gt;=0,"downhill (favoured)","uphill (small amount)"),"")</f>
        <v/>
      </c>
      <c r="O119" s="2" t="n"/>
      <c r="P119" s="2" t="n"/>
      <c r="Q119" s="3" t="inlineStr">
        <is>
          <t>CCCCOS(=O)Cl.c1cc[nH+]cc1</t>
        </is>
      </c>
      <c r="R119" s="2" t="inlineStr">
        <is>
          <t>Alkyl chlorosulfite.</t>
        </is>
      </c>
      <c r="S119" s="3" t="inlineStr">
        <is>
          <t>CCCC[O+:1]([H:2])S(=O)Cl.[n:3]1ccccc1</t>
        </is>
      </c>
      <c r="T119" s="3" t="inlineStr">
        <is>
          <t>3&gt;2; 2-1&gt;1</t>
        </is>
      </c>
    </row>
    <row r="120">
      <c r="A120" s="2" t="inlineStr">
        <is>
          <t>R032</t>
        </is>
      </c>
      <c r="B120" s="2" t="n">
        <v>3</v>
      </c>
      <c r="C120" s="2" t="inlineStr">
        <is>
          <t>SN2 by chloride</t>
        </is>
      </c>
      <c r="D120" s="2" t="inlineStr">
        <is>
          <t>a lone pair on Cl⁻</t>
        </is>
      </c>
      <c r="E120" s="2" t="inlineStr">
        <is>
          <t>the C–O carbon from the back; the C–O electrons go to O (–OS(O)Cl leaves and falls apart)</t>
        </is>
      </c>
      <c r="F120" s="2" t="inlineStr">
        <is>
          <t>C–Cl</t>
        </is>
      </c>
      <c r="G120" s="2" t="inlineStr">
        <is>
          <t>C–O</t>
        </is>
      </c>
      <c r="H120" s="2" t="n"/>
      <c r="I120" s="2" t="n"/>
      <c r="J120" s="2" t="n"/>
      <c r="K120" s="2" t="n"/>
      <c r="L120" s="2">
        <f>IF(AND(ISNUMBER(I120),ISNUMBER(K120)),K120-I120,"")</f>
        <v/>
      </c>
      <c r="M120" s="4">
        <f>IF(ISNUMBER(L120),10^L120,"")</f>
        <v/>
      </c>
      <c r="N120" s="2">
        <f>IF(ISNUMBER(L120),IF(L120&gt;=0,"downhill (favoured)","uphill (small amount)"),"")</f>
        <v/>
      </c>
      <c r="O120" s="2" t="inlineStr">
        <is>
          <t>chlorosulfite (→ SO2 + Cl⁻)</t>
        </is>
      </c>
      <c r="P120" s="2" t="n">
        <v>-7</v>
      </c>
      <c r="Q120" s="3" t="inlineStr">
        <is>
          <t>CCCCCl.O=S=O.[Cl-]</t>
        </is>
      </c>
      <c r="R120" s="2" t="inlineStr">
        <is>
          <t>SO2 gas escapes: irreversible.</t>
        </is>
      </c>
      <c r="S120" s="3" t="inlineStr">
        <is>
          <t>CCC[CH2:1][O:2][S:4](=O)[Cl:5].[Cl-:3]</t>
        </is>
      </c>
      <c r="T120" s="3" t="inlineStr">
        <is>
          <t>3&gt;1; 1-2&gt;2; 2&gt;2-4; 4-5&gt;5</t>
        </is>
      </c>
    </row>
    <row r="121">
      <c r="A121" s="2" t="inlineStr">
        <is>
          <t>R033</t>
        </is>
      </c>
      <c r="B121" s="2" t="n">
        <v>1</v>
      </c>
      <c r="C121" s="2" t="inlineStr">
        <is>
          <t>O attacks Cr</t>
        </is>
      </c>
      <c r="D121" s="2" t="inlineStr">
        <is>
          <t>a lone pair on the alcohol O</t>
        </is>
      </c>
      <c r="E121" s="2" t="inlineStr">
        <is>
          <t>Cr of PCC (ClCrO3⁻); a Cr=O π bond's electrons go onto O</t>
        </is>
      </c>
      <c r="F121" s="2" t="inlineStr">
        <is>
          <t>O–Cr</t>
        </is>
      </c>
      <c r="G121" s="2" t="inlineStr">
        <is>
          <t>Cr=O (π)</t>
        </is>
      </c>
      <c r="H121" s="2" t="n"/>
      <c r="I121" s="2" t="n"/>
      <c r="J121" s="2" t="n"/>
      <c r="K121" s="2" t="n"/>
      <c r="L121" s="2">
        <f>IF(AND(ISNUMBER(I121),ISNUMBER(K121)),K121-I121,"")</f>
        <v/>
      </c>
      <c r="M121" s="4">
        <f>IF(ISNUMBER(L121),10^L121,"")</f>
        <v/>
      </c>
      <c r="N121" s="2">
        <f>IF(ISNUMBER(L121),IF(L121&gt;=0,"downhill (favoured)","uphill (small amount)"),"")</f>
        <v/>
      </c>
      <c r="O121" s="2" t="n"/>
      <c r="P121" s="2" t="n"/>
      <c r="Q121" s="3" t="inlineStr">
        <is>
          <t>CCCC[OH+][Cr](=O)([O-])([O-])Cl</t>
        </is>
      </c>
      <c r="R121" s="2" t="n"/>
      <c r="S121" s="3" t="inlineStr">
        <is>
          <t>CCCC[OH:1].O=[Cr:3](=[O:4])(Cl)[O-]</t>
        </is>
      </c>
      <c r="T121" s="3" t="inlineStr">
        <is>
          <t>1&gt;3; 3-4&gt;4</t>
        </is>
      </c>
    </row>
    <row r="122">
      <c r="A122" s="2" t="inlineStr">
        <is>
          <t>R033</t>
        </is>
      </c>
      <c r="B122" s="2" t="n">
        <v>2</v>
      </c>
      <c r="C122" s="2" t="inlineStr">
        <is>
          <t>proton transfer</t>
        </is>
      </c>
      <c r="D122" s="2" t="inlineStr">
        <is>
          <t>a lone pair on an O⁻ of Cr</t>
        </is>
      </c>
      <c r="E122" s="2" t="inlineStr">
        <is>
          <t>the H on the O⁺</t>
        </is>
      </c>
      <c r="F122" s="2" t="inlineStr">
        <is>
          <t>O–H (on Cr)</t>
        </is>
      </c>
      <c r="G122" s="2" t="inlineStr">
        <is>
          <t>O–H (alcohol)</t>
        </is>
      </c>
      <c r="H122" s="2" t="n"/>
      <c r="I122" s="2" t="n"/>
      <c r="J122" s="2" t="n"/>
      <c r="K122" s="2" t="n"/>
      <c r="L122" s="2">
        <f>IF(AND(ISNUMBER(I122),ISNUMBER(K122)),K122-I122,"")</f>
        <v/>
      </c>
      <c r="M122" s="4">
        <f>IF(ISNUMBER(L122),10^L122,"")</f>
        <v/>
      </c>
      <c r="N122" s="2">
        <f>IF(ISNUMBER(L122),IF(L122&gt;=0,"downhill (favoured)","uphill (small amount)"),"")</f>
        <v/>
      </c>
      <c r="O122" s="2" t="n"/>
      <c r="P122" s="2" t="n"/>
      <c r="Q122" s="3" t="inlineStr">
        <is>
          <t>CCCCO[Cr](=O)([O-])(O)Cl</t>
        </is>
      </c>
      <c r="R122" s="2" t="n"/>
      <c r="S122" s="3" t="inlineStr">
        <is>
          <t>CCCC[O+:1]([H:2])[Cr](=O)([O-])([O-:3])Cl</t>
        </is>
      </c>
      <c r="T122" s="3" t="inlineStr">
        <is>
          <t>3&gt;2; 2-1&gt;1</t>
        </is>
      </c>
    </row>
    <row r="123">
      <c r="A123" s="2" t="inlineStr">
        <is>
          <t>R033</t>
        </is>
      </c>
      <c r="B123" s="2" t="n">
        <v>3</v>
      </c>
      <c r="C123" s="2" t="inlineStr">
        <is>
          <t>protonation of the Cr–OH (by pyridinium)</t>
        </is>
      </c>
      <c r="D123" s="2" t="inlineStr">
        <is>
          <t>a lone pair on the Cr–OH</t>
        </is>
      </c>
      <c r="E123" s="2" t="inlineStr">
        <is>
          <t>the H of the pyridinium ion (PCC)</t>
        </is>
      </c>
      <c r="F123" s="2" t="inlineStr">
        <is>
          <t>O–H</t>
        </is>
      </c>
      <c r="G123" s="2" t="inlineStr">
        <is>
          <t>N–H</t>
        </is>
      </c>
      <c r="H123" s="2" t="n"/>
      <c r="I123" s="2" t="n"/>
      <c r="J123" s="2" t="n"/>
      <c r="K123" s="2" t="n"/>
      <c r="L123" s="2">
        <f>IF(AND(ISNUMBER(I123),ISNUMBER(K123)),K123-I123,"")</f>
        <v/>
      </c>
      <c r="M123" s="4">
        <f>IF(ISNUMBER(L123),10^L123,"")</f>
        <v/>
      </c>
      <c r="N123" s="2">
        <f>IF(ISNUMBER(L123),IF(L123&gt;=0,"downhill (favoured)","uphill (small amount)"),"")</f>
        <v/>
      </c>
      <c r="O123" s="2" t="n"/>
      <c r="P123" s="2" t="n"/>
      <c r="Q123" s="3" t="inlineStr">
        <is>
          <t>CCCCO[Cr](=O)([O-])([OH2+])Cl.c1ccncc1</t>
        </is>
      </c>
      <c r="R123" s="2" t="inlineStr">
        <is>
          <t>This makes the OH a leaving group (water).</t>
        </is>
      </c>
      <c r="S123" s="3" t="inlineStr">
        <is>
          <t>CCCCO[Cr](=O)([O-])([OH:1])Cl.[H:2][n+:3]1ccccc1</t>
        </is>
      </c>
      <c r="T123" s="3" t="inlineStr">
        <is>
          <t>1&gt;2; 2-3&gt;3</t>
        </is>
      </c>
    </row>
    <row r="124">
      <c r="A124" s="2" t="inlineStr">
        <is>
          <t>R033</t>
        </is>
      </c>
      <c r="B124" s="2" t="n">
        <v>4</v>
      </c>
      <c r="C124" s="2" t="inlineStr">
        <is>
          <t>loss of water (chromate ester)</t>
        </is>
      </c>
      <c r="D124" s="2" t="inlineStr">
        <is>
          <t>a lone pair on the O⁻ of Cr</t>
        </is>
      </c>
      <c r="E124" s="2" t="inlineStr">
        <is>
          <t>a Cr=O bond; the Cr–OH2⁺ bond's electrons go with water</t>
        </is>
      </c>
      <c r="F124" s="2" t="inlineStr">
        <is>
          <t>Cr=O</t>
        </is>
      </c>
      <c r="G124" s="2" t="inlineStr">
        <is>
          <t>Cr–O</t>
        </is>
      </c>
      <c r="H124" s="2" t="n"/>
      <c r="I124" s="2" t="n"/>
      <c r="J124" s="2" t="n"/>
      <c r="K124" s="2" t="n"/>
      <c r="L124" s="2">
        <f>IF(AND(ISNUMBER(I124),ISNUMBER(K124)),K124-I124,"")</f>
        <v/>
      </c>
      <c r="M124" s="4">
        <f>IF(ISNUMBER(L124),10^L124,"")</f>
        <v/>
      </c>
      <c r="N124" s="2">
        <f>IF(ISNUMBER(L124),IF(L124&gt;=0,"downhill (favoured)","uphill (small amount)"),"")</f>
        <v/>
      </c>
      <c r="O124" s="2" t="inlineStr">
        <is>
          <t>water</t>
        </is>
      </c>
      <c r="P124" s="2" t="n">
        <v>-1.7</v>
      </c>
      <c r="Q124" s="3" t="inlineStr">
        <is>
          <t>CCCCO[Cr](=O)(=O)Cl.O</t>
        </is>
      </c>
      <c r="R124" s="2" t="inlineStr">
        <is>
          <t>The chromate ester.</t>
        </is>
      </c>
      <c r="S124" s="3" t="inlineStr">
        <is>
          <t>CCCCO[Cr:1](=O)([O-:2])([OH2+:3])Cl</t>
        </is>
      </c>
      <c r="T124" s="3" t="inlineStr">
        <is>
          <t>2&gt;2-1; 1-3&gt;3</t>
        </is>
      </c>
    </row>
    <row r="125">
      <c r="A125" s="2" t="inlineStr">
        <is>
          <t>R033</t>
        </is>
      </c>
      <c r="B125" s="2" t="n">
        <v>5</v>
      </c>
      <c r="C125" s="2" t="inlineStr">
        <is>
          <t>elimination (C–H → C=O)</t>
        </is>
      </c>
      <c r="D125" s="2" t="inlineStr">
        <is>
          <t>a base (pyridine) takes the H on the C–O carbon</t>
        </is>
      </c>
      <c r="E125" s="2" t="inlineStr">
        <is>
          <t>the C–H electrons form the C=O; the O–Cr electrons go to Cr (Cr(VI) → Cr(IV))</t>
        </is>
      </c>
      <c r="F125" s="2" t="inlineStr">
        <is>
          <t>C=O</t>
        </is>
      </c>
      <c r="G125" s="2" t="inlineStr">
        <is>
          <t>C–H; O–Cr</t>
        </is>
      </c>
      <c r="H125" s="2" t="n"/>
      <c r="I125" s="2" t="n"/>
      <c r="J125" s="2" t="n"/>
      <c r="K125" s="2" t="n"/>
      <c r="L125" s="2">
        <f>IF(AND(ISNUMBER(I125),ISNUMBER(K125)),K125-I125,"")</f>
        <v/>
      </c>
      <c r="M125" s="4">
        <f>IF(ISNUMBER(L125),10^L125,"")</f>
        <v/>
      </c>
      <c r="N125" s="2">
        <f>IF(ISNUMBER(L125),IF(L125&gt;=0,"downhill (favoured)","uphill (small amount)"),"")</f>
        <v/>
      </c>
      <c r="O125" s="2" t="n"/>
      <c r="P125" s="2" t="n"/>
      <c r="Q125" s="3" t="inlineStr">
        <is>
          <t>CCCC=O.O=[Cr-](=O)Cl.c1cc[nH+]cc1</t>
        </is>
      </c>
      <c r="R125" s="2" t="inlineStr">
        <is>
          <t>Dry CH2Cl2: no water solvent (only the one H2O made in step 4), so almost no aldehyde hydrate forms and the aldehyde is not oxidised further.</t>
        </is>
      </c>
      <c r="S125" s="3" t="inlineStr">
        <is>
          <t>CCC[CH:1]([H:2])[O:3][Cr:4](=O)(=O)Cl.[n:5]1ccccc1</t>
        </is>
      </c>
      <c r="T125" s="3" t="inlineStr">
        <is>
          <t>5&gt;2; 2-1&gt;1-3; 3-4&gt;4</t>
        </is>
      </c>
    </row>
    <row r="126">
      <c r="A126" s="2" t="inlineStr">
        <is>
          <t>R034</t>
        </is>
      </c>
      <c r="B126" s="2" t="n">
        <v>1</v>
      </c>
      <c r="C126" s="2" t="inlineStr">
        <is>
          <t>protonation of chromic acid</t>
        </is>
      </c>
      <c r="D126" s="2" t="inlineStr">
        <is>
          <t>a lone pair on an OH of H2CrO4 (CrO3 + water)</t>
        </is>
      </c>
      <c r="E126" s="2" t="inlineStr">
        <is>
          <t>the H of H2SO4</t>
        </is>
      </c>
      <c r="F126" s="2" t="inlineStr">
        <is>
          <t>O–H</t>
        </is>
      </c>
      <c r="G126" s="2" t="inlineStr">
        <is>
          <t>O–H (H2SO4)</t>
        </is>
      </c>
      <c r="H126" s="2" t="n"/>
      <c r="I126" s="2" t="n"/>
      <c r="J126" s="2" t="n"/>
      <c r="K126" s="2" t="n"/>
      <c r="L126" s="2">
        <f>IF(AND(ISNUMBER(I126),ISNUMBER(K126)),K126-I126,"")</f>
        <v/>
      </c>
      <c r="M126" s="4">
        <f>IF(ISNUMBER(L126),10^L126,"")</f>
        <v/>
      </c>
      <c r="N126" s="2">
        <f>IF(ISNUMBER(L126),IF(L126&gt;=0,"downhill (favoured)","uphill (small amount)"),"")</f>
        <v/>
      </c>
      <c r="O126" s="2" t="n"/>
      <c r="P126" s="2" t="n"/>
      <c r="Q126" s="3" t="inlineStr">
        <is>
          <t>O=[Cr](=O)(O)[OH2+].O=S(=O)([O-])O</t>
        </is>
      </c>
      <c r="R126" s="2" t="inlineStr">
        <is>
          <t>This makes an OH on Cr a leaving group (water).</t>
        </is>
      </c>
      <c r="S126" s="3" t="inlineStr">
        <is>
          <t>O=[Cr](=O)(O)[OH:1].O=S(=O)(O)[O:2][H:3]</t>
        </is>
      </c>
      <c r="T126" s="3" t="inlineStr">
        <is>
          <t>1&gt;3; 3-2&gt;2</t>
        </is>
      </c>
    </row>
    <row r="127">
      <c r="A127" s="2" t="inlineStr">
        <is>
          <t>R034</t>
        </is>
      </c>
      <c r="B127" s="2" t="n">
        <v>2</v>
      </c>
      <c r="C127" s="2" t="inlineStr">
        <is>
          <t>O attacks Cr; water leaves</t>
        </is>
      </c>
      <c r="D127" s="2" t="inlineStr">
        <is>
          <t>a lone pair on the alcohol O</t>
        </is>
      </c>
      <c r="E127" s="2" t="inlineStr">
        <is>
          <t>Cr of the protonated chromic acid; the Cr–OH2⁺ bond's electrons go with water</t>
        </is>
      </c>
      <c r="F127" s="2" t="inlineStr">
        <is>
          <t>O–Cr</t>
        </is>
      </c>
      <c r="G127" s="2" t="inlineStr">
        <is>
          <t>Cr–O (water leaves)</t>
        </is>
      </c>
      <c r="H127" s="2" t="n"/>
      <c r="I127" s="2" t="n"/>
      <c r="J127" s="2" t="n"/>
      <c r="K127" s="2" t="n"/>
      <c r="L127" s="2">
        <f>IF(AND(ISNUMBER(I127),ISNUMBER(K127)),K127-I127,"")</f>
        <v/>
      </c>
      <c r="M127" s="4">
        <f>IF(ISNUMBER(L127),10^L127,"")</f>
        <v/>
      </c>
      <c r="N127" s="2">
        <f>IF(ISNUMBER(L127),IF(L127&gt;=0,"downhill (favoured)","uphill (small amount)"),"")</f>
        <v/>
      </c>
      <c r="O127" s="2" t="inlineStr">
        <is>
          <t>water</t>
        </is>
      </c>
      <c r="P127" s="2" t="n">
        <v>-1.7</v>
      </c>
      <c r="Q127" s="3" t="inlineStr">
        <is>
          <t>CCCC[OH+][Cr](=O)(=O)O.O</t>
        </is>
      </c>
      <c r="R127" s="2" t="n"/>
      <c r="S127" s="3" t="inlineStr">
        <is>
          <t>CCCC[OH:1].O=[Cr:2](=O)(O)[OH2+:3]</t>
        </is>
      </c>
      <c r="T127" s="3" t="inlineStr">
        <is>
          <t>1&gt;2; 2-3&gt;3</t>
        </is>
      </c>
    </row>
    <row r="128">
      <c r="A128" s="2" t="inlineStr">
        <is>
          <t>R034</t>
        </is>
      </c>
      <c r="B128" s="2" t="n">
        <v>3</v>
      </c>
      <c r="C128" s="2" t="inlineStr">
        <is>
          <t>proton transfer</t>
        </is>
      </c>
      <c r="D128" s="2" t="inlineStr">
        <is>
          <t>a lone pair on water</t>
        </is>
      </c>
      <c r="E128" s="2" t="inlineStr">
        <is>
          <t>the H on the O⁺</t>
        </is>
      </c>
      <c r="F128" s="2" t="inlineStr">
        <is>
          <t>O–H (H3O⁺)</t>
        </is>
      </c>
      <c r="G128" s="2" t="inlineStr">
        <is>
          <t>O–H</t>
        </is>
      </c>
      <c r="H128" s="2" t="inlineStr">
        <is>
          <t>the oxonium (R–O⁺H–Cr)</t>
        </is>
      </c>
      <c r="I128" s="2" t="n">
        <v>-3.5</v>
      </c>
      <c r="J128" s="2" t="inlineStr">
        <is>
          <t>H3O⁺</t>
        </is>
      </c>
      <c r="K128" s="2" t="n">
        <v>-1.7</v>
      </c>
      <c r="L128" s="2">
        <f>IF(AND(ISNUMBER(I128),ISNUMBER(K128)),K128-I128,"")</f>
        <v/>
      </c>
      <c r="M128" s="4">
        <f>IF(ISNUMBER(L128),10^L128,"")</f>
        <v/>
      </c>
      <c r="N128" s="2">
        <f>IF(ISNUMBER(L128),IF(L128&gt;=0,"downhill (favoured)","uphill (small amount)"),"")</f>
        <v/>
      </c>
      <c r="O128" s="2" t="n"/>
      <c r="P128" s="2" t="n"/>
      <c r="Q128" s="3" t="inlineStr">
        <is>
          <t>CCCCO[Cr](=O)(=O)O.[OH3+]</t>
        </is>
      </c>
      <c r="R128" s="2" t="inlineStr">
        <is>
          <t>The chromate ester.</t>
        </is>
      </c>
      <c r="S128" s="3" t="inlineStr">
        <is>
          <t>CCCC[O+:1]([H:2])[Cr](=O)(=O)O.[OH2:3]</t>
        </is>
      </c>
      <c r="T128" s="3" t="inlineStr">
        <is>
          <t>3&gt;2; 2-1&gt;1</t>
        </is>
      </c>
    </row>
    <row r="129">
      <c r="A129" s="2" t="inlineStr">
        <is>
          <t>R034</t>
        </is>
      </c>
      <c r="B129" s="2" t="n">
        <v>4</v>
      </c>
      <c r="C129" s="2" t="inlineStr">
        <is>
          <t>elimination to the aldehyde</t>
        </is>
      </c>
      <c r="D129" s="2" t="inlineStr">
        <is>
          <t>water takes the H on the C–O carbon</t>
        </is>
      </c>
      <c r="E129" s="2" t="inlineStr">
        <is>
          <t>the C–H electrons form the C=O; the O–Cr electrons go to Cr (Cr(VI) → Cr(IV))</t>
        </is>
      </c>
      <c r="F129" s="2" t="inlineStr">
        <is>
          <t>C=O</t>
        </is>
      </c>
      <c r="G129" s="2" t="inlineStr">
        <is>
          <t>C–H; O–Cr</t>
        </is>
      </c>
      <c r="H129" s="2" t="n"/>
      <c r="I129" s="2" t="n"/>
      <c r="J129" s="2" t="n"/>
      <c r="K129" s="2" t="n"/>
      <c r="L129" s="2">
        <f>IF(AND(ISNUMBER(I129),ISNUMBER(K129)),K129-I129,"")</f>
        <v/>
      </c>
      <c r="M129" s="4">
        <f>IF(ISNUMBER(L129),10^L129,"")</f>
        <v/>
      </c>
      <c r="N129" s="2">
        <f>IF(ISNUMBER(L129),IF(L129&gt;=0,"downhill (favoured)","uphill (small amount)"),"")</f>
        <v/>
      </c>
      <c r="O129" s="2" t="n"/>
      <c r="P129" s="2" t="n"/>
      <c r="Q129" s="3" t="inlineStr">
        <is>
          <t>CCCC=O.[OH3+].O=[Cr-](=O)O</t>
        </is>
      </c>
      <c r="R129" s="2" t="inlineStr">
        <is>
          <t>Butanal, with H3O⁺ and Cr(IV) (HCrO3⁻).</t>
        </is>
      </c>
      <c r="S129" s="3" t="inlineStr">
        <is>
          <t>CCC[CH:1]([H:2])[O:3][Cr:4](=O)(=O)O.[OH2:5]</t>
        </is>
      </c>
      <c r="T129" s="3" t="inlineStr">
        <is>
          <t>5&gt;2; 2-1&gt;1-3; 3-4&gt;4</t>
        </is>
      </c>
    </row>
    <row r="130">
      <c r="A130" s="2" t="inlineStr">
        <is>
          <t>R034</t>
        </is>
      </c>
      <c r="B130" s="2" t="n">
        <v>5</v>
      </c>
      <c r="C130" s="2" t="inlineStr">
        <is>
          <t>hydration (acid catalysed)</t>
        </is>
      </c>
      <c r="D130" s="2" t="inlineStr">
        <is>
          <t>a lone pair on water</t>
        </is>
      </c>
      <c r="E130" s="2" t="inlineStr">
        <is>
          <t>the carbonyl C; the C=O π electrons go to O</t>
        </is>
      </c>
      <c r="F130" s="2" t="inlineStr">
        <is>
          <t>C–O</t>
        </is>
      </c>
      <c r="G130" s="2" t="inlineStr">
        <is>
          <t>C=O (π)</t>
        </is>
      </c>
      <c r="H130" s="2" t="n"/>
      <c r="I130" s="2" t="n"/>
      <c r="J130" s="2" t="n"/>
      <c r="K130" s="2" t="n"/>
      <c r="L130" s="2">
        <f>IF(AND(ISNUMBER(I130),ISNUMBER(K130)),K130-I130,"")</f>
        <v/>
      </c>
      <c r="M130" s="4">
        <f>IF(ISNUMBER(L130),10^L130,"")</f>
        <v/>
      </c>
      <c r="N130" s="2">
        <f>IF(ISNUMBER(L130),IF(L130&gt;=0,"downhill (favoured)","uphill (small amount)"),"")</f>
        <v/>
      </c>
      <c r="O130" s="2" t="n"/>
      <c r="P130" s="2" t="n"/>
      <c r="Q130" s="3" t="inlineStr">
        <is>
          <t>CCCC(O)O</t>
        </is>
      </c>
      <c r="R130" s="2" t="inlineStr">
        <is>
          <t>The aldehyde hydrate (gem-diol): only forms because water is present.</t>
        </is>
      </c>
      <c r="S130" s="3" t="inlineStr">
        <is>
          <t>CCC[CH:1]=[O:2].[O:3]([H:4])[H]</t>
        </is>
      </c>
      <c r="T130" s="3" t="inlineStr">
        <is>
          <t>3&gt;1; 1-2&gt;2; 2&gt;4; 4-3&gt;3</t>
        </is>
      </c>
    </row>
    <row r="131">
      <c r="A131" s="2" t="inlineStr">
        <is>
          <t>R034</t>
        </is>
      </c>
      <c r="B131" s="2" t="n">
        <v>6</v>
      </c>
      <c r="C131" s="2" t="inlineStr">
        <is>
          <t>O of the hydrate attacks Cr; water leaves</t>
        </is>
      </c>
      <c r="D131" s="2" t="inlineStr">
        <is>
          <t>a lone pair on a hydrate OH</t>
        </is>
      </c>
      <c r="E131" s="2" t="inlineStr">
        <is>
          <t>Cr of protonated chromic acid (made as in step 1); the Cr–OH2⁺ bond's electrons go with water</t>
        </is>
      </c>
      <c r="F131" s="2" t="inlineStr">
        <is>
          <t>O–Cr</t>
        </is>
      </c>
      <c r="G131" s="2" t="inlineStr">
        <is>
          <t>Cr–O (water leaves)</t>
        </is>
      </c>
      <c r="H131" s="2" t="n"/>
      <c r="I131" s="2" t="n"/>
      <c r="J131" s="2" t="n"/>
      <c r="K131" s="2" t="n"/>
      <c r="L131" s="2">
        <f>IF(AND(ISNUMBER(I131),ISNUMBER(K131)),K131-I131,"")</f>
        <v/>
      </c>
      <c r="M131" s="4">
        <f>IF(ISNUMBER(L131),10^L131,"")</f>
        <v/>
      </c>
      <c r="N131" s="2">
        <f>IF(ISNUMBER(L131),IF(L131&gt;=0,"downhill (favoured)","uphill (small amount)"),"")</f>
        <v/>
      </c>
      <c r="O131" s="2" t="inlineStr">
        <is>
          <t>water</t>
        </is>
      </c>
      <c r="P131" s="2" t="n">
        <v>-1.7</v>
      </c>
      <c r="Q131" s="3" t="inlineStr">
        <is>
          <t>CCCC(O)[OH+][Cr](=O)(=O)O.O</t>
        </is>
      </c>
      <c r="R131" s="2" t="n"/>
      <c r="S131" s="3" t="inlineStr">
        <is>
          <t>CCCC([OH:1])O.O=[Cr:2](=O)(O)[OH2+:3]</t>
        </is>
      </c>
      <c r="T131" s="3" t="inlineStr">
        <is>
          <t>1&gt;2; 2-3&gt;3</t>
        </is>
      </c>
    </row>
    <row r="132">
      <c r="A132" s="2" t="inlineStr">
        <is>
          <t>R034</t>
        </is>
      </c>
      <c r="B132" s="2" t="n">
        <v>7</v>
      </c>
      <c r="C132" s="2" t="inlineStr">
        <is>
          <t>proton transfer</t>
        </is>
      </c>
      <c r="D132" s="2" t="inlineStr">
        <is>
          <t>a lone pair on water</t>
        </is>
      </c>
      <c r="E132" s="2" t="inlineStr">
        <is>
          <t>the H on the O⁺</t>
        </is>
      </c>
      <c r="F132" s="2" t="inlineStr">
        <is>
          <t>O–H (H3O⁺)</t>
        </is>
      </c>
      <c r="G132" s="2" t="inlineStr">
        <is>
          <t>O–H</t>
        </is>
      </c>
      <c r="H132" s="2" t="inlineStr">
        <is>
          <t>the oxonium (R–O⁺H–Cr)</t>
        </is>
      </c>
      <c r="I132" s="2" t="n">
        <v>-3.5</v>
      </c>
      <c r="J132" s="2" t="inlineStr">
        <is>
          <t>H3O⁺</t>
        </is>
      </c>
      <c r="K132" s="2" t="n">
        <v>-1.7</v>
      </c>
      <c r="L132" s="2">
        <f>IF(AND(ISNUMBER(I132),ISNUMBER(K132)),K132-I132,"")</f>
        <v/>
      </c>
      <c r="M132" s="4">
        <f>IF(ISNUMBER(L132),10^L132,"")</f>
        <v/>
      </c>
      <c r="N132" s="2">
        <f>IF(ISNUMBER(L132),IF(L132&gt;=0,"downhill (favoured)","uphill (small amount)"),"")</f>
        <v/>
      </c>
      <c r="O132" s="2" t="n"/>
      <c r="P132" s="2" t="n"/>
      <c r="Q132" s="3" t="inlineStr">
        <is>
          <t>CCCC(O)O[Cr](=O)(=O)O.[OH3+]</t>
        </is>
      </c>
      <c r="R132" s="2" t="inlineStr">
        <is>
          <t>The chromate ester of the hydrate.</t>
        </is>
      </c>
      <c r="S132" s="3" t="inlineStr">
        <is>
          <t>CCCC(O)[O+:1]([H:2])[Cr](=O)(=O)O.[OH2:3]</t>
        </is>
      </c>
      <c r="T132" s="3" t="inlineStr">
        <is>
          <t>3&gt;2; 2-1&gt;1</t>
        </is>
      </c>
    </row>
    <row r="133">
      <c r="A133" s="2" t="inlineStr">
        <is>
          <t>R034</t>
        </is>
      </c>
      <c r="B133" s="2" t="n">
        <v>8</v>
      </c>
      <c r="C133" s="2" t="inlineStr">
        <is>
          <t>elimination to the acid</t>
        </is>
      </c>
      <c r="D133" s="2" t="inlineStr">
        <is>
          <t>water takes the C–H</t>
        </is>
      </c>
      <c r="E133" s="2" t="inlineStr">
        <is>
          <t>the C–H electrons form the C=O; the O–Cr electrons go to Cr (Cr(VI) → Cr(IV))</t>
        </is>
      </c>
      <c r="F133" s="2" t="inlineStr">
        <is>
          <t>C=O</t>
        </is>
      </c>
      <c r="G133" s="2" t="inlineStr">
        <is>
          <t>C–H; O–Cr</t>
        </is>
      </c>
      <c r="H133" s="2" t="n"/>
      <c r="I133" s="2" t="n"/>
      <c r="J133" s="2" t="n"/>
      <c r="K133" s="2" t="n"/>
      <c r="L133" s="2">
        <f>IF(AND(ISNUMBER(I133),ISNUMBER(K133)),K133-I133,"")</f>
        <v/>
      </c>
      <c r="M133" s="4">
        <f>IF(ISNUMBER(L133),10^L133,"")</f>
        <v/>
      </c>
      <c r="N133" s="2">
        <f>IF(ISNUMBER(L133),IF(L133&gt;=0,"downhill (favoured)","uphill (small amount)"),"")</f>
        <v/>
      </c>
      <c r="O133" s="2" t="n"/>
      <c r="P133" s="2" t="n"/>
      <c r="Q133" s="3" t="inlineStr">
        <is>
          <t>CCCC(=O)O.[OH3+].O=[Cr-](=O)O</t>
        </is>
      </c>
      <c r="R133" s="2" t="inlineStr">
        <is>
          <t>Butanoic acid, with H3O⁺ and Cr(IV) (HCrO3⁻).</t>
        </is>
      </c>
      <c r="S133" s="3" t="inlineStr">
        <is>
          <t>CCC[C:1]([H:2])(O)[O:3][Cr:4](=O)(=O)O.[OH2:5]</t>
        </is>
      </c>
      <c r="T133" s="3" t="inlineStr">
        <is>
          <t>5&gt;2; 2-1&gt;1-3; 3-4&gt;4</t>
        </is>
      </c>
    </row>
    <row r="134">
      <c r="A134" s="2" t="inlineStr">
        <is>
          <t>R035</t>
        </is>
      </c>
      <c r="B134" s="2" t="n">
        <v>1</v>
      </c>
      <c r="C134" s="2" t="inlineStr">
        <is>
          <t>protonation of the OH</t>
        </is>
      </c>
      <c r="D134" s="2" t="inlineStr">
        <is>
          <t>a lone pair on the alcohol O</t>
        </is>
      </c>
      <c r="E134" s="2" t="inlineStr">
        <is>
          <t>an H of H2SO4; that O–H electrons go to O (HSO4⁻)</t>
        </is>
      </c>
      <c r="F134" s="2" t="inlineStr">
        <is>
          <t>O–H</t>
        </is>
      </c>
      <c r="G134" s="2" t="inlineStr">
        <is>
          <t>O–H (H2SO4)</t>
        </is>
      </c>
      <c r="H134" s="2" t="inlineStr">
        <is>
          <t>H2SO4</t>
        </is>
      </c>
      <c r="I134" s="2" t="n">
        <v>-3</v>
      </c>
      <c r="J134" s="2" t="inlineStr">
        <is>
          <t>the protonated alcohol (R–OH2⁺)</t>
        </is>
      </c>
      <c r="K134" s="2" t="n">
        <v>-2</v>
      </c>
      <c r="L134" s="2">
        <f>IF(AND(ISNUMBER(I134),ISNUMBER(K134)),K134-I134,"")</f>
        <v/>
      </c>
      <c r="M134" s="4">
        <f>IF(ISNUMBER(L134),10^L134,"")</f>
        <v/>
      </c>
      <c r="N134" s="2">
        <f>IF(ISNUMBER(L134),IF(L134&gt;=0,"downhill (favoured)","uphill (small amount)"),"")</f>
        <v/>
      </c>
      <c r="O134" s="2" t="n"/>
      <c r="P134" s="2" t="n"/>
      <c r="Q134" s="3" t="inlineStr">
        <is>
          <t>[OH2+]C1CCCCC1.O=S(=O)([O-])O</t>
        </is>
      </c>
      <c r="R134" s="2" t="inlineStr">
        <is>
          <t>Turns OH (poor leaving group) into water (good).</t>
        </is>
      </c>
      <c r="S134" s="3" t="inlineStr">
        <is>
          <t>[OH:1]C1CCCCC1.O=S(=O)(O)[O:2][H:3]</t>
        </is>
      </c>
      <c r="T134" s="3" t="inlineStr">
        <is>
          <t>1&gt;3; 3-2&gt;2</t>
        </is>
      </c>
    </row>
    <row r="135">
      <c r="A135" s="2" t="inlineStr">
        <is>
          <t>R035</t>
        </is>
      </c>
      <c r="B135" s="2" t="n">
        <v>2</v>
      </c>
      <c r="C135" s="2" t="inlineStr">
        <is>
          <t>loss of water (E1)</t>
        </is>
      </c>
      <c r="D135" s="2" t="inlineStr">
        <is>
          <t>the C–OH2⁺ bond's electrons</t>
        </is>
      </c>
      <c r="E135" s="2" t="inlineStr">
        <is>
          <t>the leaving O (water)</t>
        </is>
      </c>
      <c r="F135" s="2" t="n"/>
      <c r="G135" s="2" t="inlineStr">
        <is>
          <t>C–O</t>
        </is>
      </c>
      <c r="H135" s="2" t="n"/>
      <c r="I135" s="2" t="n"/>
      <c r="J135" s="2" t="n"/>
      <c r="K135" s="2" t="n"/>
      <c r="L135" s="2">
        <f>IF(AND(ISNUMBER(I135),ISNUMBER(K135)),K135-I135,"")</f>
        <v/>
      </c>
      <c r="M135" s="4">
        <f>IF(ISNUMBER(L135),10^L135,"")</f>
        <v/>
      </c>
      <c r="N135" s="2">
        <f>IF(ISNUMBER(L135),IF(L135&gt;=0,"downhill (favoured)","uphill (small amount)"),"")</f>
        <v/>
      </c>
      <c r="O135" s="2" t="inlineStr">
        <is>
          <t>water</t>
        </is>
      </c>
      <c r="P135" s="2" t="n">
        <v>-1.7</v>
      </c>
      <c r="Q135" s="3" t="inlineStr">
        <is>
          <t>[CH+]1CCCCC1.O</t>
        </is>
      </c>
      <c r="R135" s="2" t="inlineStr">
        <is>
          <t>Secondary carbocation (slow step).</t>
        </is>
      </c>
      <c r="S135" s="3" t="inlineStr">
        <is>
          <t>[OH2+:1][CH:2]1CCCCC1</t>
        </is>
      </c>
      <c r="T135" s="3" t="inlineStr">
        <is>
          <t>2-1&gt;1</t>
        </is>
      </c>
    </row>
    <row r="136">
      <c r="A136" s="2" t="inlineStr">
        <is>
          <t>R035</t>
        </is>
      </c>
      <c r="B136" s="2" t="n">
        <v>3</v>
      </c>
      <c r="C136" s="2" t="inlineStr">
        <is>
          <t>deprotonation</t>
        </is>
      </c>
      <c r="D136" s="2" t="inlineStr">
        <is>
          <t>a lone pair on water (or HSO4⁻)</t>
        </is>
      </c>
      <c r="E136" s="2" t="inlineStr">
        <is>
          <t>an H on the C next to C⁺; the C–H electrons form the C=C</t>
        </is>
      </c>
      <c r="F136" s="2" t="inlineStr">
        <is>
          <t>C=C</t>
        </is>
      </c>
      <c r="G136" s="2" t="inlineStr">
        <is>
          <t>C–H</t>
        </is>
      </c>
      <c r="H136" s="2" t="n"/>
      <c r="I136" s="2" t="n"/>
      <c r="J136" s="2" t="n"/>
      <c r="K136" s="2" t="n"/>
      <c r="L136" s="2">
        <f>IF(AND(ISNUMBER(I136),ISNUMBER(K136)),K136-I136,"")</f>
        <v/>
      </c>
      <c r="M136" s="4">
        <f>IF(ISNUMBER(L136),10^L136,"")</f>
        <v/>
      </c>
      <c r="N136" s="2">
        <f>IF(ISNUMBER(L136),IF(L136&gt;=0,"downhill (favoured)","uphill (small amount)"),"")</f>
        <v/>
      </c>
      <c r="O136" s="2" t="n"/>
      <c r="P136" s="2" t="n"/>
      <c r="Q136" s="3" t="inlineStr">
        <is>
          <t>C1=CCCCC1.[OH3+]</t>
        </is>
      </c>
      <c r="R136" s="2" t="inlineStr">
        <is>
          <t>Distilling the alkene out (bp 83 °C) drives the equilibrium.</t>
        </is>
      </c>
      <c r="S136" s="3" t="inlineStr">
        <is>
          <t>[CH+:1]1[CH:2]([H:3])CCCC1.[OH2:4]</t>
        </is>
      </c>
      <c r="T136" s="3" t="inlineStr">
        <is>
          <t>4&gt;3; 3-2&gt;1-2</t>
        </is>
      </c>
    </row>
    <row r="137">
      <c r="A137" s="2" t="inlineStr">
        <is>
          <t>R036</t>
        </is>
      </c>
      <c r="B137" s="2" t="n">
        <v>1</v>
      </c>
      <c r="C137" s="2" t="inlineStr">
        <is>
          <t>O attacks S</t>
        </is>
      </c>
      <c r="D137" s="2" t="inlineStr">
        <is>
          <t>a lone pair on the acid's OH oxygen</t>
        </is>
      </c>
      <c r="E137" s="2" t="inlineStr">
        <is>
          <t>S of SOCl2; an S–Cl bond's electrons go to Cl</t>
        </is>
      </c>
      <c r="F137" s="2" t="inlineStr">
        <is>
          <t>O–S</t>
        </is>
      </c>
      <c r="G137" s="2" t="inlineStr">
        <is>
          <t>S–Cl</t>
        </is>
      </c>
      <c r="H137" s="2" t="n"/>
      <c r="I137" s="2" t="n"/>
      <c r="J137" s="2" t="n"/>
      <c r="K137" s="2" t="n"/>
      <c r="L137" s="2">
        <f>IF(AND(ISNUMBER(I137),ISNUMBER(K137)),K137-I137,"")</f>
        <v/>
      </c>
      <c r="M137" s="4">
        <f>IF(ISNUMBER(L137),10^L137,"")</f>
        <v/>
      </c>
      <c r="N137" s="2">
        <f>IF(ISNUMBER(L137),IF(L137&gt;=0,"downhill (favoured)","uphill (small amount)"),"")</f>
        <v/>
      </c>
      <c r="O137" s="2" t="n"/>
      <c r="P137" s="2" t="n"/>
      <c r="Q137" s="3" t="inlineStr">
        <is>
          <t>O=C([OH+]S(=O)Cl)c1ccccc1.[Cl-]</t>
        </is>
      </c>
      <c r="R137" s="2" t="n"/>
      <c r="S137" s="3" t="inlineStr">
        <is>
          <t>O=C([OH:1])c1ccccc1.O=[S:2](Cl)[Cl:3]</t>
        </is>
      </c>
      <c r="T137" s="3" t="inlineStr">
        <is>
          <t>1&gt;2; 2-3&gt;3</t>
        </is>
      </c>
    </row>
    <row r="138">
      <c r="A138" s="2" t="inlineStr">
        <is>
          <t>R036</t>
        </is>
      </c>
      <c r="B138" s="2" t="n">
        <v>2</v>
      </c>
      <c r="C138" s="2" t="inlineStr">
        <is>
          <t>proton transfer</t>
        </is>
      </c>
      <c r="D138" s="2" t="inlineStr">
        <is>
          <t>a lone pair on Cl⁻</t>
        </is>
      </c>
      <c r="E138" s="2" t="inlineStr">
        <is>
          <t>the H on the O⁺</t>
        </is>
      </c>
      <c r="F138" s="2" t="inlineStr">
        <is>
          <t>H–Cl</t>
        </is>
      </c>
      <c r="G138" s="2" t="inlineStr">
        <is>
          <t>O–H</t>
        </is>
      </c>
      <c r="H138" s="2" t="n"/>
      <c r="I138" s="2" t="n"/>
      <c r="J138" s="2" t="n"/>
      <c r="K138" s="2" t="n"/>
      <c r="L138" s="2">
        <f>IF(AND(ISNUMBER(I138),ISNUMBER(K138)),K138-I138,"")</f>
        <v/>
      </c>
      <c r="M138" s="4">
        <f>IF(ISNUMBER(L138),10^L138,"")</f>
        <v/>
      </c>
      <c r="N138" s="2">
        <f>IF(ISNUMBER(L138),IF(L138&gt;=0,"downhill (favoured)","uphill (small amount)"),"")</f>
        <v/>
      </c>
      <c r="O138" s="2" t="n"/>
      <c r="P138" s="2" t="n"/>
      <c r="Q138" s="3" t="inlineStr">
        <is>
          <t>O=C(OS(=O)Cl)c1ccccc1.Cl</t>
        </is>
      </c>
      <c r="R138" s="2" t="inlineStr">
        <is>
          <t>Acyl chlorosulfite.</t>
        </is>
      </c>
      <c r="S138" s="3" t="inlineStr">
        <is>
          <t>O=C([O+:1]([H:2])S(=O)Cl)c1ccccc1.[Cl-:3]</t>
        </is>
      </c>
      <c r="T138" s="3" t="inlineStr">
        <is>
          <t>3&gt;2; 2-1&gt;1</t>
        </is>
      </c>
    </row>
    <row r="139">
      <c r="A139" s="2" t="inlineStr">
        <is>
          <t>R036</t>
        </is>
      </c>
      <c r="B139" s="2" t="n">
        <v>3</v>
      </c>
      <c r="C139" s="2" t="inlineStr">
        <is>
          <t>chloride adds to C=O</t>
        </is>
      </c>
      <c r="D139" s="2" t="inlineStr">
        <is>
          <t>a lone pair on Cl⁻</t>
        </is>
      </c>
      <c r="E139" s="2" t="inlineStr">
        <is>
          <t>the carbonyl C; the C=O π electrons go to O</t>
        </is>
      </c>
      <c r="F139" s="2" t="inlineStr">
        <is>
          <t>C–Cl</t>
        </is>
      </c>
      <c r="G139" s="2" t="inlineStr">
        <is>
          <t>C=O (π)</t>
        </is>
      </c>
      <c r="H139" s="2" t="n"/>
      <c r="I139" s="2" t="n"/>
      <c r="J139" s="2" t="n"/>
      <c r="K139" s="2" t="n"/>
      <c r="L139" s="2">
        <f>IF(AND(ISNUMBER(I139),ISNUMBER(K139)),K139-I139,"")</f>
        <v/>
      </c>
      <c r="M139" s="4">
        <f>IF(ISNUMBER(L139),10^L139,"")</f>
        <v/>
      </c>
      <c r="N139" s="2">
        <f>IF(ISNUMBER(L139),IF(L139&gt;=0,"downhill (favoured)","uphill (small amount)"),"")</f>
        <v/>
      </c>
      <c r="O139" s="2" t="n"/>
      <c r="P139" s="2" t="n"/>
      <c r="Q139" s="3" t="inlineStr">
        <is>
          <t>[O-]C(Cl)(OS(=O)Cl)c1ccccc1</t>
        </is>
      </c>
      <c r="R139" s="2" t="inlineStr">
        <is>
          <t>Tetrahedral intermediate.</t>
        </is>
      </c>
      <c r="S139" s="3" t="inlineStr">
        <is>
          <t>[O:1]=[C:2](OS(=O)Cl)c1ccccc1.[Cl-:3]</t>
        </is>
      </c>
      <c r="T139" s="3" t="inlineStr">
        <is>
          <t>3&gt;2; 2-1&gt;1</t>
        </is>
      </c>
    </row>
    <row r="140">
      <c r="A140" s="2" t="inlineStr">
        <is>
          <t>R036</t>
        </is>
      </c>
      <c r="B140" s="2" t="n">
        <v>4</v>
      </c>
      <c r="C140" s="2" t="inlineStr">
        <is>
          <t>collapse (elimination)</t>
        </is>
      </c>
      <c r="D140" s="2" t="inlineStr">
        <is>
          <t>the O⁻ lone pair reforms C=O</t>
        </is>
      </c>
      <c r="E140" s="2" t="inlineStr">
        <is>
          <t>the C–O(S) bond's electrons go to the leaving group, which breaks into SO2 + Cl⁻</t>
        </is>
      </c>
      <c r="F140" s="2" t="inlineStr">
        <is>
          <t>C=O</t>
        </is>
      </c>
      <c r="G140" s="2" t="inlineStr">
        <is>
          <t>C–O</t>
        </is>
      </c>
      <c r="H140" s="2" t="n"/>
      <c r="I140" s="2" t="n"/>
      <c r="J140" s="2" t="n"/>
      <c r="K140" s="2" t="n"/>
      <c r="L140" s="2">
        <f>IF(AND(ISNUMBER(I140),ISNUMBER(K140)),K140-I140,"")</f>
        <v/>
      </c>
      <c r="M140" s="4">
        <f>IF(ISNUMBER(L140),10^L140,"")</f>
        <v/>
      </c>
      <c r="N140" s="2">
        <f>IF(ISNUMBER(L140),IF(L140&gt;=0,"downhill (favoured)","uphill (small amount)"),"")</f>
        <v/>
      </c>
      <c r="O140" s="2" t="inlineStr">
        <is>
          <t>chlorosulfite (→ SO2 + Cl⁻)</t>
        </is>
      </c>
      <c r="P140" s="2" t="n">
        <v>-7</v>
      </c>
      <c r="Q140" s="3" t="inlineStr">
        <is>
          <t>O=C(Cl)c1ccccc1.O=S=O.[Cl-]</t>
        </is>
      </c>
      <c r="R140" s="2" t="inlineStr">
        <is>
          <t>Benzoyl chloride; SO2 and HCl leave as gases.</t>
        </is>
      </c>
      <c r="S140" s="3" t="inlineStr">
        <is>
          <t>[O-:1][C:2](Cl)([O:3][S:4](=O)[Cl:5])c1ccccc1</t>
        </is>
      </c>
      <c r="T140" s="3" t="inlineStr">
        <is>
          <t>1&gt;1-2; 2-3&gt;3; 3&gt;3-4; 4-5&gt;5</t>
        </is>
      </c>
    </row>
    <row r="141">
      <c r="A141" s="2" t="inlineStr">
        <is>
          <t>R037</t>
        </is>
      </c>
      <c r="B141" s="2" t="n">
        <v>1</v>
      </c>
      <c r="C141" s="2" t="inlineStr">
        <is>
          <t>hydride addition</t>
        </is>
      </c>
      <c r="D141" s="2" t="inlineStr">
        <is>
          <t>a B–H bond's electrons (H⁻ from BH4⁻)</t>
        </is>
      </c>
      <c r="E141" s="2" t="inlineStr">
        <is>
          <t>the carbonyl C; the C=O π electrons go to O</t>
        </is>
      </c>
      <c r="F141" s="2" t="inlineStr">
        <is>
          <t>C–H</t>
        </is>
      </c>
      <c r="G141" s="2" t="inlineStr">
        <is>
          <t>B–H; C=O (π)</t>
        </is>
      </c>
      <c r="H141" s="2" t="n"/>
      <c r="I141" s="2" t="n"/>
      <c r="J141" s="2" t="n"/>
      <c r="K141" s="2" t="n"/>
      <c r="L141" s="2">
        <f>IF(AND(ISNUMBER(I141),ISNUMBER(K141)),K141-I141,"")</f>
        <v/>
      </c>
      <c r="M141" s="4">
        <f>IF(ISNUMBER(L141),10^L141,"")</f>
        <v/>
      </c>
      <c r="N141" s="2">
        <f>IF(ISNUMBER(L141),IF(L141&gt;=0,"downhill (favoured)","uphill (small amount)"),"")</f>
        <v/>
      </c>
      <c r="O141" s="2" t="n"/>
      <c r="P141" s="2" t="n"/>
      <c r="Q141" s="3" t="inlineStr">
        <is>
          <t>[O-]C1CCCCC1</t>
        </is>
      </c>
      <c r="R141" s="2" t="inlineStr">
        <is>
          <t>Alkoxide.</t>
        </is>
      </c>
      <c r="S141" s="3" t="inlineStr">
        <is>
          <t>[O:1]=[C:2]1CCCCC1.[H:3][BH3-:4]</t>
        </is>
      </c>
      <c r="T141" s="3" t="inlineStr">
        <is>
          <t>3-4&gt;2-3; 2-1&gt;1</t>
        </is>
      </c>
    </row>
    <row r="142">
      <c r="A142" s="2" t="inlineStr">
        <is>
          <t>R037</t>
        </is>
      </c>
      <c r="B142" s="2" t="n">
        <v>2</v>
      </c>
      <c r="C142" s="2" t="inlineStr">
        <is>
          <t>proton transfer</t>
        </is>
      </c>
      <c r="D142" s="2" t="inlineStr">
        <is>
          <t>a lone pair on the alkoxide O</t>
        </is>
      </c>
      <c r="E142" s="2" t="inlineStr">
        <is>
          <t>the H of methanol (the solvent)</t>
        </is>
      </c>
      <c r="F142" s="2" t="inlineStr">
        <is>
          <t>O–H</t>
        </is>
      </c>
      <c r="G142" s="2" t="inlineStr">
        <is>
          <t>O–H (MeOH)</t>
        </is>
      </c>
      <c r="H142" s="2" t="inlineStr">
        <is>
          <t>methanol</t>
        </is>
      </c>
      <c r="I142" s="2" t="n">
        <v>15.5</v>
      </c>
      <c r="J142" s="2" t="inlineStr">
        <is>
          <t>cyclohexanol</t>
        </is>
      </c>
      <c r="K142" s="2" t="n">
        <v>18</v>
      </c>
      <c r="L142" s="2">
        <f>IF(AND(ISNUMBER(I142),ISNUMBER(K142)),K142-I142,"")</f>
        <v/>
      </c>
      <c r="M142" s="4">
        <f>IF(ISNUMBER(L142),10^L142,"")</f>
        <v/>
      </c>
      <c r="N142" s="2">
        <f>IF(ISNUMBER(L142),IF(L142&gt;=0,"downhill (favoured)","uphill (small amount)"),"")</f>
        <v/>
      </c>
      <c r="O142" s="2" t="n"/>
      <c r="P142" s="2" t="n"/>
      <c r="Q142" s="3" t="inlineStr">
        <is>
          <t>OC1CCCCC1.C[O-]</t>
        </is>
      </c>
      <c r="R142" s="2" t="inlineStr">
        <is>
          <t>Cyclohexanol.</t>
        </is>
      </c>
      <c r="S142" s="3" t="inlineStr">
        <is>
          <t>[O-:1]C1CCCCC1.C[O:2][H:3]</t>
        </is>
      </c>
      <c r="T142" s="3" t="inlineStr">
        <is>
          <t>1&gt;3; 3-2&gt;2</t>
        </is>
      </c>
    </row>
    <row r="143">
      <c r="A143" s="2" t="inlineStr">
        <is>
          <t>R038</t>
        </is>
      </c>
      <c r="B143" s="2" t="n">
        <v>1</v>
      </c>
      <c r="C143" s="2" t="inlineStr">
        <is>
          <t>hydride addition</t>
        </is>
      </c>
      <c r="D143" s="2" t="inlineStr">
        <is>
          <t>an Al–H bond's electrons (H⁻ from AlH4⁻)</t>
        </is>
      </c>
      <c r="E143" s="2" t="inlineStr">
        <is>
          <t>the ester C=O carbon; the π electrons go to O</t>
        </is>
      </c>
      <c r="F143" s="2" t="inlineStr">
        <is>
          <t>C–H</t>
        </is>
      </c>
      <c r="G143" s="2" t="inlineStr">
        <is>
          <t>Al–H; C=O (π)</t>
        </is>
      </c>
      <c r="H143" s="2" t="n"/>
      <c r="I143" s="2" t="n"/>
      <c r="J143" s="2" t="n"/>
      <c r="K143" s="2" t="n"/>
      <c r="L143" s="2">
        <f>IF(AND(ISNUMBER(I143),ISNUMBER(K143)),K143-I143,"")</f>
        <v/>
      </c>
      <c r="M143" s="4">
        <f>IF(ISNUMBER(L143),10^L143,"")</f>
        <v/>
      </c>
      <c r="N143" s="2">
        <f>IF(ISNUMBER(L143),IF(L143&gt;=0,"downhill (favoured)","uphill (small amount)"),"")</f>
        <v/>
      </c>
      <c r="O143" s="2" t="n"/>
      <c r="P143" s="2" t="n"/>
      <c r="Q143" s="3" t="inlineStr">
        <is>
          <t>COC([O-])c1ccccc1</t>
        </is>
      </c>
      <c r="R143" s="2" t="inlineStr">
        <is>
          <t>Tetrahedral intermediate.</t>
        </is>
      </c>
      <c r="S143" s="3" t="inlineStr">
        <is>
          <t>C[O:1][C:2](=[O:3])c1ccccc1.[H:4][AlH3-:5]</t>
        </is>
      </c>
      <c r="T143" s="3" t="inlineStr">
        <is>
          <t>4-5&gt;2-4; 2-3&gt;3</t>
        </is>
      </c>
    </row>
    <row r="144">
      <c r="A144" s="2" t="inlineStr">
        <is>
          <t>R038</t>
        </is>
      </c>
      <c r="B144" s="2" t="n">
        <v>2</v>
      </c>
      <c r="C144" s="2" t="inlineStr">
        <is>
          <t>collapse (methoxide leaves)</t>
        </is>
      </c>
      <c r="D144" s="2" t="inlineStr">
        <is>
          <t>the O⁻ lone pair reforms C=O</t>
        </is>
      </c>
      <c r="E144" s="2" t="inlineStr">
        <is>
          <t>the C–OMe bond's electrons go to O (MeO⁻ leaves)</t>
        </is>
      </c>
      <c r="F144" s="2" t="inlineStr">
        <is>
          <t>C=O</t>
        </is>
      </c>
      <c r="G144" s="2" t="inlineStr">
        <is>
          <t>C–OMe</t>
        </is>
      </c>
      <c r="H144" s="2" t="n"/>
      <c r="I144" s="2" t="n"/>
      <c r="J144" s="2" t="n"/>
      <c r="K144" s="2" t="n"/>
      <c r="L144" s="2">
        <f>IF(AND(ISNUMBER(I144),ISNUMBER(K144)),K144-I144,"")</f>
        <v/>
      </c>
      <c r="M144" s="4">
        <f>IF(ISNUMBER(L144),10^L144,"")</f>
        <v/>
      </c>
      <c r="N144" s="2">
        <f>IF(ISNUMBER(L144),IF(L144&gt;=0,"downhill (favoured)","uphill (small amount)"),"")</f>
        <v/>
      </c>
      <c r="O144" s="2" t="inlineStr">
        <is>
          <t>methoxide</t>
        </is>
      </c>
      <c r="P144" s="2" t="n">
        <v>15.5</v>
      </c>
      <c r="Q144" s="3" t="inlineStr">
        <is>
          <t>O=Cc1ccccc1.C[O-]</t>
        </is>
      </c>
      <c r="R144" s="2" t="inlineStr">
        <is>
          <t>An aldehyde forms; it is more reactive than the ester, so it cannot be stopped here.</t>
        </is>
      </c>
      <c r="S144" s="3" t="inlineStr">
        <is>
          <t>C[O:1][CH:2]([O-:3])c1ccccc1</t>
        </is>
      </c>
      <c r="T144" s="3" t="inlineStr">
        <is>
          <t>3&gt;2-3; 2-1&gt;1</t>
        </is>
      </c>
    </row>
    <row r="145">
      <c r="A145" s="2" t="inlineStr">
        <is>
          <t>R038</t>
        </is>
      </c>
      <c r="B145" s="2" t="n">
        <v>3</v>
      </c>
      <c r="C145" s="2" t="inlineStr">
        <is>
          <t>second hydride addition</t>
        </is>
      </c>
      <c r="D145" s="2" t="inlineStr">
        <is>
          <t>an Al–H bond's electrons</t>
        </is>
      </c>
      <c r="E145" s="2" t="inlineStr">
        <is>
          <t>the aldehyde C; the π electrons go to O</t>
        </is>
      </c>
      <c r="F145" s="2" t="inlineStr">
        <is>
          <t>C–H</t>
        </is>
      </c>
      <c r="G145" s="2" t="inlineStr">
        <is>
          <t>C=O (π)</t>
        </is>
      </c>
      <c r="H145" s="2" t="n"/>
      <c r="I145" s="2" t="n"/>
      <c r="J145" s="2" t="n"/>
      <c r="K145" s="2" t="n"/>
      <c r="L145" s="2">
        <f>IF(AND(ISNUMBER(I145),ISNUMBER(K145)),K145-I145,"")</f>
        <v/>
      </c>
      <c r="M145" s="4">
        <f>IF(ISNUMBER(L145),10^L145,"")</f>
        <v/>
      </c>
      <c r="N145" s="2">
        <f>IF(ISNUMBER(L145),IF(L145&gt;=0,"downhill (favoured)","uphill (small amount)"),"")</f>
        <v/>
      </c>
      <c r="O145" s="2" t="n"/>
      <c r="P145" s="2" t="n"/>
      <c r="Q145" s="3" t="inlineStr">
        <is>
          <t>[O-]Cc1ccccc1</t>
        </is>
      </c>
      <c r="R145" s="2" t="n"/>
      <c r="S145" s="3" t="inlineStr">
        <is>
          <t>[O:1]=[CH:2]c1ccccc1.[H:3][AlH3-:4]</t>
        </is>
      </c>
      <c r="T145" s="3" t="inlineStr">
        <is>
          <t>3-4&gt;2-3; 2-1&gt;1</t>
        </is>
      </c>
    </row>
    <row r="146">
      <c r="A146" s="2" t="inlineStr">
        <is>
          <t>R038</t>
        </is>
      </c>
      <c r="B146" s="2" t="n">
        <v>4</v>
      </c>
      <c r="C146" s="2" t="inlineStr">
        <is>
          <t>acid work-up (proton transfer)</t>
        </is>
      </c>
      <c r="D146" s="2" t="inlineStr">
        <is>
          <t>lone pairs on the alkoxides</t>
        </is>
      </c>
      <c r="E146" s="2" t="inlineStr">
        <is>
          <t>H of H3O⁺</t>
        </is>
      </c>
      <c r="F146" s="2" t="inlineStr">
        <is>
          <t>O–H</t>
        </is>
      </c>
      <c r="G146" s="2" t="inlineStr">
        <is>
          <t>O–H (H3O⁺)</t>
        </is>
      </c>
      <c r="H146" s="2" t="inlineStr">
        <is>
          <t>H3O⁺</t>
        </is>
      </c>
      <c r="I146" s="2" t="n">
        <v>-1.7</v>
      </c>
      <c r="J146" s="2" t="inlineStr">
        <is>
          <t>benzyl alcohol</t>
        </is>
      </c>
      <c r="K146" s="2" t="n">
        <v>15.4</v>
      </c>
      <c r="L146" s="2">
        <f>IF(AND(ISNUMBER(I146),ISNUMBER(K146)),K146-I146,"")</f>
        <v/>
      </c>
      <c r="M146" s="4">
        <f>IF(ISNUMBER(L146),10^L146,"")</f>
        <v/>
      </c>
      <c r="N146" s="2">
        <f>IF(ISNUMBER(L146),IF(L146&gt;=0,"downhill (favoured)","uphill (small amount)"),"")</f>
        <v/>
      </c>
      <c r="O146" s="2" t="n"/>
      <c r="P146" s="2" t="n"/>
      <c r="Q146" s="3" t="inlineStr">
        <is>
          <t>OCc1ccccc1.CO</t>
        </is>
      </c>
      <c r="R146" s="2" t="inlineStr">
        <is>
          <t>Benzyl alcohol + methanol.</t>
        </is>
      </c>
      <c r="S146" s="3" t="inlineStr">
        <is>
          <t>[O-:1]Cc1ccccc1.[H:2][OH2+:3].C[O-:4].[H:5][OH2+:6]</t>
        </is>
      </c>
      <c r="T146" s="3" t="inlineStr">
        <is>
          <t>1&gt;2; 2-3&gt;3; 4&gt;5; 5-6&gt;6</t>
        </is>
      </c>
    </row>
    <row r="147">
      <c r="A147" s="2" t="inlineStr">
        <is>
          <t>R039</t>
        </is>
      </c>
      <c r="B147" s="2" t="n">
        <v>1</v>
      </c>
      <c r="C147" s="2" t="inlineStr">
        <is>
          <t>nucleophilic addition</t>
        </is>
      </c>
      <c r="D147" s="2" t="inlineStr">
        <is>
          <t>the C–Mg bond's electrons (the CH3 acts as a carbanion)</t>
        </is>
      </c>
      <c r="E147" s="2" t="inlineStr">
        <is>
          <t>the carbonyl C; the C=O π electrons go to O</t>
        </is>
      </c>
      <c r="F147" s="2" t="inlineStr">
        <is>
          <t>C–C</t>
        </is>
      </c>
      <c r="G147" s="2" t="inlineStr">
        <is>
          <t>C–Mg; C=O (π)</t>
        </is>
      </c>
      <c r="H147" s="2" t="n"/>
      <c r="I147" s="2" t="n"/>
      <c r="J147" s="2" t="n"/>
      <c r="K147" s="2" t="n"/>
      <c r="L147" s="2">
        <f>IF(AND(ISNUMBER(I147),ISNUMBER(K147)),K147-I147,"")</f>
        <v/>
      </c>
      <c r="M147" s="4">
        <f>IF(ISNUMBER(L147),10^L147,"")</f>
        <v/>
      </c>
      <c r="N147" s="2">
        <f>IF(ISNUMBER(L147),IF(L147&gt;=0,"downhill (favoured)","uphill (small amount)"),"")</f>
        <v/>
      </c>
      <c r="O147" s="2" t="n"/>
      <c r="P147" s="2" t="n"/>
      <c r="Q147" s="3" t="inlineStr">
        <is>
          <t>CC(C)(C)[O-].[Mg+]Br</t>
        </is>
      </c>
      <c r="R147" s="2" t="inlineStr">
        <is>
          <t>Magnesium alkoxide; the C=O O is also held by Mg.</t>
        </is>
      </c>
      <c r="S147" s="3" t="inlineStr">
        <is>
          <t>C[C:1](C)=[O:2].[CH3:3][Mg:4]Br</t>
        </is>
      </c>
      <c r="T147" s="3" t="inlineStr">
        <is>
          <t>3-4&gt;1-3; 1-2&gt;2</t>
        </is>
      </c>
    </row>
    <row r="148">
      <c r="A148" s="2" t="inlineStr">
        <is>
          <t>R039</t>
        </is>
      </c>
      <c r="B148" s="2" t="n">
        <v>2</v>
      </c>
      <c r="C148" s="2" t="inlineStr">
        <is>
          <t>acid work-up (proton transfer)</t>
        </is>
      </c>
      <c r="D148" s="2" t="inlineStr">
        <is>
          <t>a lone pair on the alkoxide O</t>
        </is>
      </c>
      <c r="E148" s="2" t="inlineStr">
        <is>
          <t>an H of H3O⁺</t>
        </is>
      </c>
      <c r="F148" s="2" t="inlineStr">
        <is>
          <t>O–H</t>
        </is>
      </c>
      <c r="G148" s="2" t="inlineStr">
        <is>
          <t>O–H (H3O⁺)</t>
        </is>
      </c>
      <c r="H148" s="2" t="inlineStr">
        <is>
          <t>H3O⁺</t>
        </is>
      </c>
      <c r="I148" s="2" t="n">
        <v>-1.7</v>
      </c>
      <c r="J148" s="2" t="inlineStr">
        <is>
          <t>tert-butanol</t>
        </is>
      </c>
      <c r="K148" s="2" t="n">
        <v>18</v>
      </c>
      <c r="L148" s="2">
        <f>IF(AND(ISNUMBER(I148),ISNUMBER(K148)),K148-I148,"")</f>
        <v/>
      </c>
      <c r="M148" s="4">
        <f>IF(ISNUMBER(L148),10^L148,"")</f>
        <v/>
      </c>
      <c r="N148" s="2">
        <f>IF(ISNUMBER(L148),IF(L148&gt;=0,"downhill (favoured)","uphill (small amount)"),"")</f>
        <v/>
      </c>
      <c r="O148" s="2" t="n"/>
      <c r="P148" s="2" t="n"/>
      <c r="Q148" s="3" t="inlineStr">
        <is>
          <t>CC(C)(C)O</t>
        </is>
      </c>
      <c r="R148" s="2" t="inlineStr">
        <is>
          <t>tert-Butanol.</t>
        </is>
      </c>
      <c r="S148" s="3" t="inlineStr">
        <is>
          <t>CC(C)(C)[O-:1].[H:2][OH2+:3]</t>
        </is>
      </c>
      <c r="T148" s="3" t="inlineStr">
        <is>
          <t>1&gt;2; 2-3&gt;3</t>
        </is>
      </c>
    </row>
    <row r="149">
      <c r="A149" s="2" t="inlineStr">
        <is>
          <t>R040</t>
        </is>
      </c>
      <c r="B149" s="2" t="n">
        <v>1</v>
      </c>
      <c r="C149" s="2" t="inlineStr">
        <is>
          <t>nucleophilic addition to CO2</t>
        </is>
      </c>
      <c r="D149" s="2" t="inlineStr">
        <is>
          <t>the C–Mg bond's electrons</t>
        </is>
      </c>
      <c r="E149" s="2" t="inlineStr">
        <is>
          <t>the C of CO2; a C=O π bond's electrons go to O</t>
        </is>
      </c>
      <c r="F149" s="2" t="inlineStr">
        <is>
          <t>C–C</t>
        </is>
      </c>
      <c r="G149" s="2" t="inlineStr">
        <is>
          <t>C–Mg; C=O (π)</t>
        </is>
      </c>
      <c r="H149" s="2" t="n"/>
      <c r="I149" s="2" t="n"/>
      <c r="J149" s="2" t="n"/>
      <c r="K149" s="2" t="n"/>
      <c r="L149" s="2">
        <f>IF(AND(ISNUMBER(I149),ISNUMBER(K149)),K149-I149,"")</f>
        <v/>
      </c>
      <c r="M149" s="4">
        <f>IF(ISNUMBER(L149),10^L149,"")</f>
        <v/>
      </c>
      <c r="N149" s="2">
        <f>IF(ISNUMBER(L149),IF(L149&gt;=0,"downhill (favoured)","uphill (small amount)"),"")</f>
        <v/>
      </c>
      <c r="O149" s="2" t="n"/>
      <c r="P149" s="2" t="n"/>
      <c r="Q149" s="3" t="inlineStr">
        <is>
          <t>O=C([O-])c1ccccc1.[Mg+]Br</t>
        </is>
      </c>
      <c r="R149" s="2" t="inlineStr">
        <is>
          <t>Magnesium carboxylate.</t>
        </is>
      </c>
      <c r="S149" s="3" t="inlineStr">
        <is>
          <t>Br[Mg:1][c:2]1ccccc1.[O:3]=[C:4]=O</t>
        </is>
      </c>
      <c r="T149" s="3" t="inlineStr">
        <is>
          <t>1-2&gt;2-4; 4-3&gt;3</t>
        </is>
      </c>
    </row>
    <row r="150">
      <c r="A150" s="2" t="inlineStr">
        <is>
          <t>R040</t>
        </is>
      </c>
      <c r="B150" s="2" t="n">
        <v>2</v>
      </c>
      <c r="C150" s="2" t="inlineStr">
        <is>
          <t>acid work-up (proton transfer)</t>
        </is>
      </c>
      <c r="D150" s="2" t="inlineStr">
        <is>
          <t>a lone pair on the carboxylate O</t>
        </is>
      </c>
      <c r="E150" s="2" t="inlineStr">
        <is>
          <t>an H of H3O⁺</t>
        </is>
      </c>
      <c r="F150" s="2" t="inlineStr">
        <is>
          <t>O–H</t>
        </is>
      </c>
      <c r="G150" s="2" t="inlineStr">
        <is>
          <t>O–H (H3O⁺)</t>
        </is>
      </c>
      <c r="H150" s="2" t="inlineStr">
        <is>
          <t>H3O⁺</t>
        </is>
      </c>
      <c r="I150" s="2" t="n">
        <v>-1.7</v>
      </c>
      <c r="J150" s="2" t="inlineStr">
        <is>
          <t>benzoic acid</t>
        </is>
      </c>
      <c r="K150" s="2" t="n">
        <v>4.2</v>
      </c>
      <c r="L150" s="2">
        <f>IF(AND(ISNUMBER(I150),ISNUMBER(K150)),K150-I150,"")</f>
        <v/>
      </c>
      <c r="M150" s="4">
        <f>IF(ISNUMBER(L150),10^L150,"")</f>
        <v/>
      </c>
      <c r="N150" s="2">
        <f>IF(ISNUMBER(L150),IF(L150&gt;=0,"downhill (favoured)","uphill (small amount)"),"")</f>
        <v/>
      </c>
      <c r="O150" s="2" t="n"/>
      <c r="P150" s="2" t="n"/>
      <c r="Q150" s="3" t="inlineStr">
        <is>
          <t>O=C(O)c1ccccc1</t>
        </is>
      </c>
      <c r="R150" s="2" t="inlineStr">
        <is>
          <t>Benzoic acid.</t>
        </is>
      </c>
      <c r="S150" s="3" t="inlineStr">
        <is>
          <t>O=C([O-:1])c1ccccc1.[H:2][OH2+:3]</t>
        </is>
      </c>
      <c r="T150" s="3" t="inlineStr">
        <is>
          <t>1&gt;2; 2-3&gt;3</t>
        </is>
      </c>
    </row>
    <row r="151">
      <c r="A151" s="2" t="inlineStr">
        <is>
          <t>R041</t>
        </is>
      </c>
      <c r="B151" s="2" t="n">
        <v>1</v>
      </c>
      <c r="C151" s="2" t="inlineStr">
        <is>
          <t>ylide C adds to C=O</t>
        </is>
      </c>
      <c r="D151" s="2" t="inlineStr">
        <is>
          <t>the lone pair on the ylide's CH2⁻</t>
        </is>
      </c>
      <c r="E151" s="2" t="inlineStr">
        <is>
          <t>the carbonyl C; the C=O π electrons go to O</t>
        </is>
      </c>
      <c r="F151" s="2" t="inlineStr">
        <is>
          <t>C–C</t>
        </is>
      </c>
      <c r="G151" s="2" t="inlineStr">
        <is>
          <t>C=O (π)</t>
        </is>
      </c>
      <c r="H151" s="2" t="n"/>
      <c r="I151" s="2" t="n"/>
      <c r="J151" s="2" t="n"/>
      <c r="K151" s="2" t="n"/>
      <c r="L151" s="2">
        <f>IF(AND(ISNUMBER(I151),ISNUMBER(K151)),K151-I151,"")</f>
        <v/>
      </c>
      <c r="M151" s="4">
        <f>IF(ISNUMBER(L151),10^L151,"")</f>
        <v/>
      </c>
      <c r="N151" s="2">
        <f>IF(ISNUMBER(L151),IF(L151&gt;=0,"downhill (favoured)","uphill (small amount)"),"")</f>
        <v/>
      </c>
      <c r="O151" s="2" t="n"/>
      <c r="P151" s="2" t="n"/>
      <c r="Q151" s="3" t="inlineStr">
        <is>
          <t>[O-]C1(C[P+](c2ccccc2)(c2ccccc2)c2ccccc2)CCCCC1</t>
        </is>
      </c>
      <c r="R151" s="2" t="inlineStr">
        <is>
          <t>Betaine (may form the ring directly).</t>
        </is>
      </c>
      <c r="S151" s="3" t="inlineStr">
        <is>
          <t>[O:1]=[C:2]1CCCCC1.[CH2-:3][P+](c1ccccc1)(c1ccccc1)c1ccccc1</t>
        </is>
      </c>
      <c r="T151" s="3" t="inlineStr">
        <is>
          <t>3&gt;2; 2-1&gt;1</t>
        </is>
      </c>
    </row>
    <row r="152">
      <c r="A152" s="2" t="inlineStr">
        <is>
          <t>R041</t>
        </is>
      </c>
      <c r="B152" s="2" t="n">
        <v>2</v>
      </c>
      <c r="C152" s="2" t="inlineStr">
        <is>
          <t>ring closure</t>
        </is>
      </c>
      <c r="D152" s="2" t="inlineStr">
        <is>
          <t>a lone pair on O⁻</t>
        </is>
      </c>
      <c r="E152" s="2" t="inlineStr">
        <is>
          <t>the P⁺</t>
        </is>
      </c>
      <c r="F152" s="2" t="inlineStr">
        <is>
          <t>O–P</t>
        </is>
      </c>
      <c r="G152" s="2" t="n"/>
      <c r="H152" s="2" t="n"/>
      <c r="I152" s="2" t="n"/>
      <c r="J152" s="2" t="n"/>
      <c r="K152" s="2" t="n"/>
      <c r="L152" s="2">
        <f>IF(AND(ISNUMBER(I152),ISNUMBER(K152)),K152-I152,"")</f>
        <v/>
      </c>
      <c r="M152" s="4">
        <f>IF(ISNUMBER(L152),10^L152,"")</f>
        <v/>
      </c>
      <c r="N152" s="2">
        <f>IF(ISNUMBER(L152),IF(L152&gt;=0,"downhill (favoured)","uphill (small amount)"),"")</f>
        <v/>
      </c>
      <c r="O152" s="2" t="n"/>
      <c r="P152" s="2" t="n"/>
      <c r="Q152" s="3" t="inlineStr">
        <is>
          <t>C1CCC2(CC1)CP(c1ccccc1)(c1ccccc1)(c1ccccc1)O2</t>
        </is>
      </c>
      <c r="R152" s="2" t="inlineStr">
        <is>
          <t>Oxaphosphetane (4-membered ring).</t>
        </is>
      </c>
      <c r="S152" s="3" t="inlineStr">
        <is>
          <t>[O-:1]C1(C[P+:2](c2ccccc2)(c2ccccc2)c2ccccc2)CCCCC1</t>
        </is>
      </c>
      <c r="T152" s="3" t="inlineStr">
        <is>
          <t>1&gt;2</t>
        </is>
      </c>
    </row>
    <row r="153">
      <c r="A153" s="2" t="inlineStr">
        <is>
          <t>R041</t>
        </is>
      </c>
      <c r="B153" s="2" t="n">
        <v>3</v>
      </c>
      <c r="C153" s="2" t="inlineStr">
        <is>
          <t>retro-[2+2] (ring breaks)</t>
        </is>
      </c>
      <c r="D153" s="2" t="inlineStr">
        <is>
          <t>the C–P and C–O σ bonds</t>
        </is>
      </c>
      <c r="E153" s="2" t="inlineStr">
        <is>
          <t>new C=C and P=O bonds</t>
        </is>
      </c>
      <c r="F153" s="2" t="inlineStr">
        <is>
          <t>C=C; P=O</t>
        </is>
      </c>
      <c r="G153" s="2" t="inlineStr">
        <is>
          <t>C–P; C–O</t>
        </is>
      </c>
      <c r="H153" s="2" t="n"/>
      <c r="I153" s="2" t="n"/>
      <c r="J153" s="2" t="n"/>
      <c r="K153" s="2" t="n"/>
      <c r="L153" s="2">
        <f>IF(AND(ISNUMBER(I153),ISNUMBER(K153)),K153-I153,"")</f>
        <v/>
      </c>
      <c r="M153" s="4">
        <f>IF(ISNUMBER(L153),10^L153,"")</f>
        <v/>
      </c>
      <c r="N153" s="2">
        <f>IF(ISNUMBER(L153),IF(L153&gt;=0,"downhill (favoured)","uphill (small amount)"),"")</f>
        <v/>
      </c>
      <c r="O153" s="2" t="n"/>
      <c r="P153" s="2" t="n"/>
      <c r="Q153" s="3" t="inlineStr">
        <is>
          <t>C=C1CCCCC1.O=P(c1ccccc1)(c1ccccc1)c1ccccc1</t>
        </is>
      </c>
      <c r="R153" s="2" t="inlineStr">
        <is>
          <t>The very strong P=O bond drives the reaction; the C=C is exactly where the C=O was.</t>
        </is>
      </c>
      <c r="S153" s="3" t="inlineStr">
        <is>
          <t>C1CC[C:4]2(CC1)[CH2:1][P:2](c1ccccc1)(c1ccccc1)(c1ccccc1)[O:3]2</t>
        </is>
      </c>
      <c r="T153" s="3" t="inlineStr">
        <is>
          <t>1-2&gt;1-4; 4-3&gt;2-3</t>
        </is>
      </c>
    </row>
    <row r="154">
      <c r="A154" s="2" t="inlineStr">
        <is>
          <t>R042</t>
        </is>
      </c>
      <c r="B154" s="2" t="n">
        <v>1</v>
      </c>
      <c r="C154" s="2" t="inlineStr">
        <is>
          <t>protonate the C=O</t>
        </is>
      </c>
      <c r="D154" s="2" t="inlineStr">
        <is>
          <t>a lone pair on the carbonyl O</t>
        </is>
      </c>
      <c r="E154" s="2" t="inlineStr">
        <is>
          <t>the H of TsOH</t>
        </is>
      </c>
      <c r="F154" s="2" t="inlineStr">
        <is>
          <t>O–H</t>
        </is>
      </c>
      <c r="G154" s="2" t="inlineStr">
        <is>
          <t>O–H (TsOH)</t>
        </is>
      </c>
      <c r="H154" s="2" t="inlineStr">
        <is>
          <t>TsOH</t>
        </is>
      </c>
      <c r="I154" s="2" t="n">
        <v>-2.8</v>
      </c>
      <c r="J154" s="2" t="inlineStr">
        <is>
          <t>the protonated ketone</t>
        </is>
      </c>
      <c r="K154" s="2" t="n">
        <v>-7</v>
      </c>
      <c r="L154" s="2">
        <f>IF(AND(ISNUMBER(I154),ISNUMBER(K154)),K154-I154,"")</f>
        <v/>
      </c>
      <c r="M154" s="4">
        <f>IF(ISNUMBER(L154),10^L154,"")</f>
        <v/>
      </c>
      <c r="N154" s="2">
        <f>IF(ISNUMBER(L154),IF(L154&gt;=0,"downhill (favoured)","uphill (small amount)"),"")</f>
        <v/>
      </c>
      <c r="O154" s="2" t="n"/>
      <c r="P154" s="2" t="n"/>
      <c r="Q154" s="3" t="inlineStr">
        <is>
          <t>[OH+]=C1CCCCC1</t>
        </is>
      </c>
      <c r="R154" s="2" t="inlineStr">
        <is>
          <t>Activates the carbonyl C.</t>
        </is>
      </c>
      <c r="S154" s="3" t="inlineStr">
        <is>
          <t>[O:1]=C1CCCCC1.Cc1ccc(S(=O)(=O)[O:2][H:3])cc1</t>
        </is>
      </c>
      <c r="T154" s="3" t="inlineStr">
        <is>
          <t>1&gt;3; 3-2&gt;2</t>
        </is>
      </c>
    </row>
    <row r="155">
      <c r="A155" s="2" t="inlineStr">
        <is>
          <t>R042</t>
        </is>
      </c>
      <c r="B155" s="2" t="n">
        <v>2</v>
      </c>
      <c r="C155" s="2" t="inlineStr">
        <is>
          <t>first O adds</t>
        </is>
      </c>
      <c r="D155" s="2" t="inlineStr">
        <is>
          <t>a lone pair on an O of ethylene glycol</t>
        </is>
      </c>
      <c r="E155" s="2" t="inlineStr">
        <is>
          <t>the carbonyl C; the C=O π electrons go to O</t>
        </is>
      </c>
      <c r="F155" s="2" t="inlineStr">
        <is>
          <t>C–O</t>
        </is>
      </c>
      <c r="G155" s="2" t="inlineStr">
        <is>
          <t>C=O (π)</t>
        </is>
      </c>
      <c r="H155" s="2" t="n"/>
      <c r="I155" s="2" t="n"/>
      <c r="J155" s="2" t="n"/>
      <c r="K155" s="2" t="n"/>
      <c r="L155" s="2">
        <f>IF(AND(ISNUMBER(I155),ISNUMBER(K155)),K155-I155,"")</f>
        <v/>
      </c>
      <c r="M155" s="4">
        <f>IF(ISNUMBER(L155),10^L155,"")</f>
        <v/>
      </c>
      <c r="N155" s="2">
        <f>IF(ISNUMBER(L155),IF(L155&gt;=0,"downhill (favoured)","uphill (small amount)"),"")</f>
        <v/>
      </c>
      <c r="O155" s="2" t="n"/>
      <c r="P155" s="2" t="n"/>
      <c r="Q155" s="3" t="inlineStr">
        <is>
          <t>OCC[OH+]C1(O)CCCCC1</t>
        </is>
      </c>
      <c r="R155" s="2" t="n"/>
      <c r="S155" s="3" t="inlineStr">
        <is>
          <t>[OH+:1]=[C:2]1CCCCC1.[OH:3]CCO</t>
        </is>
      </c>
      <c r="T155" s="3" t="inlineStr">
        <is>
          <t>3&gt;2; 2-1&gt;1</t>
        </is>
      </c>
    </row>
    <row r="156">
      <c r="A156" s="2" t="inlineStr">
        <is>
          <t>R042</t>
        </is>
      </c>
      <c r="B156" s="2" t="n">
        <v>3</v>
      </c>
      <c r="C156" s="2" t="inlineStr">
        <is>
          <t>proton transfer</t>
        </is>
      </c>
      <c r="D156" s="2" t="inlineStr">
        <is>
          <t>a lone pair on the OH oxygen</t>
        </is>
      </c>
      <c r="E156" s="2" t="inlineStr">
        <is>
          <t>the H on the ether-type O⁺ (via the solvent)</t>
        </is>
      </c>
      <c r="F156" s="2" t="inlineStr">
        <is>
          <t>O–H</t>
        </is>
      </c>
      <c r="G156" s="2" t="inlineStr">
        <is>
          <t>O–H</t>
        </is>
      </c>
      <c r="H156" s="2" t="inlineStr">
        <is>
          <t>the oxonium (R2OH⁺)</t>
        </is>
      </c>
      <c r="I156" s="2" t="n">
        <v>-3.5</v>
      </c>
      <c r="J156" s="2" t="inlineStr">
        <is>
          <t>the protonated OH (R–OH2⁺)</t>
        </is>
      </c>
      <c r="K156" s="2" t="n">
        <v>-2</v>
      </c>
      <c r="L156" s="2">
        <f>IF(AND(ISNUMBER(I156),ISNUMBER(K156)),K156-I156,"")</f>
        <v/>
      </c>
      <c r="M156" s="4">
        <f>IF(ISNUMBER(L156),10^L156,"")</f>
        <v/>
      </c>
      <c r="N156" s="2">
        <f>IF(ISNUMBER(L156),IF(L156&gt;=0,"downhill (favoured)","uphill (small amount)"),"")</f>
        <v/>
      </c>
      <c r="O156" s="2" t="n"/>
      <c r="P156" s="2" t="n"/>
      <c r="Q156" s="3" t="inlineStr">
        <is>
          <t>OCCOC1([OH2+])CCCCC1</t>
        </is>
      </c>
      <c r="R156" s="2" t="inlineStr">
        <is>
          <t>Hemiketal with a good leaving group.</t>
        </is>
      </c>
      <c r="S156" s="3" t="inlineStr">
        <is>
          <t>OCC[O+:1]([H:2])C1([OH:3])CCCCC1</t>
        </is>
      </c>
      <c r="T156" s="3" t="inlineStr">
        <is>
          <t>3&gt;2; 2-1&gt;1</t>
        </is>
      </c>
    </row>
    <row r="157">
      <c r="A157" s="2" t="inlineStr">
        <is>
          <t>R042</t>
        </is>
      </c>
      <c r="B157" s="2" t="n">
        <v>4</v>
      </c>
      <c r="C157" s="2" t="inlineStr">
        <is>
          <t>loss of water</t>
        </is>
      </c>
      <c r="D157" s="2" t="inlineStr">
        <is>
          <t>the lone pair on the ring-side O pushes in</t>
        </is>
      </c>
      <c r="E157" s="2" t="inlineStr">
        <is>
          <t>the C–OH2⁺ electrons go to O (water leaves)</t>
        </is>
      </c>
      <c r="F157" s="2" t="inlineStr">
        <is>
          <t>C=O⁺</t>
        </is>
      </c>
      <c r="G157" s="2" t="inlineStr">
        <is>
          <t>C–O</t>
        </is>
      </c>
      <c r="H157" s="2" t="n"/>
      <c r="I157" s="2" t="n"/>
      <c r="J157" s="2" t="n"/>
      <c r="K157" s="2" t="n"/>
      <c r="L157" s="2">
        <f>IF(AND(ISNUMBER(I157),ISNUMBER(K157)),K157-I157,"")</f>
        <v/>
      </c>
      <c r="M157" s="4">
        <f>IF(ISNUMBER(L157),10^L157,"")</f>
        <v/>
      </c>
      <c r="N157" s="2">
        <f>IF(ISNUMBER(L157),IF(L157&gt;=0,"downhill (favoured)","uphill (small amount)"),"")</f>
        <v/>
      </c>
      <c r="O157" s="2" t="inlineStr">
        <is>
          <t>water</t>
        </is>
      </c>
      <c r="P157" s="2" t="n">
        <v>-1.7</v>
      </c>
      <c r="Q157" s="3" t="inlineStr">
        <is>
          <t>OCC[O+]=C1CCCCC1.O</t>
        </is>
      </c>
      <c r="R157" s="2" t="inlineStr">
        <is>
          <t>Oxocarbenium ion; removing water (Dean–Stark) drives the equilibrium.</t>
        </is>
      </c>
      <c r="S157" s="3" t="inlineStr">
        <is>
          <t>OCC[O:1][C:2]1([OH2+:3])CCCCC1</t>
        </is>
      </c>
      <c r="T157" s="3" t="inlineStr">
        <is>
          <t>1&gt;1-2; 2-3&gt;3</t>
        </is>
      </c>
    </row>
    <row r="158">
      <c r="A158" s="2" t="inlineStr">
        <is>
          <t>R042</t>
        </is>
      </c>
      <c r="B158" s="2" t="n">
        <v>5</v>
      </c>
      <c r="C158" s="2" t="inlineStr">
        <is>
          <t>ring closure</t>
        </is>
      </c>
      <c r="D158" s="2" t="inlineStr">
        <is>
          <t>a lone pair on the second OH</t>
        </is>
      </c>
      <c r="E158" s="2" t="inlineStr">
        <is>
          <t>the oxocarbenium C</t>
        </is>
      </c>
      <c r="F158" s="2" t="inlineStr">
        <is>
          <t>C–O</t>
        </is>
      </c>
      <c r="G158" s="2" t="inlineStr">
        <is>
          <t>C=O⁺ (π)</t>
        </is>
      </c>
      <c r="H158" s="2" t="n"/>
      <c r="I158" s="2" t="n"/>
      <c r="J158" s="2" t="n"/>
      <c r="K158" s="2" t="n"/>
      <c r="L158" s="2">
        <f>IF(AND(ISNUMBER(I158),ISNUMBER(K158)),K158-I158,"")</f>
        <v/>
      </c>
      <c r="M158" s="4">
        <f>IF(ISNUMBER(L158),10^L158,"")</f>
        <v/>
      </c>
      <c r="N158" s="2">
        <f>IF(ISNUMBER(L158),IF(L158&gt;=0,"downhill (favoured)","uphill (small amount)"),"")</f>
        <v/>
      </c>
      <c r="O158" s="2" t="n"/>
      <c r="P158" s="2" t="n"/>
      <c r="Q158" s="3" t="inlineStr">
        <is>
          <t>C1CCC2(CC1)OCC[OH+]2</t>
        </is>
      </c>
      <c r="R158" s="2" t="inlineStr">
        <is>
          <t>5-Membered ring (fast, intramolecular).</t>
        </is>
      </c>
      <c r="S158" s="3" t="inlineStr">
        <is>
          <t>[OH:1]CC[O+:3]=[C:2]1CCCCC1</t>
        </is>
      </c>
      <c r="T158" s="3" t="inlineStr">
        <is>
          <t>1&gt;2; 2-3&gt;3</t>
        </is>
      </c>
    </row>
    <row r="159">
      <c r="A159" s="2" t="inlineStr">
        <is>
          <t>R042</t>
        </is>
      </c>
      <c r="B159" s="2" t="n">
        <v>6</v>
      </c>
      <c r="C159" s="2" t="inlineStr">
        <is>
          <t>deprotonation</t>
        </is>
      </c>
      <c r="D159" s="2" t="inlineStr">
        <is>
          <t>a lone pair on TsO⁻ (or water)</t>
        </is>
      </c>
      <c r="E159" s="2" t="inlineStr">
        <is>
          <t>the H on the O⁺</t>
        </is>
      </c>
      <c r="F159" s="2" t="inlineStr">
        <is>
          <t>O–H</t>
        </is>
      </c>
      <c r="G159" s="2" t="inlineStr">
        <is>
          <t>O–H</t>
        </is>
      </c>
      <c r="H159" s="2" t="inlineStr">
        <is>
          <t>the oxonium (R2OH⁺)</t>
        </is>
      </c>
      <c r="I159" s="2" t="n">
        <v>-3.5</v>
      </c>
      <c r="J159" s="2" t="inlineStr">
        <is>
          <t>TsOH</t>
        </is>
      </c>
      <c r="K159" s="2" t="n">
        <v>-2.8</v>
      </c>
      <c r="L159" s="2">
        <f>IF(AND(ISNUMBER(I159),ISNUMBER(K159)),K159-I159,"")</f>
        <v/>
      </c>
      <c r="M159" s="4">
        <f>IF(ISNUMBER(L159),10^L159,"")</f>
        <v/>
      </c>
      <c r="N159" s="2">
        <f>IF(ISNUMBER(L159),IF(L159&gt;=0,"downhill (favoured)","uphill (small amount)"),"")</f>
        <v/>
      </c>
      <c r="O159" s="2" t="n"/>
      <c r="P159" s="2" t="n"/>
      <c r="Q159" s="3" t="inlineStr">
        <is>
          <t>C1CCC2(CC1)OCCO2.Cc1ccc(S(=O)(=O)O)cc1</t>
        </is>
      </c>
      <c r="R159" s="2" t="inlineStr">
        <is>
          <t>Ketal; TsOH is regenerated.</t>
        </is>
      </c>
      <c r="S159" s="3" t="inlineStr">
        <is>
          <t>C1CCC2(CC1)OCC[O+:1]2[H:2].Cc1ccc(S(=O)(=O)[O-:3])cc1</t>
        </is>
      </c>
      <c r="T159" s="3" t="inlineStr">
        <is>
          <t>3&gt;2; 2-1&gt;1</t>
        </is>
      </c>
    </row>
    <row r="160">
      <c r="A160" s="2" t="inlineStr">
        <is>
          <t>R043</t>
        </is>
      </c>
      <c r="B160" s="2" t="n">
        <v>1</v>
      </c>
      <c r="C160" s="2" t="inlineStr">
        <is>
          <t>N adds to C=O</t>
        </is>
      </c>
      <c r="D160" s="2" t="inlineStr">
        <is>
          <t>the lone pair on aniline's N</t>
        </is>
      </c>
      <c r="E160" s="2" t="inlineStr">
        <is>
          <t>the carbonyl C; the C=O π electrons go to O</t>
        </is>
      </c>
      <c r="F160" s="2" t="inlineStr">
        <is>
          <t>C–N</t>
        </is>
      </c>
      <c r="G160" s="2" t="inlineStr">
        <is>
          <t>C=O (π)</t>
        </is>
      </c>
      <c r="H160" s="2" t="n"/>
      <c r="I160" s="2" t="n"/>
      <c r="J160" s="2" t="n"/>
      <c r="K160" s="2" t="n"/>
      <c r="L160" s="2">
        <f>IF(AND(ISNUMBER(I160),ISNUMBER(K160)),K160-I160,"")</f>
        <v/>
      </c>
      <c r="M160" s="4">
        <f>IF(ISNUMBER(L160),10^L160,"")</f>
        <v/>
      </c>
      <c r="N160" s="2">
        <f>IF(ISNUMBER(L160),IF(L160&gt;=0,"downhill (favoured)","uphill (small amount)"),"")</f>
        <v/>
      </c>
      <c r="O160" s="2" t="n"/>
      <c r="P160" s="2" t="n"/>
      <c r="Q160" s="3" t="inlineStr">
        <is>
          <t>[O-]C([NH2+]c1ccccc1)c1ccccc1</t>
        </is>
      </c>
      <c r="R160" s="2" t="inlineStr">
        <is>
          <t>Zwitterion.</t>
        </is>
      </c>
      <c r="S160" s="3" t="inlineStr">
        <is>
          <t>[O:1]=[CH:2]c1ccccc1.[NH2:3]c1ccccc1</t>
        </is>
      </c>
      <c r="T160" s="3" t="inlineStr">
        <is>
          <t>3&gt;2; 2-1&gt;1</t>
        </is>
      </c>
    </row>
    <row r="161">
      <c r="A161" s="2" t="inlineStr">
        <is>
          <t>R043</t>
        </is>
      </c>
      <c r="B161" s="2" t="n">
        <v>2</v>
      </c>
      <c r="C161" s="2" t="inlineStr">
        <is>
          <t>proton transfer</t>
        </is>
      </c>
      <c r="D161" s="2" t="inlineStr">
        <is>
          <t>the alkoxide O</t>
        </is>
      </c>
      <c r="E161" s="2" t="inlineStr">
        <is>
          <t>an H on the N⁺</t>
        </is>
      </c>
      <c r="F161" s="2" t="inlineStr">
        <is>
          <t>O–H</t>
        </is>
      </c>
      <c r="G161" s="2" t="inlineStr">
        <is>
          <t>N–H</t>
        </is>
      </c>
      <c r="H161" s="2" t="inlineStr">
        <is>
          <t>the N–H⁺ (ArNH2⁺R)</t>
        </is>
      </c>
      <c r="I161" s="2" t="n">
        <v>4.6</v>
      </c>
      <c r="J161" s="2" t="inlineStr">
        <is>
          <t>the alcohol O–H</t>
        </is>
      </c>
      <c r="K161" s="2" t="n">
        <v>16</v>
      </c>
      <c r="L161" s="2">
        <f>IF(AND(ISNUMBER(I161),ISNUMBER(K161)),K161-I161,"")</f>
        <v/>
      </c>
      <c r="M161" s="4">
        <f>IF(ISNUMBER(L161),10^L161,"")</f>
        <v/>
      </c>
      <c r="N161" s="2">
        <f>IF(ISNUMBER(L161),IF(L161&gt;=0,"downhill (favoured)","uphill (small amount)"),"")</f>
        <v/>
      </c>
      <c r="O161" s="2" t="n"/>
      <c r="P161" s="2" t="n"/>
      <c r="Q161" s="3" t="inlineStr">
        <is>
          <t>OC(Nc1ccccc1)c1ccccc1</t>
        </is>
      </c>
      <c r="R161" s="2" t="inlineStr">
        <is>
          <t>Carbinolamine.</t>
        </is>
      </c>
      <c r="S161" s="3" t="inlineStr">
        <is>
          <t>[O-:1]C([NH+:2]([H:3])c1ccccc1)c1ccccc1</t>
        </is>
      </c>
      <c r="T161" s="3" t="inlineStr">
        <is>
          <t>1&gt;3; 3-2&gt;2</t>
        </is>
      </c>
    </row>
    <row r="162">
      <c r="A162" s="2" t="inlineStr">
        <is>
          <t>R043</t>
        </is>
      </c>
      <c r="B162" s="2" t="n">
        <v>3</v>
      </c>
      <c r="C162" s="2" t="inlineStr">
        <is>
          <t>protonate the OH</t>
        </is>
      </c>
      <c r="D162" s="2" t="inlineStr">
        <is>
          <t>a lone pair on the OH oxygen</t>
        </is>
      </c>
      <c r="E162" s="2" t="inlineStr">
        <is>
          <t>the H of TsOH</t>
        </is>
      </c>
      <c r="F162" s="2" t="inlineStr">
        <is>
          <t>O–H</t>
        </is>
      </c>
      <c r="G162" s="2" t="inlineStr">
        <is>
          <t>O–H (TsOH)</t>
        </is>
      </c>
      <c r="H162" s="2" t="inlineStr">
        <is>
          <t>TsOH</t>
        </is>
      </c>
      <c r="I162" s="2" t="n">
        <v>-2.8</v>
      </c>
      <c r="J162" s="2" t="inlineStr">
        <is>
          <t>the protonated OH (R–OH2⁺)</t>
        </is>
      </c>
      <c r="K162" s="2" t="n">
        <v>-2</v>
      </c>
      <c r="L162" s="2">
        <f>IF(AND(ISNUMBER(I162),ISNUMBER(K162)),K162-I162,"")</f>
        <v/>
      </c>
      <c r="M162" s="4">
        <f>IF(ISNUMBER(L162),10^L162,"")</f>
        <v/>
      </c>
      <c r="N162" s="2">
        <f>IF(ISNUMBER(L162),IF(L162&gt;=0,"downhill (favoured)","uphill (small amount)"),"")</f>
        <v/>
      </c>
      <c r="O162" s="2" t="n"/>
      <c r="P162" s="2" t="n"/>
      <c r="Q162" s="3" t="inlineStr">
        <is>
          <t>[OH2+]C(Nc1ccccc1)c1ccccc1</t>
        </is>
      </c>
      <c r="R162" s="2" t="n"/>
      <c r="S162" s="3" t="inlineStr">
        <is>
          <t>[OH:1]C(Nc1ccccc1)c1ccccc1.[H:2][O:3]S(=O)(=O)c1ccc(C)cc1</t>
        </is>
      </c>
      <c r="T162" s="3" t="inlineStr">
        <is>
          <t>1&gt;2; 2-3&gt;3</t>
        </is>
      </c>
    </row>
    <row r="163">
      <c r="A163" s="2" t="inlineStr">
        <is>
          <t>R043</t>
        </is>
      </c>
      <c r="B163" s="2" t="n">
        <v>4</v>
      </c>
      <c r="C163" s="2" t="inlineStr">
        <is>
          <t>loss of water</t>
        </is>
      </c>
      <c r="D163" s="2" t="inlineStr">
        <is>
          <t>the N lone pair pushes in</t>
        </is>
      </c>
      <c r="E163" s="2" t="inlineStr">
        <is>
          <t>the C–OH2⁺ electrons go to O (water leaves)</t>
        </is>
      </c>
      <c r="F163" s="2" t="inlineStr">
        <is>
          <t>C=N⁺</t>
        </is>
      </c>
      <c r="G163" s="2" t="inlineStr">
        <is>
          <t>C–O</t>
        </is>
      </c>
      <c r="H163" s="2" t="n"/>
      <c r="I163" s="2" t="n"/>
      <c r="J163" s="2" t="n"/>
      <c r="K163" s="2" t="n"/>
      <c r="L163" s="2">
        <f>IF(AND(ISNUMBER(I163),ISNUMBER(K163)),K163-I163,"")</f>
        <v/>
      </c>
      <c r="M163" s="4">
        <f>IF(ISNUMBER(L163),10^L163,"")</f>
        <v/>
      </c>
      <c r="N163" s="2">
        <f>IF(ISNUMBER(L163),IF(L163&gt;=0,"downhill (favoured)","uphill (small amount)"),"")</f>
        <v/>
      </c>
      <c r="O163" s="2" t="inlineStr">
        <is>
          <t>water</t>
        </is>
      </c>
      <c r="P163" s="2" t="n">
        <v>-1.7</v>
      </c>
      <c r="Q163" s="3" t="inlineStr">
        <is>
          <t>C(=[NH+]c1ccccc1)c1ccccc1.O</t>
        </is>
      </c>
      <c r="R163" s="2" t="inlineStr">
        <is>
          <t>Iminium ion.</t>
        </is>
      </c>
      <c r="S163" s="3" t="inlineStr">
        <is>
          <t>[OH2+:1][CH:2]([NH:3]c1ccccc1)c1ccccc1</t>
        </is>
      </c>
      <c r="T163" s="3" t="inlineStr">
        <is>
          <t>3&gt;2-3; 2-1&gt;1</t>
        </is>
      </c>
    </row>
    <row r="164">
      <c r="A164" s="2" t="inlineStr">
        <is>
          <t>R043</t>
        </is>
      </c>
      <c r="B164" s="2" t="n">
        <v>5</v>
      </c>
      <c r="C164" s="2" t="inlineStr">
        <is>
          <t>deprotonation</t>
        </is>
      </c>
      <c r="D164" s="2" t="inlineStr">
        <is>
          <t>a lone pair on TsO⁻ (or water)</t>
        </is>
      </c>
      <c r="E164" s="2" t="inlineStr">
        <is>
          <t>the H on the N⁺</t>
        </is>
      </c>
      <c r="F164" s="2" t="inlineStr">
        <is>
          <t>O–H</t>
        </is>
      </c>
      <c r="G164" s="2" t="inlineStr">
        <is>
          <t>N–H</t>
        </is>
      </c>
      <c r="H164" s="2" t="n"/>
      <c r="I164" s="2" t="n"/>
      <c r="J164" s="2" t="n"/>
      <c r="K164" s="2" t="n"/>
      <c r="L164" s="2">
        <f>IF(AND(ISNUMBER(I164),ISNUMBER(K164)),K164-I164,"")</f>
        <v/>
      </c>
      <c r="M164" s="4">
        <f>IF(ISNUMBER(L164),10^L164,"")</f>
        <v/>
      </c>
      <c r="N164" s="2">
        <f>IF(ISNUMBER(L164),IF(L164&gt;=0,"downhill (favoured)","uphill (small amount)"),"")</f>
        <v/>
      </c>
      <c r="O164" s="2" t="n"/>
      <c r="P164" s="2" t="n"/>
      <c r="Q164" s="3" t="inlineStr">
        <is>
          <t>C(=Nc1ccccc1)c1ccccc1</t>
        </is>
      </c>
      <c r="R164" s="2" t="inlineStr">
        <is>
          <t>Imine; best near pH 4–5 (enough acid to lose water, not so much that the amine is all protonated).</t>
        </is>
      </c>
      <c r="S164" s="3" t="inlineStr">
        <is>
          <t>[CH:1](=[N+:2]([H:3])c1ccccc1)c1ccccc1.[OH2:4]</t>
        </is>
      </c>
      <c r="T164" s="3" t="inlineStr">
        <is>
          <t>4&gt;3; 3-2&gt;2</t>
        </is>
      </c>
    </row>
    <row r="165">
      <c r="A165" s="2" t="inlineStr">
        <is>
          <t>R044</t>
        </is>
      </c>
      <c r="B165" s="2" t="n">
        <v>1</v>
      </c>
      <c r="C165" s="2" t="inlineStr">
        <is>
          <t>N adds to C=O</t>
        </is>
      </c>
      <c r="D165" s="2" t="inlineStr">
        <is>
          <t>the lone pair on methylamine's N</t>
        </is>
      </c>
      <c r="E165" s="2" t="inlineStr">
        <is>
          <t>the carbonyl C; the C=O π electrons go to O</t>
        </is>
      </c>
      <c r="F165" s="2" t="inlineStr">
        <is>
          <t>C–N</t>
        </is>
      </c>
      <c r="G165" s="2" t="inlineStr">
        <is>
          <t>C=O (π)</t>
        </is>
      </c>
      <c r="H165" s="2" t="n"/>
      <c r="I165" s="2" t="n"/>
      <c r="J165" s="2" t="n"/>
      <c r="K165" s="2" t="n"/>
      <c r="L165" s="2">
        <f>IF(AND(ISNUMBER(I165),ISNUMBER(K165)),K165-I165,"")</f>
        <v/>
      </c>
      <c r="M165" s="4">
        <f>IF(ISNUMBER(L165),10^L165,"")</f>
        <v/>
      </c>
      <c r="N165" s="2">
        <f>IF(ISNUMBER(L165),IF(L165&gt;=0,"downhill (favoured)","uphill (small amount)"),"")</f>
        <v/>
      </c>
      <c r="O165" s="2" t="n"/>
      <c r="P165" s="2" t="n"/>
      <c r="Q165" s="3" t="inlineStr">
        <is>
          <t>C[NH2+]C1([O-])CCCCC1</t>
        </is>
      </c>
      <c r="R165" s="2" t="n"/>
      <c r="S165" s="3" t="inlineStr">
        <is>
          <t>[O:1]=[C:2]1CCCCC1.C[NH2:3]</t>
        </is>
      </c>
      <c r="T165" s="3" t="inlineStr">
        <is>
          <t>3&gt;2; 2-1&gt;1</t>
        </is>
      </c>
    </row>
    <row r="166">
      <c r="A166" s="2" t="inlineStr">
        <is>
          <t>R044</t>
        </is>
      </c>
      <c r="B166" s="2" t="n">
        <v>2</v>
      </c>
      <c r="C166" s="2" t="inlineStr">
        <is>
          <t>proton transfer</t>
        </is>
      </c>
      <c r="D166" s="2" t="inlineStr">
        <is>
          <t>the alkoxide O</t>
        </is>
      </c>
      <c r="E166" s="2" t="inlineStr">
        <is>
          <t>an H on the N⁺</t>
        </is>
      </c>
      <c r="F166" s="2" t="inlineStr">
        <is>
          <t>O–H</t>
        </is>
      </c>
      <c r="G166" s="2" t="inlineStr">
        <is>
          <t>N–H</t>
        </is>
      </c>
      <c r="H166" s="2" t="inlineStr">
        <is>
          <t>the ammonium N–H (R2NH2⁺)</t>
        </is>
      </c>
      <c r="I166" s="2" t="n">
        <v>10.6</v>
      </c>
      <c r="J166" s="2" t="inlineStr">
        <is>
          <t>the alcohol O–H</t>
        </is>
      </c>
      <c r="K166" s="2" t="n">
        <v>16</v>
      </c>
      <c r="L166" s="2">
        <f>IF(AND(ISNUMBER(I166),ISNUMBER(K166)),K166-I166,"")</f>
        <v/>
      </c>
      <c r="M166" s="4">
        <f>IF(ISNUMBER(L166),10^L166,"")</f>
        <v/>
      </c>
      <c r="N166" s="2">
        <f>IF(ISNUMBER(L166),IF(L166&gt;=0,"downhill (favoured)","uphill (small amount)"),"")</f>
        <v/>
      </c>
      <c r="O166" s="2" t="n"/>
      <c r="P166" s="2" t="n"/>
      <c r="Q166" s="3" t="inlineStr">
        <is>
          <t>CNC1(O)CCCCC1</t>
        </is>
      </c>
      <c r="R166" s="2" t="inlineStr">
        <is>
          <t>Carbinolamine.</t>
        </is>
      </c>
      <c r="S166" s="3" t="inlineStr">
        <is>
          <t>C[NH+:1]([H:2])C1([O-:3])CCCCC1</t>
        </is>
      </c>
      <c r="T166" s="3" t="inlineStr">
        <is>
          <t>3&gt;2; 2-1&gt;1</t>
        </is>
      </c>
    </row>
    <row r="167">
      <c r="A167" s="2" t="inlineStr">
        <is>
          <t>R044</t>
        </is>
      </c>
      <c r="B167" s="2" t="n">
        <v>3</v>
      </c>
      <c r="C167" s="2" t="inlineStr">
        <is>
          <t>loss of water (acid catalysed)</t>
        </is>
      </c>
      <c r="D167" s="2" t="inlineStr">
        <is>
          <t>the N lone pair pushes in</t>
        </is>
      </c>
      <c r="E167" s="2" t="inlineStr">
        <is>
          <t>the C–OH2⁺ electrons go to O (water leaves) after the OH is protonated</t>
        </is>
      </c>
      <c r="F167" s="2" t="inlineStr">
        <is>
          <t>C=N⁺</t>
        </is>
      </c>
      <c r="G167" s="2" t="inlineStr">
        <is>
          <t>C–O</t>
        </is>
      </c>
      <c r="H167" s="2" t="n"/>
      <c r="I167" s="2" t="n"/>
      <c r="J167" s="2" t="n"/>
      <c r="K167" s="2" t="n"/>
      <c r="L167" s="2">
        <f>IF(AND(ISNUMBER(I167),ISNUMBER(K167)),K167-I167,"")</f>
        <v/>
      </c>
      <c r="M167" s="4">
        <f>IF(ISNUMBER(L167),10^L167,"")</f>
        <v/>
      </c>
      <c r="N167" s="2">
        <f>IF(ISNUMBER(L167),IF(L167&gt;=0,"downhill (favoured)","uphill (small amount)"),"")</f>
        <v/>
      </c>
      <c r="O167" s="2" t="inlineStr">
        <is>
          <t>water</t>
        </is>
      </c>
      <c r="P167" s="2" t="n">
        <v>-1.7</v>
      </c>
      <c r="Q167" s="3" t="inlineStr">
        <is>
          <t>C[NH+]=C1CCCCC1.O</t>
        </is>
      </c>
      <c r="R167" s="2" t="inlineStr">
        <is>
          <t>Iminium ion.</t>
        </is>
      </c>
      <c r="S167" s="3" t="inlineStr">
        <is>
          <t>C[NH:1][C:2]1([OH2+:3])CCCCC1</t>
        </is>
      </c>
      <c r="T167" s="3" t="inlineStr">
        <is>
          <t>1&gt;1-2; 2-3&gt;3</t>
        </is>
      </c>
    </row>
    <row r="168">
      <c r="A168" s="2" t="inlineStr">
        <is>
          <t>R044</t>
        </is>
      </c>
      <c r="B168" s="2" t="n">
        <v>4</v>
      </c>
      <c r="C168" s="2" t="inlineStr">
        <is>
          <t>hydride addition</t>
        </is>
      </c>
      <c r="D168" s="2" t="inlineStr">
        <is>
          <t>a B–H bond's electrons (from BH3CN⁻)</t>
        </is>
      </c>
      <c r="E168" s="2" t="inlineStr">
        <is>
          <t>the iminium C; the C=N π electrons go to N</t>
        </is>
      </c>
      <c r="F168" s="2" t="inlineStr">
        <is>
          <t>C–H</t>
        </is>
      </c>
      <c r="G168" s="2" t="inlineStr">
        <is>
          <t>C=N (π)</t>
        </is>
      </c>
      <c r="H168" s="2" t="n"/>
      <c r="I168" s="2" t="n"/>
      <c r="J168" s="2" t="n"/>
      <c r="K168" s="2" t="n"/>
      <c r="L168" s="2">
        <f>IF(AND(ISNUMBER(I168),ISNUMBER(K168)),K168-I168,"")</f>
        <v/>
      </c>
      <c r="M168" s="4">
        <f>IF(ISNUMBER(L168),10^L168,"")</f>
        <v/>
      </c>
      <c r="N168" s="2">
        <f>IF(ISNUMBER(L168),IF(L168&gt;=0,"downhill (favoured)","uphill (small amount)"),"")</f>
        <v/>
      </c>
      <c r="O168" s="2" t="n"/>
      <c r="P168" s="2" t="n"/>
      <c r="Q168" s="3" t="inlineStr">
        <is>
          <t>CNC1CCCCC1.BC#N</t>
        </is>
      </c>
      <c r="R168" s="2" t="inlineStr">
        <is>
          <t>BH3CN⁻ is too weak to reduce the ketone, but reduces the more electrophilic iminium ion. The C=N electrons return to N, which is then neutral: N-methylcyclohexylamine.</t>
        </is>
      </c>
      <c r="S168" s="3" t="inlineStr">
        <is>
          <t>C[NH+:1]=[C:2]1CCCCC1.[H:3][BH2-:4]C#N</t>
        </is>
      </c>
      <c r="T168" s="3" t="inlineStr">
        <is>
          <t>3-4&gt;2-3; 2-1&gt;1</t>
        </is>
      </c>
    </row>
    <row r="169">
      <c r="A169" s="2" t="inlineStr">
        <is>
          <t>R045</t>
        </is>
      </c>
      <c r="B169" s="2" t="n">
        <v>1</v>
      </c>
      <c r="C169" s="2" t="inlineStr">
        <is>
          <t>enolate formation (proton transfer)</t>
        </is>
      </c>
      <c r="D169" s="2" t="inlineStr">
        <is>
          <t>a lone pair on HO⁻</t>
        </is>
      </c>
      <c r="E169" s="2" t="inlineStr">
        <is>
          <t>an α H of acetone; the C–H electrons go to the C=C (enolate)</t>
        </is>
      </c>
      <c r="F169" s="2" t="inlineStr">
        <is>
          <t>O–H</t>
        </is>
      </c>
      <c r="G169" s="2" t="inlineStr">
        <is>
          <t>C–H (α)</t>
        </is>
      </c>
      <c r="H169" s="2" t="inlineStr">
        <is>
          <t>acetone (α C–H)</t>
        </is>
      </c>
      <c r="I169" s="2" t="n">
        <v>19.3</v>
      </c>
      <c r="J169" s="2" t="inlineStr">
        <is>
          <t>water</t>
        </is>
      </c>
      <c r="K169" s="2" t="n">
        <v>15.7</v>
      </c>
      <c r="L169" s="2">
        <f>IF(AND(ISNUMBER(I169),ISNUMBER(K169)),K169-I169,"")</f>
        <v/>
      </c>
      <c r="M169" s="4">
        <f>IF(ISNUMBER(L169),10^L169,"")</f>
        <v/>
      </c>
      <c r="N169" s="2">
        <f>IF(ISNUMBER(L169),IF(L169&gt;=0,"downhill (favoured)","uphill (small amount)"),"")</f>
        <v/>
      </c>
      <c r="O169" s="2" t="n"/>
      <c r="P169" s="2" t="n"/>
      <c r="Q169" s="3" t="inlineStr">
        <is>
          <t>C=C(C)[O-].O</t>
        </is>
      </c>
      <c r="R169" s="2" t="inlineStr">
        <is>
          <t>Uphill: only a small amount of enolate at any moment, enough to react.</t>
        </is>
      </c>
      <c r="S169" s="3" t="inlineStr">
        <is>
          <t>[OH-:1].[H:2][CH2:3][C:4](C)=[O:5]</t>
        </is>
      </c>
      <c r="T169" s="3" t="inlineStr">
        <is>
          <t>1&gt;2; 2-3&gt;3-4; 4-5&gt;5</t>
        </is>
      </c>
    </row>
    <row r="170">
      <c r="A170" s="2" t="inlineStr">
        <is>
          <t>R045</t>
        </is>
      </c>
      <c r="B170" s="2" t="n">
        <v>2</v>
      </c>
      <c r="C170" s="2" t="inlineStr">
        <is>
          <t>enolate adds to the aldehyde</t>
        </is>
      </c>
      <c r="D170" s="2" t="inlineStr">
        <is>
          <t>the enolate C=C π electrons (pushed by O⁻)</t>
        </is>
      </c>
      <c r="E170" s="2" t="inlineStr">
        <is>
          <t>benzaldehyde's carbonyl C; its C=O π electrons go to O</t>
        </is>
      </c>
      <c r="F170" s="2" t="inlineStr">
        <is>
          <t>C–C</t>
        </is>
      </c>
      <c r="G170" s="2" t="inlineStr">
        <is>
          <t>C=O (π)</t>
        </is>
      </c>
      <c r="H170" s="2" t="n"/>
      <c r="I170" s="2" t="n"/>
      <c r="J170" s="2" t="n"/>
      <c r="K170" s="2" t="n"/>
      <c r="L170" s="2">
        <f>IF(AND(ISNUMBER(I170),ISNUMBER(K170)),K170-I170,"")</f>
        <v/>
      </c>
      <c r="M170" s="4">
        <f>IF(ISNUMBER(L170),10^L170,"")</f>
        <v/>
      </c>
      <c r="N170" s="2">
        <f>IF(ISNUMBER(L170),IF(L170&gt;=0,"downhill (favoured)","uphill (small amount)"),"")</f>
        <v/>
      </c>
      <c r="O170" s="2" t="n"/>
      <c r="P170" s="2" t="n"/>
      <c r="Q170" s="3" t="inlineStr">
        <is>
          <t>CC(=O)CC([O-])c1ccccc1</t>
        </is>
      </c>
      <c r="R170" s="2" t="inlineStr">
        <is>
          <t>The aldol addition step.</t>
        </is>
      </c>
      <c r="S170" s="3" t="inlineStr">
        <is>
          <t>[CH2:1]=[C:2](C)[O-:3].[O:4]=[CH:5]c1ccccc1</t>
        </is>
      </c>
      <c r="T170" s="3" t="inlineStr">
        <is>
          <t>3&gt;2-3; 1-2&gt;1-5; 5-4&gt;4</t>
        </is>
      </c>
    </row>
    <row r="171">
      <c r="A171" s="2" t="inlineStr">
        <is>
          <t>R045</t>
        </is>
      </c>
      <c r="B171" s="2" t="n">
        <v>3</v>
      </c>
      <c r="C171" s="2" t="inlineStr">
        <is>
          <t>proton transfer</t>
        </is>
      </c>
      <c r="D171" s="2" t="inlineStr">
        <is>
          <t>a lone pair on the alkoxide O</t>
        </is>
      </c>
      <c r="E171" s="2" t="inlineStr">
        <is>
          <t>an H of water</t>
        </is>
      </c>
      <c r="F171" s="2" t="inlineStr">
        <is>
          <t>O–H</t>
        </is>
      </c>
      <c r="G171" s="2" t="inlineStr">
        <is>
          <t>O–H (water)</t>
        </is>
      </c>
      <c r="H171" s="2" t="inlineStr">
        <is>
          <t>water</t>
        </is>
      </c>
      <c r="I171" s="2" t="n">
        <v>15.7</v>
      </c>
      <c r="J171" s="2" t="inlineStr">
        <is>
          <t>the alcohol O–H</t>
        </is>
      </c>
      <c r="K171" s="2" t="n">
        <v>16</v>
      </c>
      <c r="L171" s="2">
        <f>IF(AND(ISNUMBER(I171),ISNUMBER(K171)),K171-I171,"")</f>
        <v/>
      </c>
      <c r="M171" s="4">
        <f>IF(ISNUMBER(L171),10^L171,"")</f>
        <v/>
      </c>
      <c r="N171" s="2">
        <f>IF(ISNUMBER(L171),IF(L171&gt;=0,"downhill (favoured)","uphill (small amount)"),"")</f>
        <v/>
      </c>
      <c r="O171" s="2" t="n"/>
      <c r="P171" s="2" t="n"/>
      <c r="Q171" s="3" t="inlineStr">
        <is>
          <t>CC(=O)CC(O)c1ccccc1.[OH-]</t>
        </is>
      </c>
      <c r="R171" s="2" t="inlineStr">
        <is>
          <t>β-Hydroxy ketone (the aldol).</t>
        </is>
      </c>
      <c r="S171" s="3" t="inlineStr">
        <is>
          <t>CC(=O)CC([O-:1])c1ccccc1.[H:2][OH:3]</t>
        </is>
      </c>
      <c r="T171" s="3" t="inlineStr">
        <is>
          <t>1&gt;2; 2-3&gt;3</t>
        </is>
      </c>
    </row>
    <row r="172">
      <c r="A172" s="2" t="inlineStr">
        <is>
          <t>R045</t>
        </is>
      </c>
      <c r="B172" s="2" t="n">
        <v>4</v>
      </c>
      <c r="C172" s="2" t="inlineStr">
        <is>
          <t>second enolate (E1cB, step 1)</t>
        </is>
      </c>
      <c r="D172" s="2" t="inlineStr">
        <is>
          <t>a lone pair on HO⁻</t>
        </is>
      </c>
      <c r="E172" s="2" t="inlineStr">
        <is>
          <t>the α H between C=O and C–OH</t>
        </is>
      </c>
      <c r="F172" s="2" t="inlineStr">
        <is>
          <t>O–H</t>
        </is>
      </c>
      <c r="G172" s="2" t="inlineStr">
        <is>
          <t>C–H (α)</t>
        </is>
      </c>
      <c r="H172" s="2" t="inlineStr">
        <is>
          <t>the aldol (α C–H)</t>
        </is>
      </c>
      <c r="I172" s="2" t="n">
        <v>19</v>
      </c>
      <c r="J172" s="2" t="inlineStr">
        <is>
          <t>water</t>
        </is>
      </c>
      <c r="K172" s="2" t="n">
        <v>15.7</v>
      </c>
      <c r="L172" s="2">
        <f>IF(AND(ISNUMBER(I172),ISNUMBER(K172)),K172-I172,"")</f>
        <v/>
      </c>
      <c r="M172" s="4">
        <f>IF(ISNUMBER(L172),10^L172,"")</f>
        <v/>
      </c>
      <c r="N172" s="2">
        <f>IF(ISNUMBER(L172),IF(L172&gt;=0,"downhill (favoured)","uphill (small amount)"),"")</f>
        <v/>
      </c>
      <c r="O172" s="2" t="n"/>
      <c r="P172" s="2" t="n"/>
      <c r="Q172" s="3" t="inlineStr">
        <is>
          <t>CC([O-])=CC(O)c1ccccc1</t>
        </is>
      </c>
      <c r="R172" s="2" t="n"/>
      <c r="S172" s="3" t="inlineStr">
        <is>
          <t>C[C:4](=[O:5])[CH:1]([H:2])C(O)c1ccccc1.[OH-:3]</t>
        </is>
      </c>
      <c r="T172" s="3" t="inlineStr">
        <is>
          <t>3&gt;2; 2-1&gt;1-4; 4-5&gt;5</t>
        </is>
      </c>
    </row>
    <row r="173">
      <c r="A173" s="2" t="inlineStr">
        <is>
          <t>R045</t>
        </is>
      </c>
      <c r="B173" s="2" t="n">
        <v>5</v>
      </c>
      <c r="C173" s="2" t="inlineStr">
        <is>
          <t>loss of hydroxide (E1cB, step 2)</t>
        </is>
      </c>
      <c r="D173" s="2" t="inlineStr">
        <is>
          <t>the O⁻ lone pair reforms C=O; the C=C electrons move</t>
        </is>
      </c>
      <c r="E173" s="2" t="inlineStr">
        <is>
          <t>the C–OH bond's electrons go to O (HO⁻ leaves)</t>
        </is>
      </c>
      <c r="F173" s="2" t="inlineStr">
        <is>
          <t>C=C</t>
        </is>
      </c>
      <c r="G173" s="2" t="inlineStr">
        <is>
          <t>C–OH</t>
        </is>
      </c>
      <c r="H173" s="2" t="n"/>
      <c r="I173" s="2" t="n"/>
      <c r="J173" s="2" t="n"/>
      <c r="K173" s="2" t="n"/>
      <c r="L173" s="2">
        <f>IF(AND(ISNUMBER(I173),ISNUMBER(K173)),K173-I173,"")</f>
        <v/>
      </c>
      <c r="M173" s="4">
        <f>IF(ISNUMBER(L173),10^L173,"")</f>
        <v/>
      </c>
      <c r="N173" s="2">
        <f>IF(ISNUMBER(L173),IF(L173&gt;=0,"downhill (favoured)","uphill (small amount)"),"")</f>
        <v/>
      </c>
      <c r="O173" s="2" t="inlineStr">
        <is>
          <t>hydroxide</t>
        </is>
      </c>
      <c r="P173" s="2" t="n">
        <v>15.7</v>
      </c>
      <c r="Q173" s="3" t="inlineStr">
        <is>
          <t>CC(=O)C=Cc1ccccc1.[OH-]</t>
        </is>
      </c>
      <c r="R173" s="2" t="inlineStr">
        <is>
          <t>HO⁻ is a poor leaving group, but the conjugated enone (with the ring) is very stable: the E isomer.</t>
        </is>
      </c>
      <c r="S173" s="3" t="inlineStr">
        <is>
          <t>C[C:1]([O-:2])=[CH:3][CH:4]([OH:5])c1ccccc1</t>
        </is>
      </c>
      <c r="T173" s="3" t="inlineStr">
        <is>
          <t>2&gt;1-2; 1-3&gt;3-4; 4-5&gt;5</t>
        </is>
      </c>
    </row>
    <row r="174">
      <c r="A174" s="2" t="inlineStr">
        <is>
          <t>R046</t>
        </is>
      </c>
      <c r="B174" s="2" t="n">
        <v>1</v>
      </c>
      <c r="C174" s="2" t="inlineStr">
        <is>
          <t>peracid adds to C=O</t>
        </is>
      </c>
      <c r="D174" s="2" t="inlineStr">
        <is>
          <t>a lone pair on the peracid's OH oxygen</t>
        </is>
      </c>
      <c r="E174" s="2" t="inlineStr">
        <is>
          <t>the carbonyl C; the C=O π electrons go to O (then H moves)</t>
        </is>
      </c>
      <c r="F174" s="2" t="inlineStr">
        <is>
          <t>C–O</t>
        </is>
      </c>
      <c r="G174" s="2" t="inlineStr">
        <is>
          <t>C=O (π)</t>
        </is>
      </c>
      <c r="H174" s="2" t="n"/>
      <c r="I174" s="2" t="n"/>
      <c r="J174" s="2" t="n"/>
      <c r="K174" s="2" t="n"/>
      <c r="L174" s="2">
        <f>IF(AND(ISNUMBER(I174),ISNUMBER(K174)),K174-I174,"")</f>
        <v/>
      </c>
      <c r="M174" s="4">
        <f>IF(ISNUMBER(L174),10^L174,"")</f>
        <v/>
      </c>
      <c r="N174" s="2">
        <f>IF(ISNUMBER(L174),IF(L174&gt;=0,"downhill (favoured)","uphill (small amount)"),"")</f>
        <v/>
      </c>
      <c r="O174" s="2" t="n"/>
      <c r="P174" s="2" t="n"/>
      <c r="Q174" s="3" t="inlineStr">
        <is>
          <t>O=C(OOC1(O)CCCCC1)c1cccc(Cl)c1</t>
        </is>
      </c>
      <c r="R174" s="2" t="inlineStr">
        <is>
          <t>Criegee intermediate.</t>
        </is>
      </c>
      <c r="S174" s="3" t="inlineStr">
        <is>
          <t>[O:1]=[C:2]1CCCCC1.O=C(O[O:3][H:4])c1cccc(Cl)c1</t>
        </is>
      </c>
      <c r="T174" s="3" t="inlineStr">
        <is>
          <t>3&gt;2; 2-1&gt;1; 1&gt;4; 4-3&gt;3</t>
        </is>
      </c>
    </row>
    <row r="175">
      <c r="A175" s="2" t="inlineStr">
        <is>
          <t>R046</t>
        </is>
      </c>
      <c r="B175" s="2" t="n">
        <v>2</v>
      </c>
      <c r="C175" s="2" t="inlineStr">
        <is>
          <t>migration (C → O)</t>
        </is>
      </c>
      <c r="D175" s="2" t="inlineStr">
        <is>
          <t>a ring C–C bond's electrons</t>
        </is>
      </c>
      <c r="E175" s="2" t="inlineStr">
        <is>
          <t>the near O of the O–O bond; the O–O electrons go to the carboxylate</t>
        </is>
      </c>
      <c r="F175" s="2" t="inlineStr">
        <is>
          <t>C–O (ring)</t>
        </is>
      </c>
      <c r="G175" s="2" t="inlineStr">
        <is>
          <t>C–C; O–O</t>
        </is>
      </c>
      <c r="H175" s="2" t="n"/>
      <c r="I175" s="2" t="n"/>
      <c r="J175" s="2" t="n"/>
      <c r="K175" s="2" t="n"/>
      <c r="L175" s="2">
        <f>IF(AND(ISNUMBER(I175),ISNUMBER(K175)),K175-I175,"")</f>
        <v/>
      </c>
      <c r="M175" s="4">
        <f>IF(ISNUMBER(L175),10^L175,"")</f>
        <v/>
      </c>
      <c r="N175" s="2">
        <f>IF(ISNUMBER(L175),IF(L175&gt;=0,"downhill (favoured)","uphill (small amount)"),"")</f>
        <v/>
      </c>
      <c r="O175" s="2" t="inlineStr">
        <is>
          <t>3-chlorobenzoate</t>
        </is>
      </c>
      <c r="P175" s="2" t="n">
        <v>3.8</v>
      </c>
      <c r="Q175" s="3" t="inlineStr">
        <is>
          <t>[OH+]=C1CCCCCO1.O=C([O-])c1cccc(Cl)c1</t>
        </is>
      </c>
      <c r="R175" s="2" t="inlineStr">
        <is>
          <t>The group that migrates keeps its configuration; more substituted groups migrate best.</t>
        </is>
      </c>
      <c r="S175" s="3" t="inlineStr">
        <is>
          <t>O=C([O:4][O:3][C:1]1([OH:2])CCCC[CH2:5]1)c1cccc(Cl)c1</t>
        </is>
      </c>
      <c r="T175" s="3" t="inlineStr">
        <is>
          <t>2&gt;1-2; 1-5&gt;3-5; 3-4&gt;4</t>
        </is>
      </c>
    </row>
    <row r="176">
      <c r="A176" s="2" t="inlineStr">
        <is>
          <t>R046</t>
        </is>
      </c>
      <c r="B176" s="2" t="n">
        <v>3</v>
      </c>
      <c r="C176" s="2" t="inlineStr">
        <is>
          <t>proton transfer</t>
        </is>
      </c>
      <c r="D176" s="2" t="inlineStr">
        <is>
          <t>a lone pair on the carboxylate O</t>
        </is>
      </c>
      <c r="E176" s="2" t="inlineStr">
        <is>
          <t>the H on the lactone's O⁺</t>
        </is>
      </c>
      <c r="F176" s="2" t="inlineStr">
        <is>
          <t>O–H</t>
        </is>
      </c>
      <c r="G176" s="2" t="inlineStr">
        <is>
          <t>O–H</t>
        </is>
      </c>
      <c r="H176" s="2" t="inlineStr">
        <is>
          <t>the protonated lactone</t>
        </is>
      </c>
      <c r="I176" s="2" t="n">
        <v>-6.5</v>
      </c>
      <c r="J176" s="2" t="inlineStr">
        <is>
          <t>3-chlorobenzoic acid</t>
        </is>
      </c>
      <c r="K176" s="2" t="n">
        <v>3.8</v>
      </c>
      <c r="L176" s="2">
        <f>IF(AND(ISNUMBER(I176),ISNUMBER(K176)),K176-I176,"")</f>
        <v/>
      </c>
      <c r="M176" s="4">
        <f>IF(ISNUMBER(L176),10^L176,"")</f>
        <v/>
      </c>
      <c r="N176" s="2">
        <f>IF(ISNUMBER(L176),IF(L176&gt;=0,"downhill (favoured)","uphill (small amount)"),"")</f>
        <v/>
      </c>
      <c r="O176" s="2" t="n"/>
      <c r="P176" s="2" t="n"/>
      <c r="Q176" s="3" t="inlineStr">
        <is>
          <t>O=C1CCCCCO1.O=C(O)c1cccc(Cl)c1</t>
        </is>
      </c>
      <c r="R176" s="2" t="inlineStr">
        <is>
          <t>ε-Caprolactone.</t>
        </is>
      </c>
      <c r="S176" s="3" t="inlineStr">
        <is>
          <t>[O+:1]([H:2])=C1CCCCCO1.O=C([O-:3])c1cccc(Cl)c1</t>
        </is>
      </c>
      <c r="T176" s="3" t="inlineStr">
        <is>
          <t>3&gt;2; 2-1&gt;1</t>
        </is>
      </c>
    </row>
    <row r="177">
      <c r="A177" s="2" t="inlineStr">
        <is>
          <t>R047</t>
        </is>
      </c>
      <c r="B177" s="2" t="n">
        <v>1</v>
      </c>
      <c r="C177" s="2" t="inlineStr">
        <is>
          <t>hydroxide adds</t>
        </is>
      </c>
      <c r="D177" s="2" t="inlineStr">
        <is>
          <t>a lone pair on HO⁻</t>
        </is>
      </c>
      <c r="E177" s="2" t="inlineStr">
        <is>
          <t>the ester C=O carbon; the π electrons go to O</t>
        </is>
      </c>
      <c r="F177" s="2" t="inlineStr">
        <is>
          <t>C–O</t>
        </is>
      </c>
      <c r="G177" s="2" t="inlineStr">
        <is>
          <t>C=O (π)</t>
        </is>
      </c>
      <c r="H177" s="2" t="n"/>
      <c r="I177" s="2" t="n"/>
      <c r="J177" s="2" t="n"/>
      <c r="K177" s="2" t="n"/>
      <c r="L177" s="2">
        <f>IF(AND(ISNUMBER(I177),ISNUMBER(K177)),K177-I177,"")</f>
        <v/>
      </c>
      <c r="M177" s="4">
        <f>IF(ISNUMBER(L177),10^L177,"")</f>
        <v/>
      </c>
      <c r="N177" s="2">
        <f>IF(ISNUMBER(L177),IF(L177&gt;=0,"downhill (favoured)","uphill (small amount)"),"")</f>
        <v/>
      </c>
      <c r="O177" s="2" t="n"/>
      <c r="P177" s="2" t="n"/>
      <c r="Q177" s="3" t="inlineStr">
        <is>
          <t>CCOC([O-])(O)c1ccccc1</t>
        </is>
      </c>
      <c r="R177" s="2" t="inlineStr">
        <is>
          <t>Tetrahedral intermediate.</t>
        </is>
      </c>
      <c r="S177" s="3" t="inlineStr">
        <is>
          <t>CCO[C:1](=[O:2])c1ccccc1.[OH-:3]</t>
        </is>
      </c>
      <c r="T177" s="3" t="inlineStr">
        <is>
          <t>3&gt;1; 1-2&gt;2</t>
        </is>
      </c>
    </row>
    <row r="178">
      <c r="A178" s="2" t="inlineStr">
        <is>
          <t>R047</t>
        </is>
      </c>
      <c r="B178" s="2" t="n">
        <v>2</v>
      </c>
      <c r="C178" s="2" t="inlineStr">
        <is>
          <t>collapse (ethoxide leaves)</t>
        </is>
      </c>
      <c r="D178" s="2" t="inlineStr">
        <is>
          <t>the O⁻ lone pair reforms C=O</t>
        </is>
      </c>
      <c r="E178" s="2" t="inlineStr">
        <is>
          <t>the C–OEt electrons go to O (EtO⁻ leaves)</t>
        </is>
      </c>
      <c r="F178" s="2" t="inlineStr">
        <is>
          <t>C=O</t>
        </is>
      </c>
      <c r="G178" s="2" t="inlineStr">
        <is>
          <t>C–OEt</t>
        </is>
      </c>
      <c r="H178" s="2" t="n"/>
      <c r="I178" s="2" t="n"/>
      <c r="J178" s="2" t="n"/>
      <c r="K178" s="2" t="n"/>
      <c r="L178" s="2">
        <f>IF(AND(ISNUMBER(I178),ISNUMBER(K178)),K178-I178,"")</f>
        <v/>
      </c>
      <c r="M178" s="4">
        <f>IF(ISNUMBER(L178),10^L178,"")</f>
        <v/>
      </c>
      <c r="N178" s="2">
        <f>IF(ISNUMBER(L178),IF(L178&gt;=0,"downhill (favoured)","uphill (small amount)"),"")</f>
        <v/>
      </c>
      <c r="O178" s="2" t="inlineStr">
        <is>
          <t>ethoxide</t>
        </is>
      </c>
      <c r="P178" s="2" t="n">
        <v>16</v>
      </c>
      <c r="Q178" s="3" t="inlineStr">
        <is>
          <t>O=C(O)c1ccccc1.CC[O-]</t>
        </is>
      </c>
      <c r="R178" s="2" t="n"/>
      <c r="S178" s="3" t="inlineStr">
        <is>
          <t>CC[O:1][C:2]([O-:3])(O)c1ccccc1</t>
        </is>
      </c>
      <c r="T178" s="3" t="inlineStr">
        <is>
          <t>3&gt;2-3; 2-1&gt;1</t>
        </is>
      </c>
    </row>
    <row r="179">
      <c r="A179" s="2" t="inlineStr">
        <is>
          <t>R047</t>
        </is>
      </c>
      <c r="B179" s="2" t="n">
        <v>3</v>
      </c>
      <c r="C179" s="2" t="inlineStr">
        <is>
          <t>proton transfer</t>
        </is>
      </c>
      <c r="D179" s="2" t="inlineStr">
        <is>
          <t>a lone pair on EtO⁻</t>
        </is>
      </c>
      <c r="E179" s="2" t="inlineStr">
        <is>
          <t>the acid's O–H</t>
        </is>
      </c>
      <c r="F179" s="2" t="inlineStr">
        <is>
          <t>O–H</t>
        </is>
      </c>
      <c r="G179" s="2" t="inlineStr">
        <is>
          <t>O–H</t>
        </is>
      </c>
      <c r="H179" s="2" t="inlineStr">
        <is>
          <t>benzoic acid</t>
        </is>
      </c>
      <c r="I179" s="2" t="n">
        <v>4.2</v>
      </c>
      <c r="J179" s="2" t="inlineStr">
        <is>
          <t>ethanol</t>
        </is>
      </c>
      <c r="K179" s="2" t="n">
        <v>16</v>
      </c>
      <c r="L179" s="2">
        <f>IF(AND(ISNUMBER(I179),ISNUMBER(K179)),K179-I179,"")</f>
        <v/>
      </c>
      <c r="M179" s="4">
        <f>IF(ISNUMBER(L179),10^L179,"")</f>
        <v/>
      </c>
      <c r="N179" s="2">
        <f>IF(ISNUMBER(L179),IF(L179&gt;=0,"downhill (favoured)","uphill (small amount)"),"")</f>
        <v/>
      </c>
      <c r="O179" s="2" t="n"/>
      <c r="P179" s="2" t="n"/>
      <c r="Q179" s="3" t="inlineStr">
        <is>
          <t>O=C([O-])c1ccccc1.CCO</t>
        </is>
      </c>
      <c r="R179" s="2" t="inlineStr">
        <is>
          <t>Very favourable: this makes saponification irreversible.</t>
        </is>
      </c>
      <c r="S179" s="3" t="inlineStr">
        <is>
          <t>O=C([O:1][H:2])c1ccccc1.CC[O-:3]</t>
        </is>
      </c>
      <c r="T179" s="3" t="inlineStr">
        <is>
          <t>3&gt;2; 2-1&gt;1</t>
        </is>
      </c>
    </row>
    <row r="180">
      <c r="A180" s="2" t="inlineStr">
        <is>
          <t>R047</t>
        </is>
      </c>
      <c r="B180" s="2" t="n">
        <v>4</v>
      </c>
      <c r="C180" s="2" t="inlineStr">
        <is>
          <t>acid work-up (proton transfer)</t>
        </is>
      </c>
      <c r="D180" s="2" t="inlineStr">
        <is>
          <t>a lone pair on the carboxylate O</t>
        </is>
      </c>
      <c r="E180" s="2" t="inlineStr">
        <is>
          <t>an H of H3O⁺</t>
        </is>
      </c>
      <c r="F180" s="2" t="inlineStr">
        <is>
          <t>O–H</t>
        </is>
      </c>
      <c r="G180" s="2" t="inlineStr">
        <is>
          <t>O–H (H3O⁺)</t>
        </is>
      </c>
      <c r="H180" s="2" t="inlineStr">
        <is>
          <t>H3O⁺</t>
        </is>
      </c>
      <c r="I180" s="2" t="n">
        <v>-1.7</v>
      </c>
      <c r="J180" s="2" t="inlineStr">
        <is>
          <t>benzoic acid</t>
        </is>
      </c>
      <c r="K180" s="2" t="n">
        <v>4.2</v>
      </c>
      <c r="L180" s="2">
        <f>IF(AND(ISNUMBER(I180),ISNUMBER(K180)),K180-I180,"")</f>
        <v/>
      </c>
      <c r="M180" s="4">
        <f>IF(ISNUMBER(L180),10^L180,"")</f>
        <v/>
      </c>
      <c r="N180" s="2">
        <f>IF(ISNUMBER(L180),IF(L180&gt;=0,"downhill (favoured)","uphill (small amount)"),"")</f>
        <v/>
      </c>
      <c r="O180" s="2" t="n"/>
      <c r="P180" s="2" t="n"/>
      <c r="Q180" s="3" t="inlineStr">
        <is>
          <t>O=C(O)c1ccccc1.CCO</t>
        </is>
      </c>
      <c r="R180" s="2" t="inlineStr">
        <is>
          <t>Benzoic acid (and the ethanol from step 2).</t>
        </is>
      </c>
      <c r="S180" s="3" t="inlineStr">
        <is>
          <t>O=C([O-:1])c1ccccc1.[H:2][OH2+:3].CCO</t>
        </is>
      </c>
      <c r="T180" s="3" t="inlineStr">
        <is>
          <t>1&gt;2; 2-3&gt;3</t>
        </is>
      </c>
    </row>
    <row r="181">
      <c r="A181" s="2" t="inlineStr">
        <is>
          <t>R048</t>
        </is>
      </c>
      <c r="B181" s="2" t="n">
        <v>1</v>
      </c>
      <c r="C181" s="2" t="inlineStr">
        <is>
          <t>N adds to C=O</t>
        </is>
      </c>
      <c r="D181" s="2" t="inlineStr">
        <is>
          <t>the lone pair on aniline's N</t>
        </is>
      </c>
      <c r="E181" s="2" t="inlineStr">
        <is>
          <t>the acyl chloride's carbonyl C; the π electrons go to O</t>
        </is>
      </c>
      <c r="F181" s="2" t="inlineStr">
        <is>
          <t>C–N</t>
        </is>
      </c>
      <c r="G181" s="2" t="inlineStr">
        <is>
          <t>C=O (π)</t>
        </is>
      </c>
      <c r="H181" s="2" t="n"/>
      <c r="I181" s="2" t="n"/>
      <c r="J181" s="2" t="n"/>
      <c r="K181" s="2" t="n"/>
      <c r="L181" s="2">
        <f>IF(AND(ISNUMBER(I181),ISNUMBER(K181)),K181-I181,"")</f>
        <v/>
      </c>
      <c r="M181" s="4">
        <f>IF(ISNUMBER(L181),10^L181,"")</f>
        <v/>
      </c>
      <c r="N181" s="2">
        <f>IF(ISNUMBER(L181),IF(L181&gt;=0,"downhill (favoured)","uphill (small amount)"),"")</f>
        <v/>
      </c>
      <c r="O181" s="2" t="n"/>
      <c r="P181" s="2" t="n"/>
      <c r="Q181" s="3" t="inlineStr">
        <is>
          <t>CC([O-])(Cl)[NH2+]c1ccccc1</t>
        </is>
      </c>
      <c r="R181" s="2" t="inlineStr">
        <is>
          <t>Tetrahedral intermediate.</t>
        </is>
      </c>
      <c r="S181" s="3" t="inlineStr">
        <is>
          <t>C[C:1](=[O:2])Cl.[NH2:3]c1ccccc1</t>
        </is>
      </c>
      <c r="T181" s="3" t="inlineStr">
        <is>
          <t>3&gt;1; 1-2&gt;2</t>
        </is>
      </c>
    </row>
    <row r="182">
      <c r="A182" s="2" t="inlineStr">
        <is>
          <t>R048</t>
        </is>
      </c>
      <c r="B182" s="2" t="n">
        <v>2</v>
      </c>
      <c r="C182" s="2" t="inlineStr">
        <is>
          <t>collapse (chloride leaves)</t>
        </is>
      </c>
      <c r="D182" s="2" t="inlineStr">
        <is>
          <t>the O⁻ lone pair reforms C=O</t>
        </is>
      </c>
      <c r="E182" s="2" t="inlineStr">
        <is>
          <t>the C–Cl electrons go to Cl (Cl⁻ leaves)</t>
        </is>
      </c>
      <c r="F182" s="2" t="inlineStr">
        <is>
          <t>C=O</t>
        </is>
      </c>
      <c r="G182" s="2" t="inlineStr">
        <is>
          <t>C–Cl</t>
        </is>
      </c>
      <c r="H182" s="2" t="n"/>
      <c r="I182" s="2" t="n"/>
      <c r="J182" s="2" t="n"/>
      <c r="K182" s="2" t="n"/>
      <c r="L182" s="2">
        <f>IF(AND(ISNUMBER(I182),ISNUMBER(K182)),K182-I182,"")</f>
        <v/>
      </c>
      <c r="M182" s="4">
        <f>IF(ISNUMBER(L182),10^L182,"")</f>
        <v/>
      </c>
      <c r="N182" s="2">
        <f>IF(ISNUMBER(L182),IF(L182&gt;=0,"downhill (favoured)","uphill (small amount)"),"")</f>
        <v/>
      </c>
      <c r="O182" s="2" t="inlineStr">
        <is>
          <t>chloride</t>
        </is>
      </c>
      <c r="P182" s="2" t="n">
        <v>-7</v>
      </c>
      <c r="Q182" s="3" t="inlineStr">
        <is>
          <t>CC(=O)[NH2+]c1ccccc1.[Cl-]</t>
        </is>
      </c>
      <c r="R182" s="2" t="inlineStr">
        <is>
          <t>Cl⁻ is an excellent leaving group: fast even at 0 °C.</t>
        </is>
      </c>
      <c r="S182" s="3" t="inlineStr">
        <is>
          <t>C[C:1]([O-:2])([Cl:3])[NH2+]c1ccccc1</t>
        </is>
      </c>
      <c r="T182" s="3" t="inlineStr">
        <is>
          <t>2&gt;1-2; 1-3&gt;3</t>
        </is>
      </c>
    </row>
    <row r="183">
      <c r="A183" s="2" t="inlineStr">
        <is>
          <t>R048</t>
        </is>
      </c>
      <c r="B183" s="2" t="n">
        <v>3</v>
      </c>
      <c r="C183" s="2" t="inlineStr">
        <is>
          <t>deprotonation</t>
        </is>
      </c>
      <c r="D183" s="2" t="inlineStr">
        <is>
          <t>the lone pair on pyridine's N</t>
        </is>
      </c>
      <c r="E183" s="2" t="inlineStr">
        <is>
          <t>the H on the N⁺</t>
        </is>
      </c>
      <c r="F183" s="2" t="inlineStr">
        <is>
          <t>N–H (pyridinium)</t>
        </is>
      </c>
      <c r="G183" s="2" t="inlineStr">
        <is>
          <t>N–H</t>
        </is>
      </c>
      <c r="H183" s="2" t="n"/>
      <c r="I183" s="2" t="n"/>
      <c r="J183" s="2" t="n"/>
      <c r="K183" s="2" t="n"/>
      <c r="L183" s="2">
        <f>IF(AND(ISNUMBER(I183),ISNUMBER(K183)),K183-I183,"")</f>
        <v/>
      </c>
      <c r="M183" s="4">
        <f>IF(ISNUMBER(L183),10^L183,"")</f>
        <v/>
      </c>
      <c r="N183" s="2">
        <f>IF(ISNUMBER(L183),IF(L183&gt;=0,"downhill (favoured)","uphill (small amount)"),"")</f>
        <v/>
      </c>
      <c r="O183" s="2" t="n"/>
      <c r="P183" s="2" t="n"/>
      <c r="Q183" s="3" t="inlineStr">
        <is>
          <t>CC(=O)Nc1ccccc1.c1cc[nH+]cc1</t>
        </is>
      </c>
      <c r="R183" s="2" t="inlineStr">
        <is>
          <t>Acetanilide; pyridine takes up the HCl so the aniline is not used up as its salt.</t>
        </is>
      </c>
      <c r="S183" s="3" t="inlineStr">
        <is>
          <t>CC(=O)[NH+:1]([H:2])c1ccccc1.[n:3]1ccccc1</t>
        </is>
      </c>
      <c r="T183" s="3" t="inlineStr">
        <is>
          <t>3&gt;2; 2-1&gt;1</t>
        </is>
      </c>
    </row>
    <row r="184">
      <c r="A184" s="2" t="inlineStr">
        <is>
          <t>R049</t>
        </is>
      </c>
      <c r="B184" s="2" t="n">
        <v>1</v>
      </c>
      <c r="C184" s="2" t="inlineStr">
        <is>
          <t>phenol O adds to the anhydride C=O</t>
        </is>
      </c>
      <c r="D184" s="2" t="inlineStr">
        <is>
          <t>a lone pair on the phenol O</t>
        </is>
      </c>
      <c r="E184" s="2" t="inlineStr">
        <is>
          <t>a carbonyl C of acetic anhydride; the π electrons go to O (acid catalyst helps)</t>
        </is>
      </c>
      <c r="F184" s="2" t="inlineStr">
        <is>
          <t>C–O</t>
        </is>
      </c>
      <c r="G184" s="2" t="inlineStr">
        <is>
          <t>C=O (π)</t>
        </is>
      </c>
      <c r="H184" s="2" t="n"/>
      <c r="I184" s="2" t="n"/>
      <c r="J184" s="2" t="n"/>
      <c r="K184" s="2" t="n"/>
      <c r="L184" s="2">
        <f>IF(AND(ISNUMBER(I184),ISNUMBER(K184)),K184-I184,"")</f>
        <v/>
      </c>
      <c r="M184" s="4">
        <f>IF(ISNUMBER(L184),10^L184,"")</f>
        <v/>
      </c>
      <c r="N184" s="2">
        <f>IF(ISNUMBER(L184),IF(L184&gt;=0,"downhill (favoured)","uphill (small amount)"),"")</f>
        <v/>
      </c>
      <c r="O184" s="2" t="n"/>
      <c r="P184" s="2" t="n"/>
      <c r="Q184" s="3" t="inlineStr">
        <is>
          <t>CC([O-])(OC(C)=O)[OH+]c1ccccc1C(=O)O</t>
        </is>
      </c>
      <c r="R184" s="2" t="inlineStr">
        <is>
          <t>Tetrahedral intermediate.</t>
        </is>
      </c>
      <c r="S184" s="3" t="inlineStr">
        <is>
          <t>C[C:2](=[O:3])OC(C)=O.[OH:1]c1ccccc1C(=O)O</t>
        </is>
      </c>
      <c r="T184" s="3" t="inlineStr">
        <is>
          <t>1&gt;2; 2-3&gt;3</t>
        </is>
      </c>
    </row>
    <row r="185">
      <c r="A185" s="2" t="inlineStr">
        <is>
          <t>R049</t>
        </is>
      </c>
      <c r="B185" s="2" t="n">
        <v>2</v>
      </c>
      <c r="C185" s="2" t="inlineStr">
        <is>
          <t>collapse (acetate leaves)</t>
        </is>
      </c>
      <c r="D185" s="2" t="inlineStr">
        <is>
          <t>the O⁻ lone pair reforms C=O</t>
        </is>
      </c>
      <c r="E185" s="2" t="inlineStr">
        <is>
          <t>the C–OAc electrons go to O (acetate leaves)</t>
        </is>
      </c>
      <c r="F185" s="2" t="inlineStr">
        <is>
          <t>C=O</t>
        </is>
      </c>
      <c r="G185" s="2" t="inlineStr">
        <is>
          <t>C–O</t>
        </is>
      </c>
      <c r="H185" s="2" t="n"/>
      <c r="I185" s="2" t="n"/>
      <c r="J185" s="2" t="n"/>
      <c r="K185" s="2" t="n"/>
      <c r="L185" s="2">
        <f>IF(AND(ISNUMBER(I185),ISNUMBER(K185)),K185-I185,"")</f>
        <v/>
      </c>
      <c r="M185" s="4">
        <f>IF(ISNUMBER(L185),10^L185,"")</f>
        <v/>
      </c>
      <c r="N185" s="2">
        <f>IF(ISNUMBER(L185),IF(L185&gt;=0,"downhill (favoured)","uphill (small amount)"),"")</f>
        <v/>
      </c>
      <c r="O185" s="2" t="inlineStr">
        <is>
          <t>acetate</t>
        </is>
      </c>
      <c r="P185" s="2" t="n">
        <v>4.76</v>
      </c>
      <c r="Q185" s="3" t="inlineStr">
        <is>
          <t>CC(=O)[OH+]c1ccccc1C(=O)O.CC(=O)[O-]</t>
        </is>
      </c>
      <c r="R185" s="2" t="n"/>
      <c r="S185" s="3" t="inlineStr">
        <is>
          <t>C[C:1]([O-:2])([O:3]C(C)=O)[OH+]c1ccccc1C(=O)O</t>
        </is>
      </c>
      <c r="T185" s="3" t="inlineStr">
        <is>
          <t>2&gt;1-2; 1-3&gt;3</t>
        </is>
      </c>
    </row>
    <row r="186">
      <c r="A186" s="2" t="inlineStr">
        <is>
          <t>R049</t>
        </is>
      </c>
      <c r="B186" s="2" t="n">
        <v>3</v>
      </c>
      <c r="C186" s="2" t="inlineStr">
        <is>
          <t>proton transfer</t>
        </is>
      </c>
      <c r="D186" s="2" t="inlineStr">
        <is>
          <t>a lone pair on acetate</t>
        </is>
      </c>
      <c r="E186" s="2" t="inlineStr">
        <is>
          <t>the H on the O⁺</t>
        </is>
      </c>
      <c r="F186" s="2" t="inlineStr">
        <is>
          <t>O–H</t>
        </is>
      </c>
      <c r="G186" s="2" t="inlineStr">
        <is>
          <t>O–H</t>
        </is>
      </c>
      <c r="H186" s="2" t="inlineStr">
        <is>
          <t>the protonated ester</t>
        </is>
      </c>
      <c r="I186" s="2" t="n">
        <v>-6.5</v>
      </c>
      <c r="J186" s="2" t="inlineStr">
        <is>
          <t>acetic acid</t>
        </is>
      </c>
      <c r="K186" s="2" t="n">
        <v>4.76</v>
      </c>
      <c r="L186" s="2">
        <f>IF(AND(ISNUMBER(I186),ISNUMBER(K186)),K186-I186,"")</f>
        <v/>
      </c>
      <c r="M186" s="4">
        <f>IF(ISNUMBER(L186),10^L186,"")</f>
        <v/>
      </c>
      <c r="N186" s="2">
        <f>IF(ISNUMBER(L186),IF(L186&gt;=0,"downhill (favoured)","uphill (small amount)"),"")</f>
        <v/>
      </c>
      <c r="O186" s="2" t="n"/>
      <c r="P186" s="2" t="n"/>
      <c r="Q186" s="3" t="inlineStr">
        <is>
          <t>CC(=O)Oc1ccccc1C(=O)O.CC(=O)O</t>
        </is>
      </c>
      <c r="R186" s="2" t="inlineStr">
        <is>
          <t>Aspirin + acetic acid.</t>
        </is>
      </c>
      <c r="S186" s="3" t="inlineStr">
        <is>
          <t>CC(=O)[O+:1]([H:2])c1ccccc1C(=O)O.CC(=O)[O-:3]</t>
        </is>
      </c>
      <c r="T186" s="3" t="inlineStr">
        <is>
          <t>3&gt;2; 2-1&gt;1</t>
        </is>
      </c>
    </row>
    <row r="187">
      <c r="A187" s="2" t="inlineStr">
        <is>
          <t>R050</t>
        </is>
      </c>
      <c r="B187" s="2" t="n">
        <v>1</v>
      </c>
      <c r="C187" s="2" t="inlineStr">
        <is>
          <t>protonate the epoxide O</t>
        </is>
      </c>
      <c r="D187" s="2" t="inlineStr">
        <is>
          <t>a lone pair on the epoxide O</t>
        </is>
      </c>
      <c r="E187" s="2" t="inlineStr">
        <is>
          <t>an H of H3O⁺</t>
        </is>
      </c>
      <c r="F187" s="2" t="inlineStr">
        <is>
          <t>O–H</t>
        </is>
      </c>
      <c r="G187" s="2" t="inlineStr">
        <is>
          <t>O–H (H3O⁺)</t>
        </is>
      </c>
      <c r="H187" s="2" t="inlineStr">
        <is>
          <t>H3O⁺</t>
        </is>
      </c>
      <c r="I187" s="2" t="n">
        <v>-1.7</v>
      </c>
      <c r="J187" s="2" t="inlineStr">
        <is>
          <t>the protonated epoxide (like a protonated ether)</t>
        </is>
      </c>
      <c r="K187" s="2" t="n">
        <v>-3.5</v>
      </c>
      <c r="L187" s="2">
        <f>IF(AND(ISNUMBER(I187),ISNUMBER(K187)),K187-I187,"")</f>
        <v/>
      </c>
      <c r="M187" s="4">
        <f>IF(ISNUMBER(L187),10^L187,"")</f>
        <v/>
      </c>
      <c r="N187" s="2">
        <f>IF(ISNUMBER(L187),IF(L187&gt;=0,"downhill (favoured)","uphill (small amount)"),"")</f>
        <v/>
      </c>
      <c r="O187" s="2" t="n"/>
      <c r="P187" s="2" t="n"/>
      <c r="Q187" s="3" t="inlineStr">
        <is>
          <t>C1CCC2[OH+]C2C1.O</t>
        </is>
      </c>
      <c r="R187" s="2" t="inlineStr">
        <is>
          <t>Uphill, but the protonated epoxide is very reactive.</t>
        </is>
      </c>
      <c r="S187" s="3" t="inlineStr">
        <is>
          <t>C1CCC2[O:1]C2C1.[H:2][OH2+:3]</t>
        </is>
      </c>
      <c r="T187" s="3" t="inlineStr">
        <is>
          <t>1&gt;2; 2-3&gt;3</t>
        </is>
      </c>
    </row>
    <row r="188">
      <c r="A188" s="2" t="inlineStr">
        <is>
          <t>R050</t>
        </is>
      </c>
      <c r="B188" s="2" t="n">
        <v>2</v>
      </c>
      <c r="C188" s="2" t="inlineStr">
        <is>
          <t>water opens the ring</t>
        </is>
      </c>
      <c r="D188" s="2" t="inlineStr">
        <is>
          <t>a lone pair on water</t>
        </is>
      </c>
      <c r="E188" s="2" t="inlineStr">
        <is>
          <t>a ring C from the back; the C–O⁺ bond's electrons go to O</t>
        </is>
      </c>
      <c r="F188" s="2" t="inlineStr">
        <is>
          <t>C–O</t>
        </is>
      </c>
      <c r="G188" s="2" t="inlineStr">
        <is>
          <t>C–O⁺</t>
        </is>
      </c>
      <c r="H188" s="2" t="n"/>
      <c r="I188" s="2" t="n"/>
      <c r="J188" s="2" t="n"/>
      <c r="K188" s="2" t="n"/>
      <c r="L188" s="2">
        <f>IF(AND(ISNUMBER(I188),ISNUMBER(K188)),K188-I188,"")</f>
        <v/>
      </c>
      <c r="M188" s="4">
        <f>IF(ISNUMBER(L188),10^L188,"")</f>
        <v/>
      </c>
      <c r="N188" s="2">
        <f>IF(ISNUMBER(L188),IF(L188&gt;=0,"downhill (favoured)","uphill (small amount)"),"")</f>
        <v/>
      </c>
      <c r="O188" s="2" t="n"/>
      <c r="P188" s="2" t="n"/>
      <c r="Q188" s="3" t="inlineStr">
        <is>
          <t>[OH2+]C1CCCCC1O</t>
        </is>
      </c>
      <c r="R188" s="2" t="inlineStr">
        <is>
          <t>Backside attack: the two O end up trans; ring strain (≈ 27 kcal/mol) is released.</t>
        </is>
      </c>
      <c r="S188" s="3" t="inlineStr">
        <is>
          <t>C1CC[CH:1]2[OH+:2][CH:3]2C1.[OH2:4]</t>
        </is>
      </c>
      <c r="T188" s="3" t="inlineStr">
        <is>
          <t>4&gt;1; 1-2&gt;2</t>
        </is>
      </c>
    </row>
    <row r="189">
      <c r="A189" s="2" t="inlineStr">
        <is>
          <t>R050</t>
        </is>
      </c>
      <c r="B189" s="2" t="n">
        <v>3</v>
      </c>
      <c r="C189" s="2" t="inlineStr">
        <is>
          <t>deprotonation</t>
        </is>
      </c>
      <c r="D189" s="2" t="inlineStr">
        <is>
          <t>a lone pair on water</t>
        </is>
      </c>
      <c r="E189" s="2" t="inlineStr">
        <is>
          <t>an H on the oxonium O</t>
        </is>
      </c>
      <c r="F189" s="2" t="inlineStr">
        <is>
          <t>O–H</t>
        </is>
      </c>
      <c r="G189" s="2" t="inlineStr">
        <is>
          <t>O–H</t>
        </is>
      </c>
      <c r="H189" s="2" t="inlineStr">
        <is>
          <t>the oxonium (R–OH2⁺)</t>
        </is>
      </c>
      <c r="I189" s="2" t="n">
        <v>-2</v>
      </c>
      <c r="J189" s="2" t="inlineStr">
        <is>
          <t>H3O⁺</t>
        </is>
      </c>
      <c r="K189" s="2" t="n">
        <v>-1.7</v>
      </c>
      <c r="L189" s="2">
        <f>IF(AND(ISNUMBER(I189),ISNUMBER(K189)),K189-I189,"")</f>
        <v/>
      </c>
      <c r="M189" s="4">
        <f>IF(ISNUMBER(L189),10^L189,"")</f>
        <v/>
      </c>
      <c r="N189" s="2">
        <f>IF(ISNUMBER(L189),IF(L189&gt;=0,"downhill (favoured)","uphill (small amount)"),"")</f>
        <v/>
      </c>
      <c r="O189" s="2" t="n"/>
      <c r="P189" s="2" t="n"/>
      <c r="Q189" s="3" t="inlineStr">
        <is>
          <t>OC1CCCCC1O.[OH3+]</t>
        </is>
      </c>
      <c r="R189" s="2" t="inlineStr">
        <is>
          <t>trans-1,2-Cyclohexanediol; H3O⁺ given back.</t>
        </is>
      </c>
      <c r="S189" s="3" t="inlineStr">
        <is>
          <t>[O+:1]([H:2])([H])C1CCCCC1O.[OH2:3]</t>
        </is>
      </c>
      <c r="T189" s="3" t="inlineStr">
        <is>
          <t>3&gt;2; 2-1&gt;1</t>
        </is>
      </c>
    </row>
    <row r="190">
      <c r="A190" s="2" t="inlineStr">
        <is>
          <t>R051</t>
        </is>
      </c>
      <c r="B190" s="2" t="n">
        <v>1</v>
      </c>
      <c r="C190" s="2" t="inlineStr">
        <is>
          <t>[4+2] cycloaddition (one step)</t>
        </is>
      </c>
      <c r="D190" s="2" t="inlineStr">
        <is>
          <t>the diene's two π bonds and the dienophile's π bond (6 electrons move in a ring)</t>
        </is>
      </c>
      <c r="E190" s="2" t="inlineStr">
        <is>
          <t>two new σ bonds (diene C1 and C4 to the dienophile C) and a new π bond between diene C2 and C3</t>
        </is>
      </c>
      <c r="F190" s="2" t="inlineStr">
        <is>
          <t>2 × C–C (σ); C2=C3</t>
        </is>
      </c>
      <c r="G190" s="2" t="inlineStr">
        <is>
          <t>3 × C=C (π)</t>
        </is>
      </c>
      <c r="H190" s="2" t="n"/>
      <c r="I190" s="2" t="n"/>
      <c r="J190" s="2" t="n"/>
      <c r="K190" s="2" t="n"/>
      <c r="L190" s="2">
        <f>IF(AND(ISNUMBER(I190),ISNUMBER(K190)),K190-I190,"")</f>
        <v/>
      </c>
      <c r="M190" s="4">
        <f>IF(ISNUMBER(L190),10^L190,"")</f>
        <v/>
      </c>
      <c r="N190" s="2">
        <f>IF(ISNUMBER(L190),IF(L190&gt;=0,"downhill (favoured)","uphill (small amount)"),"")</f>
        <v/>
      </c>
      <c r="O190" s="2" t="n"/>
      <c r="P190" s="2" t="n"/>
      <c r="Q190" s="3" t="inlineStr">
        <is>
          <t>O=C1OC(=O)C2CC=CCC12</t>
        </is>
      </c>
      <c r="R190" s="2" t="inlineStr">
        <is>
          <t>Concerted and suprafacial: the anhydride's cis ring stays cis; the endo adduct forms faster (secondary orbital overlap). Electron-poor dienophile (two C=O) reacts fast.</t>
        </is>
      </c>
      <c r="S190" s="3" t="inlineStr">
        <is>
          <t>[CH2:1]=[CH:2][CH:3]=[CH2:4].O=C1[CH:5]=[CH:6]C(=O)O1</t>
        </is>
      </c>
      <c r="T190" s="3" t="inlineStr">
        <is>
          <t>1-2&gt;2-3; 3-4&gt;4-5; 5-6&gt;1-6</t>
        </is>
      </c>
    </row>
    <row r="191">
      <c r="A191" s="2" t="inlineStr">
        <is>
          <t>R052</t>
        </is>
      </c>
      <c r="B191" s="2" t="n">
        <v>1</v>
      </c>
      <c r="C191" s="2" t="inlineStr">
        <is>
          <t>nucleophilic addition (1st equiv)</t>
        </is>
      </c>
      <c r="D191" s="2" t="inlineStr">
        <is>
          <t>the C–Mg bond's electrons (CH3 as a carbanion)</t>
        </is>
      </c>
      <c r="E191" s="2" t="inlineStr">
        <is>
          <t>the ester C=O carbon; the π electrons go to O</t>
        </is>
      </c>
      <c r="F191" s="2" t="inlineStr">
        <is>
          <t>C–C</t>
        </is>
      </c>
      <c r="G191" s="2" t="inlineStr">
        <is>
          <t>C–Mg; C=O (π)</t>
        </is>
      </c>
      <c r="H191" s="2" t="n"/>
      <c r="I191" s="2" t="n"/>
      <c r="J191" s="2" t="n"/>
      <c r="K191" s="2" t="n"/>
      <c r="L191" s="2">
        <f>IF(AND(ISNUMBER(I191),ISNUMBER(K191)),K191-I191,"")</f>
        <v/>
      </c>
      <c r="M191" s="4">
        <f>IF(ISNUMBER(L191),10^L191,"")</f>
        <v/>
      </c>
      <c r="N191" s="2">
        <f>IF(ISNUMBER(L191),IF(L191&gt;=0,"downhill (favoured)","uphill (small amount)"),"")</f>
        <v/>
      </c>
      <c r="O191" s="2" t="n"/>
      <c r="P191" s="2" t="n"/>
      <c r="Q191" s="3" t="inlineStr">
        <is>
          <t>COC(C)([O-])c1ccccc1.[Mg+]Br</t>
        </is>
      </c>
      <c r="R191" s="2" t="inlineStr">
        <is>
          <t>Tetrahedral intermediate (magnesium alkoxide).</t>
        </is>
      </c>
      <c r="S191" s="3" t="inlineStr">
        <is>
          <t>C[O:1][C:2](=[O:3])c1ccccc1.[CH3:4][Mg:5]Br</t>
        </is>
      </c>
      <c r="T191" s="3" t="inlineStr">
        <is>
          <t>4-5&gt;2-4; 2-3&gt;3</t>
        </is>
      </c>
    </row>
    <row r="192">
      <c r="A192" s="2" t="inlineStr">
        <is>
          <t>R052</t>
        </is>
      </c>
      <c r="B192" s="2" t="n">
        <v>2</v>
      </c>
      <c r="C192" s="2" t="inlineStr">
        <is>
          <t>collapse (methoxide leaves)</t>
        </is>
      </c>
      <c r="D192" s="2" t="inlineStr">
        <is>
          <t>the O⁻ lone pair reforms C=O</t>
        </is>
      </c>
      <c r="E192" s="2" t="inlineStr">
        <is>
          <t>the C–OMe bond's electrons go to O (MeO⁻ leaves)</t>
        </is>
      </c>
      <c r="F192" s="2" t="inlineStr">
        <is>
          <t>C=O</t>
        </is>
      </c>
      <c r="G192" s="2" t="inlineStr">
        <is>
          <t>C–OMe</t>
        </is>
      </c>
      <c r="H192" s="2" t="n"/>
      <c r="I192" s="2" t="n"/>
      <c r="J192" s="2" t="n"/>
      <c r="K192" s="2" t="n"/>
      <c r="L192" s="2">
        <f>IF(AND(ISNUMBER(I192),ISNUMBER(K192)),K192-I192,"")</f>
        <v/>
      </c>
      <c r="M192" s="4">
        <f>IF(ISNUMBER(L192),10^L192,"")</f>
        <v/>
      </c>
      <c r="N192" s="2">
        <f>IF(ISNUMBER(L192),IF(L192&gt;=0,"downhill (favoured)","uphill (small amount)"),"")</f>
        <v/>
      </c>
      <c r="O192" s="2" t="inlineStr">
        <is>
          <t>methoxide</t>
        </is>
      </c>
      <c r="P192" s="2" t="n">
        <v>15.5</v>
      </c>
      <c r="Q192" s="3" t="inlineStr">
        <is>
          <t>CC(=O)c1ccccc1.C[O-]</t>
        </is>
      </c>
      <c r="R192" s="2" t="inlineStr">
        <is>
          <t>A ketone forms. It is MORE electrophilic than the ester, so it reacts with the second equivalent faster than the ester does: the ketone is never isolated.</t>
        </is>
      </c>
      <c r="S192" s="3" t="inlineStr">
        <is>
          <t>C[O:1][C:2](C)([O-:3])c1ccccc1</t>
        </is>
      </c>
      <c r="T192" s="3" t="inlineStr">
        <is>
          <t>3&gt;2-3; 2-1&gt;1</t>
        </is>
      </c>
    </row>
    <row r="193">
      <c r="A193" s="2" t="inlineStr">
        <is>
          <t>R052</t>
        </is>
      </c>
      <c r="B193" s="2" t="n">
        <v>3</v>
      </c>
      <c r="C193" s="2" t="inlineStr">
        <is>
          <t>nucleophilic addition (2nd equiv)</t>
        </is>
      </c>
      <c r="D193" s="2" t="inlineStr">
        <is>
          <t>the C–Mg bond's electrons of a second MeMgBr</t>
        </is>
      </c>
      <c r="E193" s="2" t="inlineStr">
        <is>
          <t>the ketone C=O carbon; the π electrons go to O</t>
        </is>
      </c>
      <c r="F193" s="2" t="inlineStr">
        <is>
          <t>C–C</t>
        </is>
      </c>
      <c r="G193" s="2" t="inlineStr">
        <is>
          <t>C–Mg; C=O (π)</t>
        </is>
      </c>
      <c r="H193" s="2" t="n"/>
      <c r="I193" s="2" t="n"/>
      <c r="J193" s="2" t="n"/>
      <c r="K193" s="2" t="n"/>
      <c r="L193" s="2">
        <f>IF(AND(ISNUMBER(I193),ISNUMBER(K193)),K193-I193,"")</f>
        <v/>
      </c>
      <c r="M193" s="4">
        <f>IF(ISNUMBER(L193),10^L193,"")</f>
        <v/>
      </c>
      <c r="N193" s="2">
        <f>IF(ISNUMBER(L193),IF(L193&gt;=0,"downhill (favoured)","uphill (small amount)"),"")</f>
        <v/>
      </c>
      <c r="O193" s="2" t="n"/>
      <c r="P193" s="2" t="n"/>
      <c r="Q193" s="3" t="inlineStr">
        <is>
          <t>CC(C)([O-])c1ccccc1</t>
        </is>
      </c>
      <c r="R193" s="2" t="inlineStr">
        <is>
          <t>Tertiary alkoxide: both new CH3 groups came from the Grignard.</t>
        </is>
      </c>
      <c r="S193" s="3" t="inlineStr">
        <is>
          <t>C[C:1](=[O:2])c1ccccc1.[CH3:3][Mg:4]Br</t>
        </is>
      </c>
      <c r="T193" s="3" t="inlineStr">
        <is>
          <t>3-4&gt;1-3; 1-2&gt;2</t>
        </is>
      </c>
    </row>
    <row r="194">
      <c r="A194" s="2" t="inlineStr">
        <is>
          <t>R052</t>
        </is>
      </c>
      <c r="B194" s="2" t="n">
        <v>4</v>
      </c>
      <c r="C194" s="2" t="inlineStr">
        <is>
          <t>acid work-up (proton transfer)</t>
        </is>
      </c>
      <c r="D194" s="2" t="inlineStr">
        <is>
          <t>a lone pair on the alkoxide O</t>
        </is>
      </c>
      <c r="E194" s="2" t="inlineStr">
        <is>
          <t>an H of H3O⁺</t>
        </is>
      </c>
      <c r="F194" s="2" t="inlineStr">
        <is>
          <t>O–H</t>
        </is>
      </c>
      <c r="G194" s="2" t="inlineStr">
        <is>
          <t>O–H (H3O⁺)</t>
        </is>
      </c>
      <c r="H194" s="2" t="inlineStr">
        <is>
          <t>H3O⁺</t>
        </is>
      </c>
      <c r="I194" s="2" t="n">
        <v>-1.7</v>
      </c>
      <c r="J194" s="2" t="inlineStr">
        <is>
          <t>2-phenyl-2-propanol</t>
        </is>
      </c>
      <c r="K194" s="2" t="n">
        <v>18</v>
      </c>
      <c r="L194" s="2">
        <f>IF(AND(ISNUMBER(I194),ISNUMBER(K194)),K194-I194,"")</f>
        <v/>
      </c>
      <c r="M194" s="4">
        <f>IF(ISNUMBER(L194),10^L194,"")</f>
        <v/>
      </c>
      <c r="N194" s="2">
        <f>IF(ISNUMBER(L194),IF(L194&gt;=0,"downhill (favoured)","uphill (small amount)"),"")</f>
        <v/>
      </c>
      <c r="O194" s="2" t="n"/>
      <c r="P194" s="2" t="n"/>
      <c r="Q194" s="3" t="inlineStr">
        <is>
          <t>CC(C)(O)c1ccccc1.CO</t>
        </is>
      </c>
      <c r="R194" s="2" t="inlineStr">
        <is>
          <t>2-Phenyl-2-propanol (and methanol from the ester's OMe).</t>
        </is>
      </c>
      <c r="S194" s="3" t="inlineStr">
        <is>
          <t>CC(C)([O-:1])c1ccccc1.[H:2][OH2+:3].C[O-:4].[H:5][OH2+:6]</t>
        </is>
      </c>
      <c r="T194" s="3" t="inlineStr">
        <is>
          <t>1&gt;2; 2-3&gt;3; 4&gt;5; 5-6&gt;6</t>
        </is>
      </c>
    </row>
    <row r="196">
      <c r="A196" s="5" t="inlineStr">
        <is>
          <t>pKa source: approximate pKa in water: Clayden, Organic Chemistry (pKa table); Evans pKa table. ΔpKa = pKa of the acid formed − pKa of the proton donor; K ≈ 10^ΔpKa is the equilibrium constant of that proton transfer (above 1: the proton moves; below 1: only a small amount moves). Electrons always flow from the base's lone pair to the H, and from the H–A bond onto A.</t>
        </is>
      </c>
    </row>
  </sheetData>
  <autoFilter ref="A1:T19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6" customWidth="1" min="2" max="2"/>
    <col width="12" customWidth="1" min="3" max="3"/>
    <col width="12" customWidth="1" min="4" max="4"/>
    <col width="14" customWidth="1" min="5" max="5"/>
    <col width="70" customWidth="1" min="6" max="6"/>
  </cols>
  <sheetData>
    <row r="1" ht="30" customHeight="1">
      <c r="A1" s="1" t="inlineStr">
        <is>
          <t>Condition</t>
        </is>
      </c>
      <c r="B1" s="1" t="inlineStr">
        <is>
          <t>Accepted words in the conditions box</t>
        </is>
      </c>
      <c r="C1" s="1" t="inlineStr">
        <is>
          <t>Temperature from (°C)</t>
        </is>
      </c>
      <c r="D1" s="1" t="inlineStr">
        <is>
          <t>Temperature to (°C)</t>
        </is>
      </c>
      <c r="E1" s="1" t="inlineStr">
        <is>
          <t>Counts as</t>
        </is>
      </c>
      <c r="F1" s="1" t="inlineStr">
        <is>
          <t>Notes</t>
        </is>
      </c>
    </row>
    <row r="2">
      <c r="A2" s="2" t="inlineStr">
        <is>
          <t>heat</t>
        </is>
      </c>
      <c r="B2" s="2" t="inlineStr">
        <is>
          <t>heat, heated, heating, warm, warmed, hot, Δ</t>
        </is>
      </c>
      <c r="C2" s="2" t="n">
        <v>50</v>
      </c>
      <c r="D2" s="2" t="n"/>
      <c r="E2" s="2" t="inlineStr"/>
      <c r="F2" s="2" t="inlineStr">
        <is>
          <t>Any temperature of 50 °C or more counts as heat. Plain 'heat' does NOT satisfy a rule that needs an exact range (60-120 °C): give the temperature, or reflux with a solvent.</t>
        </is>
      </c>
    </row>
    <row r="3">
      <c r="A3" s="2" t="inlineStr">
        <is>
          <t>reflux</t>
        </is>
      </c>
      <c r="B3" s="2" t="inlineStr">
        <is>
          <t>reflux, refluxing, refluxed</t>
        </is>
      </c>
      <c r="C3" s="2" t="n"/>
      <c r="D3" s="2" t="n"/>
      <c r="E3" s="2" t="inlineStr">
        <is>
          <t>heat</t>
        </is>
      </c>
      <c r="F3" s="2" t="inlineStr">
        <is>
          <t>Boiling the solvent with a condenser: the temperature is the solvent's boiling point (Solvents sheet), e.g. 'reflux in ethanol' = 78 °C. With several solvents, the lowest boiling point.</t>
        </is>
      </c>
    </row>
    <row r="4">
      <c r="A4" s="2" t="inlineStr">
        <is>
          <t>room temperature</t>
        </is>
      </c>
      <c r="B4" s="2" t="inlineStr">
        <is>
          <t>rt, r.t., room temperature, room temp, ambient</t>
        </is>
      </c>
      <c r="C4" s="2" t="n">
        <v>15</v>
      </c>
      <c r="D4" s="2" t="n">
        <v>30</v>
      </c>
      <c r="E4" s="2" t="inlineStr"/>
      <c r="F4" s="2" t="inlineStr">
        <is>
          <t>A temperature from 15 to 30 °C counts as room temperature.</t>
        </is>
      </c>
    </row>
    <row r="5">
      <c r="A5" s="2" t="inlineStr">
        <is>
          <t>ice bath</t>
        </is>
      </c>
      <c r="B5" s="2" t="inlineStr">
        <is>
          <t>ice bath, ice, ice-water, ice water</t>
        </is>
      </c>
      <c r="C5" s="2" t="n">
        <v>-5</v>
      </c>
      <c r="D5" s="2" t="n">
        <v>5</v>
      </c>
      <c r="E5" s="2" t="inlineStr"/>
      <c r="F5" s="2" t="inlineStr">
        <is>
          <t>About 0 °C. A temperature from -5 to 5 °C counts as an ice bath.</t>
        </is>
      </c>
    </row>
    <row r="6">
      <c r="A6" s="2" t="inlineStr">
        <is>
          <t>dry ice bath</t>
        </is>
      </c>
      <c r="B6" s="2" t="inlineStr">
        <is>
          <t>dry ice, dry ice bath, dry ice-acetone</t>
        </is>
      </c>
      <c r="C6" s="2" t="n">
        <v>-80</v>
      </c>
      <c r="D6" s="2" t="n">
        <v>-70</v>
      </c>
      <c r="E6" s="2" t="inlineStr"/>
      <c r="F6" s="2" t="inlineStr">
        <is>
          <t>About -78 °C (dry ice / acetone). A temperature from -80 to -70 °C counts.</t>
        </is>
      </c>
    </row>
    <row r="7">
      <c r="A7" s="2" t="inlineStr">
        <is>
          <t>light</t>
        </is>
      </c>
      <c r="B7" s="2" t="inlineStr">
        <is>
          <t>hv, hν, light, uv, irradiation, irradiated, sunlight</t>
        </is>
      </c>
      <c r="C7" s="2" t="n"/>
      <c r="D7" s="2" t="n"/>
      <c r="E7" s="2" t="inlineStr"/>
      <c r="F7" s="2" t="inlineStr">
        <is>
          <t>Photochemical conditions (radical halogenation, [2+2] cycloadditions).</t>
        </is>
      </c>
    </row>
    <row r="8">
      <c r="A8" s="2" t="inlineStr">
        <is>
          <t>anhydrous</t>
        </is>
      </c>
      <c r="B8" s="2" t="inlineStr">
        <is>
          <t>anhydrous, dry</t>
        </is>
      </c>
      <c r="C8" s="2" t="n"/>
      <c r="D8" s="2" t="n"/>
      <c r="E8" s="2" t="inlineStr"/>
      <c r="F8" s="2" t="inlineStr">
        <is>
          <t>No water present (dried solvent, drying tube, molecular sieves). 'dry ice' is read as the cold bath, not this.</t>
        </is>
      </c>
    </row>
    <row r="9">
      <c r="A9" s="2" t="inlineStr">
        <is>
          <t>inert atmosphere</t>
        </is>
      </c>
      <c r="B9" s="2" t="inlineStr">
        <is>
          <t>inert, n2, nitrogen, ar, argon</t>
        </is>
      </c>
      <c r="C9" s="2" t="n"/>
      <c r="D9" s="2" t="n"/>
      <c r="E9" s="2" t="inlineStr"/>
      <c r="F9" s="2" t="inlineStr">
        <is>
          <t>Under nitrogen or argon (no O2 or moisture): Grignard and organolithium reactions.</t>
        </is>
      </c>
    </row>
    <row r="10">
      <c r="A10" s="2" t="inlineStr">
        <is>
          <t>excess</t>
        </is>
      </c>
      <c r="B10" s="2" t="inlineStr">
        <is>
          <t>excess, large excess, xs</t>
        </is>
      </c>
      <c r="C10" s="2" t="n"/>
      <c r="D10" s="2" t="n"/>
      <c r="E10" s="2" t="inlineStr"/>
      <c r="F10" s="2" t="inlineStr">
        <is>
          <t>Plenty of the reagent: it reacts at every group it can, most reactive first (Reactivity_Order sheet). A number such as '2 equiv' or '0.5 equiv' in the conditions box gives the exact amount instead.</t>
        </is>
      </c>
    </row>
    <row r="11">
      <c r="A11" s="2" t="inlineStr">
        <is>
          <t>catalytic</t>
        </is>
      </c>
      <c r="B11" s="2" t="inlineStr">
        <is>
          <t>catalytic, cat., catalytic amount</t>
        </is>
      </c>
      <c r="C11" s="2" t="n"/>
      <c r="D11" s="2" t="n"/>
      <c r="E11" s="2" t="inlineStr"/>
      <c r="F11" s="2" t="inlineStr">
        <is>
          <t>Only a small amount of the reagent: fine for a catalyst (regenerated), but a reagent that is used up runs out after a few turnovers.</t>
        </is>
      </c>
    </row>
    <row r="12">
      <c r="A12" t="inlineStr">
        <is>
          <t>concentrated</t>
        </is>
      </c>
      <c r="B12" t="inlineStr">
        <is>
          <t>concentrated, conc, conc., concd</t>
        </is>
      </c>
      <c r="F12" t="inlineStr">
        <is>
          <t>The reagent is used at full strength (conc. H2SO4 ~98 %, conc. HCl ~37 %, conc. HNO3 ~70 %, conc. NaOH ~50 %). Set from the reagent's strength (right-click the reagent) or typed here. A rule that requires it is assumed to have it when no strength is given.</t>
        </is>
      </c>
    </row>
    <row r="13">
      <c r="A13" t="inlineStr">
        <is>
          <t>dilute</t>
        </is>
      </c>
      <c r="B13" t="inlineStr">
        <is>
          <t>dilute, diluted, dil, dil.</t>
        </is>
      </c>
      <c r="F13" t="inlineStr">
        <is>
          <t>The reagent is used as a dilute aqueous solution (about 1-2 M, 10 % or weaker). Water is then the nucleophile and the medium, so addition/hydrolysis wins over dehydration/elimination. Set from the reagent's strength (right-click the reagent) or typed here.</t>
        </is>
      </c>
    </row>
  </sheetData>
  <autoFilter ref="A1:F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4" customWidth="1" min="2" max="2"/>
    <col width="18" customWidth="1" min="3" max="3"/>
    <col width="12" customWidth="1" min="4" max="4"/>
    <col width="50" customWidth="1" min="5" max="5"/>
    <col width="16" customWidth="1" min="6" max="6"/>
  </cols>
  <sheetData>
    <row r="1" ht="30" customHeight="1">
      <c r="A1" s="1" t="inlineStr">
        <is>
          <t>Solvent</t>
        </is>
      </c>
      <c r="B1" s="1" t="inlineStr">
        <is>
          <t>Accepted words in the conditions box</t>
        </is>
      </c>
      <c r="C1" s="1" t="inlineStr">
        <is>
          <t>SMILES</t>
        </is>
      </c>
      <c r="D1" s="1" t="inlineStr">
        <is>
          <t>Boiling point (°C)</t>
        </is>
      </c>
      <c r="E1" s="1" t="inlineStr">
        <is>
          <t>Notes</t>
        </is>
      </c>
      <c r="F1" s="1" t="inlineStr">
        <is>
          <t>Type (protic / polar aprotic / nonpolar)</t>
        </is>
      </c>
    </row>
    <row r="2">
      <c r="A2" s="2" t="inlineStr">
        <is>
          <t>water</t>
        </is>
      </c>
      <c r="B2" s="2" t="inlineStr">
        <is>
          <t>water, h2o</t>
        </is>
      </c>
      <c r="C2" s="2" t="inlineStr">
        <is>
          <t>O</t>
        </is>
      </c>
      <c r="D2" s="2" t="n">
        <v>100</v>
      </c>
      <c r="E2" s="2" t="inlineStr"/>
      <c r="F2" s="2" t="inlineStr">
        <is>
          <t>protic</t>
        </is>
      </c>
    </row>
    <row r="3">
      <c r="A3" s="2" t="inlineStr">
        <is>
          <t>ethanol</t>
        </is>
      </c>
      <c r="B3" s="2" t="inlineStr">
        <is>
          <t>ethanol, etoh</t>
        </is>
      </c>
      <c r="C3" s="2" t="inlineStr">
        <is>
          <t>CCO</t>
        </is>
      </c>
      <c r="D3" s="2" t="n">
        <v>78</v>
      </c>
      <c r="E3" s="2" t="inlineStr">
        <is>
          <t>also a reactant in R001 (used in excess as the solvent)</t>
        </is>
      </c>
      <c r="F3" s="2" t="inlineStr">
        <is>
          <t>protic</t>
        </is>
      </c>
    </row>
    <row r="4">
      <c r="A4" s="2" t="inlineStr">
        <is>
          <t>methanol</t>
        </is>
      </c>
      <c r="B4" s="2" t="inlineStr">
        <is>
          <t>methanol, meoh</t>
        </is>
      </c>
      <c r="C4" s="2" t="inlineStr">
        <is>
          <t>CO</t>
        </is>
      </c>
      <c r="D4" s="2" t="n">
        <v>65</v>
      </c>
      <c r="E4" s="2" t="inlineStr"/>
      <c r="F4" s="2" t="inlineStr">
        <is>
          <t>protic</t>
        </is>
      </c>
    </row>
    <row r="5">
      <c r="A5" s="2" t="inlineStr">
        <is>
          <t>isopropanol</t>
        </is>
      </c>
      <c r="B5" s="2" t="inlineStr">
        <is>
          <t>isopropanol, 2-propanol, ipa, iproh</t>
        </is>
      </c>
      <c r="C5" s="2" t="inlineStr">
        <is>
          <t>CC(C)O</t>
        </is>
      </c>
      <c r="D5" s="2" t="n">
        <v>82</v>
      </c>
      <c r="E5" s="2" t="inlineStr"/>
      <c r="F5" s="2" t="inlineStr">
        <is>
          <t>protic</t>
        </is>
      </c>
    </row>
    <row r="6">
      <c r="A6" s="2" t="inlineStr">
        <is>
          <t>acetic acid</t>
        </is>
      </c>
      <c r="B6" s="2" t="inlineStr">
        <is>
          <t>acetic acid, acoh, hoac</t>
        </is>
      </c>
      <c r="C6" s="2" t="inlineStr">
        <is>
          <t>CC(=O)O</t>
        </is>
      </c>
      <c r="D6" s="2" t="n">
        <v>118</v>
      </c>
      <c r="E6" s="2" t="inlineStr"/>
      <c r="F6" s="2" t="inlineStr">
        <is>
          <t>protic</t>
        </is>
      </c>
    </row>
    <row r="7">
      <c r="A7" s="2" t="inlineStr">
        <is>
          <t>diethyl ether</t>
        </is>
      </c>
      <c r="B7" s="2" t="inlineStr">
        <is>
          <t>diethyl ether, ether, et2o</t>
        </is>
      </c>
      <c r="C7" s="2" t="inlineStr">
        <is>
          <t>CCOCC</t>
        </is>
      </c>
      <c r="D7" s="2" t="n">
        <v>35</v>
      </c>
      <c r="E7" s="2" t="inlineStr"/>
      <c r="F7" s="2" t="inlineStr">
        <is>
          <t>nonpolar</t>
        </is>
      </c>
    </row>
    <row r="8">
      <c r="A8" s="2" t="inlineStr">
        <is>
          <t>tetrahydrofuran</t>
        </is>
      </c>
      <c r="B8" s="2" t="inlineStr">
        <is>
          <t>tetrahydrofuran, thf</t>
        </is>
      </c>
      <c r="C8" s="2" t="inlineStr">
        <is>
          <t>C1CCOC1</t>
        </is>
      </c>
      <c r="D8" s="2" t="n">
        <v>66</v>
      </c>
      <c r="E8" s="2" t="inlineStr"/>
      <c r="F8" s="2" t="inlineStr">
        <is>
          <t>polar aprotic</t>
        </is>
      </c>
    </row>
    <row r="9">
      <c r="A9" s="2" t="inlineStr">
        <is>
          <t>1,4-dioxane</t>
        </is>
      </c>
      <c r="B9" s="2" t="inlineStr">
        <is>
          <t>1,4-dioxane, dioxane</t>
        </is>
      </c>
      <c r="C9" s="2" t="inlineStr">
        <is>
          <t>C1COCCO1</t>
        </is>
      </c>
      <c r="D9" s="2" t="n">
        <v>101</v>
      </c>
      <c r="E9" s="2" t="inlineStr"/>
      <c r="F9" s="2" t="inlineStr">
        <is>
          <t>nonpolar</t>
        </is>
      </c>
    </row>
    <row r="10">
      <c r="A10" s="2" t="inlineStr">
        <is>
          <t>dichloromethane</t>
        </is>
      </c>
      <c r="B10" s="2" t="inlineStr">
        <is>
          <t>dichloromethane, dcm, ch2cl2, methylene chloride</t>
        </is>
      </c>
      <c r="C10" s="2" t="inlineStr">
        <is>
          <t>ClCCl</t>
        </is>
      </c>
      <c r="D10" s="2" t="n">
        <v>40</v>
      </c>
      <c r="E10" s="2" t="inlineStr"/>
      <c r="F10" s="2" t="inlineStr">
        <is>
          <t>polar aprotic</t>
        </is>
      </c>
    </row>
    <row r="11">
      <c r="A11" s="2" t="inlineStr">
        <is>
          <t>chloroform</t>
        </is>
      </c>
      <c r="B11" s="2" t="inlineStr">
        <is>
          <t>chloroform, chcl3</t>
        </is>
      </c>
      <c r="C11" s="2" t="inlineStr">
        <is>
          <t>ClC(Cl)Cl</t>
        </is>
      </c>
      <c r="D11" s="2" t="n">
        <v>61</v>
      </c>
      <c r="E11" s="2" t="inlineStr"/>
      <c r="F11" s="2" t="inlineStr">
        <is>
          <t>nonpolar</t>
        </is>
      </c>
    </row>
    <row r="12">
      <c r="A12" s="2" t="inlineStr">
        <is>
          <t>acetone</t>
        </is>
      </c>
      <c r="B12" s="2" t="inlineStr">
        <is>
          <t>acetone</t>
        </is>
      </c>
      <c r="C12" s="2" t="inlineStr">
        <is>
          <t>CC(C)=O</t>
        </is>
      </c>
      <c r="D12" s="2" t="n">
        <v>56</v>
      </c>
      <c r="E12" s="2" t="inlineStr"/>
      <c r="F12" s="2" t="inlineStr">
        <is>
          <t>polar aprotic</t>
        </is>
      </c>
    </row>
    <row r="13">
      <c r="A13" s="2" t="inlineStr">
        <is>
          <t>acetonitrile</t>
        </is>
      </c>
      <c r="B13" s="2" t="inlineStr">
        <is>
          <t>acetonitrile, mecn, ch3cn</t>
        </is>
      </c>
      <c r="C13" s="2" t="inlineStr">
        <is>
          <t>CC#N</t>
        </is>
      </c>
      <c r="D13" s="2" t="n">
        <v>82</v>
      </c>
      <c r="E13" s="2" t="inlineStr"/>
      <c r="F13" s="2" t="inlineStr">
        <is>
          <t>polar aprotic</t>
        </is>
      </c>
    </row>
    <row r="14">
      <c r="A14" s="2" t="inlineStr">
        <is>
          <t>ethyl acetate</t>
        </is>
      </c>
      <c r="B14" s="2" t="inlineStr">
        <is>
          <t>ethyl acetate, etoac</t>
        </is>
      </c>
      <c r="C14" s="2" t="inlineStr">
        <is>
          <t>CCOC(C)=O</t>
        </is>
      </c>
      <c r="D14" s="2" t="n">
        <v>77</v>
      </c>
      <c r="E14" s="2" t="inlineStr"/>
      <c r="F14" s="2" t="inlineStr">
        <is>
          <t>polar aprotic</t>
        </is>
      </c>
    </row>
    <row r="15">
      <c r="A15" s="2" t="inlineStr">
        <is>
          <t>hexane</t>
        </is>
      </c>
      <c r="B15" s="2" t="inlineStr">
        <is>
          <t>hexane, hexanes</t>
        </is>
      </c>
      <c r="C15" s="2" t="inlineStr">
        <is>
          <t>CCCCCC</t>
        </is>
      </c>
      <c r="D15" s="2" t="n">
        <v>69</v>
      </c>
      <c r="E15" s="2" t="inlineStr"/>
      <c r="F15" s="2" t="inlineStr">
        <is>
          <t>nonpolar</t>
        </is>
      </c>
    </row>
    <row r="16">
      <c r="A16" s="2" t="inlineStr">
        <is>
          <t>benzene</t>
        </is>
      </c>
      <c r="B16" s="2" t="inlineStr">
        <is>
          <t>benzene</t>
        </is>
      </c>
      <c r="C16" s="2" t="inlineStr">
        <is>
          <t>c1ccccc1</t>
        </is>
      </c>
      <c r="D16" s="2" t="n">
        <v>80</v>
      </c>
      <c r="E16" s="2" t="inlineStr"/>
      <c r="F16" s="2" t="inlineStr">
        <is>
          <t>nonpolar</t>
        </is>
      </c>
    </row>
    <row r="17">
      <c r="A17" s="2" t="inlineStr">
        <is>
          <t>toluene</t>
        </is>
      </c>
      <c r="B17" s="2" t="inlineStr">
        <is>
          <t>toluene, phme</t>
        </is>
      </c>
      <c r="C17" s="2" t="inlineStr">
        <is>
          <t>Cc1ccccc1</t>
        </is>
      </c>
      <c r="D17" s="2" t="n">
        <v>111</v>
      </c>
      <c r="E17" s="2" t="inlineStr">
        <is>
          <t>with a Dean–Stark trap it removes water (drives esterifications)</t>
        </is>
      </c>
      <c r="F17" s="2" t="inlineStr">
        <is>
          <t>nonpolar</t>
        </is>
      </c>
    </row>
    <row r="18">
      <c r="A18" s="2" t="inlineStr">
        <is>
          <t>xylene</t>
        </is>
      </c>
      <c r="B18" s="2" t="inlineStr">
        <is>
          <t>xylene, xylenes</t>
        </is>
      </c>
      <c r="C18" s="2" t="inlineStr">
        <is>
          <t>Cc1ccccc1C</t>
        </is>
      </c>
      <c r="D18" s="2" t="n">
        <v>140</v>
      </c>
      <c r="E18" s="2" t="inlineStr">
        <is>
          <t>o-xylene 144; mixed xylenes ≈ 138–144</t>
        </is>
      </c>
      <c r="F18" s="2" t="inlineStr">
        <is>
          <t>nonpolar</t>
        </is>
      </c>
    </row>
    <row r="19">
      <c r="A19" s="2" t="inlineStr">
        <is>
          <t>DMF</t>
        </is>
      </c>
      <c r="B19" s="2" t="inlineStr">
        <is>
          <t>dmf, dimethylformamide</t>
        </is>
      </c>
      <c r="C19" s="2" t="inlineStr">
        <is>
          <t>CN(C)C=O</t>
        </is>
      </c>
      <c r="D19" s="2" t="n">
        <v>153</v>
      </c>
      <c r="E19" s="2" t="inlineStr"/>
      <c r="F19" s="2" t="inlineStr">
        <is>
          <t>polar aprotic</t>
        </is>
      </c>
    </row>
    <row r="20">
      <c r="A20" s="2" t="inlineStr">
        <is>
          <t>DMSO</t>
        </is>
      </c>
      <c r="B20" s="2" t="inlineStr">
        <is>
          <t>dmso, dimethyl sulfoxide</t>
        </is>
      </c>
      <c r="C20" s="2" t="inlineStr">
        <is>
          <t>CS(C)=O</t>
        </is>
      </c>
      <c r="D20" s="2" t="n">
        <v>189</v>
      </c>
      <c r="E20" s="2" t="inlineStr"/>
      <c r="F20" s="2" t="inlineStr">
        <is>
          <t>polar aprotic</t>
        </is>
      </c>
    </row>
    <row r="21">
      <c r="A21" s="2" t="inlineStr">
        <is>
          <t>NMP</t>
        </is>
      </c>
      <c r="B21" s="2" t="inlineStr">
        <is>
          <t>nmp, n-methyl-2-pyrrolidone, n-methylpyrrolidone</t>
        </is>
      </c>
      <c r="C21" s="2" t="inlineStr">
        <is>
          <t>CN1CCCC1=O</t>
        </is>
      </c>
      <c r="D21" s="2" t="n">
        <v>202</v>
      </c>
      <c r="E21" s="2" t="inlineStr">
        <is>
          <t>added for the recorded reactions (learned_reactions.xlsx)</t>
        </is>
      </c>
      <c r="F21" s="2" t="inlineStr">
        <is>
          <t>polar aprotic</t>
        </is>
      </c>
    </row>
    <row r="22">
      <c r="A22" s="2" t="inlineStr">
        <is>
          <t>1,2-dimethoxyethane</t>
        </is>
      </c>
      <c r="B22" s="2" t="inlineStr">
        <is>
          <t>1,2-dimethoxyethane, dme, glyme</t>
        </is>
      </c>
      <c r="C22" s="2" t="inlineStr">
        <is>
          <t>COCCOC</t>
        </is>
      </c>
      <c r="D22" s="2" t="n">
        <v>85</v>
      </c>
      <c r="E22" s="2" t="inlineStr">
        <is>
          <t>added for the recorded reactions (learned_reactions.xlsx)</t>
        </is>
      </c>
      <c r="F22" s="2" t="inlineStr">
        <is>
          <t>polar aprotic</t>
        </is>
      </c>
    </row>
    <row r="23">
      <c r="A23" s="2" t="inlineStr">
        <is>
          <t>1,2-dichloroethane</t>
        </is>
      </c>
      <c r="B23" s="2" t="inlineStr">
        <is>
          <t>1,2-dichloroethane, dce, edc</t>
        </is>
      </c>
      <c r="C23" s="2" t="inlineStr">
        <is>
          <t>ClCCCl</t>
        </is>
      </c>
      <c r="D23" s="2" t="n">
        <v>84</v>
      </c>
      <c r="E23" s="2" t="inlineStr">
        <is>
          <t>added for the recorded reactions (learned_reactions.xlsx)</t>
        </is>
      </c>
      <c r="F23" s="2" t="inlineStr">
        <is>
          <t>polar aprotic</t>
        </is>
      </c>
    </row>
    <row r="24">
      <c r="A24" s="2" t="inlineStr">
        <is>
          <t>DMA</t>
        </is>
      </c>
      <c r="B24" s="2" t="inlineStr">
        <is>
          <t>dma, dmac, dimethylacetamide</t>
        </is>
      </c>
      <c r="C24" s="2" t="inlineStr">
        <is>
          <t>CC(=O)N(C)C</t>
        </is>
      </c>
      <c r="D24" s="2" t="n">
        <v>165</v>
      </c>
      <c r="E24" s="2" t="inlineStr">
        <is>
          <t>added for the recorded reactions (learned_reactions.xlsx)</t>
        </is>
      </c>
      <c r="F24" s="2" t="inlineStr">
        <is>
          <t>polar aprotic</t>
        </is>
      </c>
    </row>
    <row r="25">
      <c r="A25" s="2" t="inlineStr">
        <is>
          <t>heptane</t>
        </is>
      </c>
      <c r="B25" s="2" t="inlineStr">
        <is>
          <t>heptane, n-heptane</t>
        </is>
      </c>
      <c r="C25" s="2" t="inlineStr">
        <is>
          <t>CCCCCCC</t>
        </is>
      </c>
      <c r="D25" s="2" t="n">
        <v>98</v>
      </c>
      <c r="E25" s="2" t="inlineStr">
        <is>
          <t>added for the recorded reactions (learned_reactions.xlsx)</t>
        </is>
      </c>
      <c r="F25" s="2" t="inlineStr">
        <is>
          <t>nonpolar</t>
        </is>
      </c>
    </row>
    <row r="26">
      <c r="A26" s="2" t="inlineStr">
        <is>
          <t>pentane</t>
        </is>
      </c>
      <c r="B26" s="2" t="inlineStr">
        <is>
          <t>pentane, n-pentane</t>
        </is>
      </c>
      <c r="C26" s="2" t="inlineStr">
        <is>
          <t>CCCCC</t>
        </is>
      </c>
      <c r="D26" s="2" t="n">
        <v>36</v>
      </c>
      <c r="E26" s="2" t="inlineStr">
        <is>
          <t>added for the recorded reactions (learned_reactions.xlsx)</t>
        </is>
      </c>
      <c r="F26" s="2" t="inlineStr">
        <is>
          <t>nonpolar</t>
        </is>
      </c>
    </row>
    <row r="27">
      <c r="A27" s="2" t="inlineStr">
        <is>
          <t>cyclohexane</t>
        </is>
      </c>
      <c r="B27" s="2" t="inlineStr">
        <is>
          <t>cyclohexane</t>
        </is>
      </c>
      <c r="C27" s="2" t="inlineStr">
        <is>
          <t>C1CCCCC1</t>
        </is>
      </c>
      <c r="D27" s="2" t="n">
        <v>81</v>
      </c>
      <c r="E27" s="2" t="inlineStr">
        <is>
          <t>added for the recorded reactions (learned_reactions.xlsx)</t>
        </is>
      </c>
      <c r="F27" s="2" t="inlineStr">
        <is>
          <t>nonpolar</t>
        </is>
      </c>
    </row>
    <row r="28">
      <c r="A28" s="2" t="inlineStr">
        <is>
          <t>MTBE</t>
        </is>
      </c>
      <c r="B28" s="2" t="inlineStr">
        <is>
          <t>mtbe, tert-butyl methyl ether, methyl tert-butyl ether</t>
        </is>
      </c>
      <c r="C28" s="2" t="inlineStr">
        <is>
          <t>COC(C)(C)C</t>
        </is>
      </c>
      <c r="D28" s="2" t="n">
        <v>55</v>
      </c>
      <c r="E28" s="2" t="inlineStr">
        <is>
          <t>added for the recorded reactions (learned_reactions.xlsx)</t>
        </is>
      </c>
      <c r="F28" s="2" t="inlineStr">
        <is>
          <t>nonpolar</t>
        </is>
      </c>
    </row>
    <row r="29">
      <c r="A29" s="2" t="inlineStr">
        <is>
          <t>diisopropyl ether</t>
        </is>
      </c>
      <c r="B29" s="2" t="inlineStr">
        <is>
          <t>diisopropyl ether, ipr2o</t>
        </is>
      </c>
      <c r="C29" s="2" t="inlineStr">
        <is>
          <t>CC(C)OC(C)C</t>
        </is>
      </c>
      <c r="D29" s="2" t="n">
        <v>68</v>
      </c>
      <c r="E29" s="2" t="inlineStr">
        <is>
          <t>added for the recorded reactions (learned_reactions.xlsx)</t>
        </is>
      </c>
      <c r="F29" s="2" t="inlineStr">
        <is>
          <t>nonpolar</t>
        </is>
      </c>
    </row>
    <row r="30">
      <c r="A30" s="2" t="inlineStr">
        <is>
          <t>1-butanol</t>
        </is>
      </c>
      <c r="B30" s="2" t="inlineStr">
        <is>
          <t>1-butanol, n-butanol, butanol, nbuoh</t>
        </is>
      </c>
      <c r="C30" s="2" t="inlineStr">
        <is>
          <t>CCCCO</t>
        </is>
      </c>
      <c r="D30" s="2" t="n">
        <v>118</v>
      </c>
      <c r="E30" s="2" t="inlineStr">
        <is>
          <t>added for the recorded reactions (learned_reactions.xlsx)</t>
        </is>
      </c>
      <c r="F30" s="2" t="inlineStr">
        <is>
          <t>protic</t>
        </is>
      </c>
    </row>
    <row r="31">
      <c r="A31" s="2" t="inlineStr">
        <is>
          <t>tert-butanol</t>
        </is>
      </c>
      <c r="B31" s="2" t="inlineStr">
        <is>
          <t>tert-butanol, t-butanol, tbuoh</t>
        </is>
      </c>
      <c r="C31" s="2" t="inlineStr">
        <is>
          <t>CC(C)(C)O</t>
        </is>
      </c>
      <c r="D31" s="2" t="n">
        <v>82</v>
      </c>
      <c r="E31" s="2" t="inlineStr">
        <is>
          <t>added for the recorded reactions (learned_reactions.xlsx)</t>
        </is>
      </c>
      <c r="F31" s="2" t="inlineStr">
        <is>
          <t>protic</t>
        </is>
      </c>
    </row>
    <row r="32">
      <c r="A32" s="2" t="inlineStr">
        <is>
          <t>1-propanol</t>
        </is>
      </c>
      <c r="B32" s="2" t="inlineStr">
        <is>
          <t>1-propanol, n-propanol, propanol</t>
        </is>
      </c>
      <c r="C32" s="2" t="inlineStr">
        <is>
          <t>CCCO</t>
        </is>
      </c>
      <c r="D32" s="2" t="n">
        <v>97</v>
      </c>
      <c r="E32" s="2" t="inlineStr">
        <is>
          <t>added for the recorded reactions (learned_reactions.xlsx)</t>
        </is>
      </c>
      <c r="F32" s="2" t="inlineStr">
        <is>
          <t>protic</t>
        </is>
      </c>
    </row>
    <row r="33">
      <c r="A33" s="2" t="inlineStr">
        <is>
          <t>ethylene glycol</t>
        </is>
      </c>
      <c r="B33" s="2" t="inlineStr">
        <is>
          <t>ethylene glycol</t>
        </is>
      </c>
      <c r="C33" s="2" t="inlineStr">
        <is>
          <t>OCCO</t>
        </is>
      </c>
      <c r="D33" s="2" t="n">
        <v>197</v>
      </c>
      <c r="E33" s="2" t="inlineStr">
        <is>
          <t>added for the recorded reactions (learned_reactions.xlsx)</t>
        </is>
      </c>
      <c r="F33" s="2" t="inlineStr">
        <is>
          <t>protic</t>
        </is>
      </c>
    </row>
    <row r="34">
      <c r="A34" s="2" t="inlineStr">
        <is>
          <t>2-methoxyethanol</t>
        </is>
      </c>
      <c r="B34" s="2" t="inlineStr">
        <is>
          <t>2-methoxyethanol</t>
        </is>
      </c>
      <c r="C34" s="2" t="inlineStr">
        <is>
          <t>COCCO</t>
        </is>
      </c>
      <c r="D34" s="2" t="n">
        <v>124</v>
      </c>
      <c r="E34" s="2" t="inlineStr">
        <is>
          <t>added for the recorded reactions (learned_reactions.xlsx)</t>
        </is>
      </c>
      <c r="F34" s="2" t="inlineStr">
        <is>
          <t>protic</t>
        </is>
      </c>
    </row>
    <row r="35">
      <c r="A35" s="2" t="inlineStr">
        <is>
          <t>2-butanone</t>
        </is>
      </c>
      <c r="B35" s="2" t="inlineStr">
        <is>
          <t>2-butanone, mek, methyl ethyl ketone</t>
        </is>
      </c>
      <c r="C35" s="2" t="inlineStr">
        <is>
          <t>CCC(C)=O</t>
        </is>
      </c>
      <c r="D35" s="2" t="n">
        <v>80</v>
      </c>
      <c r="E35" s="2" t="inlineStr">
        <is>
          <t>added for the recorded reactions (learned_reactions.xlsx)</t>
        </is>
      </c>
      <c r="F35" s="2" t="inlineStr">
        <is>
          <t>polar aprotic</t>
        </is>
      </c>
    </row>
    <row r="36">
      <c r="A36" s="2" t="inlineStr">
        <is>
          <t>chlorobenzene</t>
        </is>
      </c>
      <c r="B36" s="2" t="inlineStr">
        <is>
          <t>chlorobenzene, phcl</t>
        </is>
      </c>
      <c r="C36" s="2" t="inlineStr">
        <is>
          <t>Clc1ccccc1</t>
        </is>
      </c>
      <c r="D36" s="2" t="n">
        <v>132</v>
      </c>
      <c r="E36" s="2" t="inlineStr">
        <is>
          <t>added for the recorded reactions (learned_reactions.xlsx)</t>
        </is>
      </c>
      <c r="F36" s="2" t="inlineStr">
        <is>
          <t>nonpolar</t>
        </is>
      </c>
    </row>
    <row r="37">
      <c r="A37" s="2" t="inlineStr">
        <is>
          <t>HMPA</t>
        </is>
      </c>
      <c r="B37" s="2" t="inlineStr">
        <is>
          <t>hmpa, hexamethylphosphoramide</t>
        </is>
      </c>
      <c r="C37" s="2" t="inlineStr">
        <is>
          <t>CN(C)P(=O)(N(C)C)N(C)C</t>
        </is>
      </c>
      <c r="D37" s="2" t="n">
        <v>235</v>
      </c>
      <c r="E37" s="2" t="inlineStr">
        <is>
          <t>added for the recorded reactions (learned_reactions.xlsx)</t>
        </is>
      </c>
      <c r="F37" s="2" t="inlineStr">
        <is>
          <t>polar aprotic</t>
        </is>
      </c>
    </row>
    <row r="38">
      <c r="A38" s="2" t="inlineStr">
        <is>
          <t>2-methyltetrahydrofuran</t>
        </is>
      </c>
      <c r="B38" s="2" t="inlineStr">
        <is>
          <t>2-methyltetrahydrofuran, 2-methf, me-thf</t>
        </is>
      </c>
      <c r="C38" s="2" t="inlineStr">
        <is>
          <t>CC1CCCO1</t>
        </is>
      </c>
      <c r="D38" s="2" t="n">
        <v>80</v>
      </c>
      <c r="E38" s="2" t="inlineStr">
        <is>
          <t>added for the recorded reactions (learned_reactions.xlsx)</t>
        </is>
      </c>
      <c r="F38" s="2" t="inlineStr">
        <is>
          <t>polar aprotic</t>
        </is>
      </c>
    </row>
    <row r="39">
      <c r="A39" s="2" t="inlineStr">
        <is>
          <t>sulfolane</t>
        </is>
      </c>
      <c r="B39" s="2" t="inlineStr">
        <is>
          <t>sulfolane</t>
        </is>
      </c>
      <c r="C39" s="2" t="inlineStr">
        <is>
          <t>O=S1(=O)CCCC1</t>
        </is>
      </c>
      <c r="D39" s="2" t="n">
        <v>285</v>
      </c>
      <c r="E39" s="2" t="inlineStr">
        <is>
          <t>added for the recorded reactions (learned_reactions.xlsx)</t>
        </is>
      </c>
      <c r="F39" s="2" t="inlineStr">
        <is>
          <t>polar aprotic</t>
        </is>
      </c>
    </row>
    <row r="40">
      <c r="A40" s="2" t="inlineStr">
        <is>
          <t>nitromethane</t>
        </is>
      </c>
      <c r="B40" s="2" t="inlineStr">
        <is>
          <t>nitromethane, meno2</t>
        </is>
      </c>
      <c r="C40" s="2" t="inlineStr">
        <is>
          <t>C[N+](=O)[O-]</t>
        </is>
      </c>
      <c r="D40" s="2" t="n">
        <v>101</v>
      </c>
      <c r="E40" s="2" t="inlineStr">
        <is>
          <t>added for the recorded reactions (learned_reactions.xlsx)</t>
        </is>
      </c>
      <c r="F40" s="2" t="inlineStr">
        <is>
          <t>polar aprotic</t>
        </is>
      </c>
    </row>
    <row r="42">
      <c r="A42" s="5" t="inlineStr">
        <is>
          <t>Boiling points at 1 atm, rounded to whole °C: CRC Handbook of Chemistry and Physics.</t>
        </is>
      </c>
    </row>
  </sheetData>
  <autoFilter ref="A1:E4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30" customWidth="1" min="3" max="3"/>
    <col width="10" customWidth="1" min="4" max="4"/>
    <col width="50" customWidth="1" min="5" max="5"/>
    <col width="40" customWidth="1" min="6" max="6"/>
  </cols>
  <sheetData>
    <row r="1" ht="30" customHeight="1">
      <c r="A1" s="1" t="inlineStr">
        <is>
          <t>Name</t>
        </is>
      </c>
      <c r="B1" s="1" t="inlineStr">
        <is>
          <t>SMILES (as typed in the reagent box)</t>
        </is>
      </c>
      <c r="C1" s="1" t="inlineStr">
        <is>
          <t>Class</t>
        </is>
      </c>
      <c r="D1" s="1" t="inlineStr">
        <is>
          <t>Attacking atom</t>
        </is>
      </c>
      <c r="E1" s="1" t="inlineStr">
        <is>
          <t>Notes</t>
        </is>
      </c>
      <c r="F1" s="1" t="inlineStr">
        <is>
          <t>Source</t>
        </is>
      </c>
    </row>
    <row r="2">
      <c r="A2" s="2" t="inlineStr">
        <is>
          <t>sodium cyanide</t>
        </is>
      </c>
      <c r="B2" s="2" t="inlineStr">
        <is>
          <t>[C-]#N.[Na+]</t>
        </is>
      </c>
      <c r="C2" s="2" t="inlineStr">
        <is>
          <t>strong nucleophile, weak base</t>
        </is>
      </c>
      <c r="D2" s="2" t="inlineStr">
        <is>
          <t>C</t>
        </is>
      </c>
      <c r="E2" s="2" t="inlineStr"/>
      <c r="F2" s="2" t="inlineStr">
        <is>
          <t>Clayden, Organic Chemistry; Klein, Organic Chemistry (SN1/SN2/E1/E2)</t>
        </is>
      </c>
    </row>
    <row r="3">
      <c r="A3" s="2" t="inlineStr">
        <is>
          <t>sodium azide</t>
        </is>
      </c>
      <c r="B3" s="2" t="inlineStr">
        <is>
          <t>[N-]=[N+]=[N-].[Na+]</t>
        </is>
      </c>
      <c r="C3" s="2" t="inlineStr">
        <is>
          <t>strong nucleophile, weak base</t>
        </is>
      </c>
      <c r="D3" s="2" t="inlineStr">
        <is>
          <t>N</t>
        </is>
      </c>
      <c r="E3" s="2" t="inlineStr"/>
      <c r="F3" s="2" t="inlineStr">
        <is>
          <t>Clayden, Organic Chemistry; Klein, Organic Chemistry (SN1/SN2/E1/E2)</t>
        </is>
      </c>
    </row>
    <row r="4">
      <c r="A4" s="2" t="inlineStr">
        <is>
          <t>sodium iodide</t>
        </is>
      </c>
      <c r="B4" s="2" t="inlineStr">
        <is>
          <t>[I-].[Na+]</t>
        </is>
      </c>
      <c r="C4" s="2" t="inlineStr">
        <is>
          <t>strong nucleophile, weak base</t>
        </is>
      </c>
      <c r="D4" s="2" t="inlineStr">
        <is>
          <t>I</t>
        </is>
      </c>
      <c r="E4" s="2" t="inlineStr">
        <is>
          <t>Finkelstein</t>
        </is>
      </c>
      <c r="F4" s="2" t="inlineStr">
        <is>
          <t>Clayden, Organic Chemistry; Klein, Organic Chemistry (SN1/SN2/E1/E2)</t>
        </is>
      </c>
    </row>
    <row r="5">
      <c r="A5" s="2" t="inlineStr">
        <is>
          <t>sodium bromide</t>
        </is>
      </c>
      <c r="B5" s="2" t="inlineStr">
        <is>
          <t>[Br-].[Na+]</t>
        </is>
      </c>
      <c r="C5" s="2" t="inlineStr">
        <is>
          <t>strong nucleophile, weak base</t>
        </is>
      </c>
      <c r="D5" s="2" t="inlineStr">
        <is>
          <t>Br</t>
        </is>
      </c>
      <c r="E5" s="2" t="inlineStr"/>
      <c r="F5" s="2" t="inlineStr">
        <is>
          <t>Clayden, Organic Chemistry; Klein, Organic Chemistry (SN1/SN2/E1/E2)</t>
        </is>
      </c>
    </row>
    <row r="6">
      <c r="A6" s="2" t="inlineStr">
        <is>
          <t>sodium hydrosulfide</t>
        </is>
      </c>
      <c r="B6" s="2" t="inlineStr">
        <is>
          <t>[SH-].[Na+]</t>
        </is>
      </c>
      <c r="C6" s="2" t="inlineStr">
        <is>
          <t>strong nucleophile, weak base</t>
        </is>
      </c>
      <c r="D6" s="2" t="inlineStr">
        <is>
          <t>S</t>
        </is>
      </c>
      <c r="E6" s="2" t="inlineStr">
        <is>
          <t>sulfur: big, polarisable, weakly basic</t>
        </is>
      </c>
      <c r="F6" s="2" t="inlineStr">
        <is>
          <t>Clayden, Organic Chemistry; Klein, Organic Chemistry (SN1/SN2/E1/E2)</t>
        </is>
      </c>
    </row>
    <row r="7">
      <c r="A7" s="2" t="inlineStr">
        <is>
          <t>ammonia</t>
        </is>
      </c>
      <c r="B7" s="2" t="inlineStr">
        <is>
          <t>N</t>
        </is>
      </c>
      <c r="C7" s="2" t="inlineStr">
        <is>
          <t>strong nucleophile, weak base</t>
        </is>
      </c>
      <c r="D7" s="2" t="inlineStr">
        <is>
          <t>N</t>
        </is>
      </c>
      <c r="E7" s="2" t="inlineStr">
        <is>
          <t>neutral N: gives the ammonium salt</t>
        </is>
      </c>
      <c r="F7" s="2" t="inlineStr">
        <is>
          <t>Clayden, Organic Chemistry; Klein, Organic Chemistry (SN1/SN2/E1/E2)</t>
        </is>
      </c>
    </row>
    <row r="8">
      <c r="A8" s="2" t="inlineStr">
        <is>
          <t>sodium hydroxide</t>
        </is>
      </c>
      <c r="B8" s="2" t="inlineStr">
        <is>
          <t>[Na+].[OH-]</t>
        </is>
      </c>
      <c r="C8" s="2" t="inlineStr">
        <is>
          <t>strong nucleophile, strong base</t>
        </is>
      </c>
      <c r="D8" s="2" t="inlineStr">
        <is>
          <t>O</t>
        </is>
      </c>
      <c r="E8" s="2" t="inlineStr"/>
      <c r="F8" s="2" t="inlineStr">
        <is>
          <t>Clayden, Organic Chemistry; Klein, Organic Chemistry (SN1/SN2/E1/E2)</t>
        </is>
      </c>
    </row>
    <row r="9">
      <c r="A9" s="2" t="inlineStr">
        <is>
          <t>potassium hydroxide</t>
        </is>
      </c>
      <c r="B9" s="2" t="inlineStr">
        <is>
          <t>[K+].[OH-]</t>
        </is>
      </c>
      <c r="C9" s="2" t="inlineStr">
        <is>
          <t>strong nucleophile, strong base</t>
        </is>
      </c>
      <c r="D9" s="2" t="inlineStr">
        <is>
          <t>O</t>
        </is>
      </c>
      <c r="E9" s="2" t="inlineStr"/>
      <c r="F9" s="2" t="inlineStr">
        <is>
          <t>Clayden, Organic Chemistry; Klein, Organic Chemistry (SN1/SN2/E1/E2)</t>
        </is>
      </c>
    </row>
    <row r="10">
      <c r="A10" s="2" t="inlineStr">
        <is>
          <t>sodium methoxide</t>
        </is>
      </c>
      <c r="B10" s="2" t="inlineStr">
        <is>
          <t>C[O-].[Na+]</t>
        </is>
      </c>
      <c r="C10" s="2" t="inlineStr">
        <is>
          <t>strong nucleophile, strong base</t>
        </is>
      </c>
      <c r="D10" s="2" t="inlineStr">
        <is>
          <t>O</t>
        </is>
      </c>
      <c r="E10" s="2" t="inlineStr"/>
      <c r="F10" s="2" t="inlineStr">
        <is>
          <t>Clayden, Organic Chemistry; Klein, Organic Chemistry (SN1/SN2/E1/E2)</t>
        </is>
      </c>
    </row>
    <row r="11">
      <c r="A11" s="2" t="inlineStr">
        <is>
          <t>sodium ethoxide</t>
        </is>
      </c>
      <c r="B11" s="2" t="inlineStr">
        <is>
          <t>CC[O-].[Na+]</t>
        </is>
      </c>
      <c r="C11" s="2" t="inlineStr">
        <is>
          <t>strong nucleophile, strong base</t>
        </is>
      </c>
      <c r="D11" s="2" t="inlineStr">
        <is>
          <t>O</t>
        </is>
      </c>
      <c r="E11" s="2" t="inlineStr"/>
      <c r="F11" s="2" t="inlineStr">
        <is>
          <t>Clayden, Organic Chemistry; Klein, Organic Chemistry (SN1/SN2/E1/E2)</t>
        </is>
      </c>
    </row>
    <row r="12">
      <c r="A12" s="2" t="inlineStr">
        <is>
          <t>potassium tert-butoxide</t>
        </is>
      </c>
      <c r="B12" s="2" t="inlineStr">
        <is>
          <t>CC(C)(C)[O-].[K+]</t>
        </is>
      </c>
      <c r="C12" s="2" t="inlineStr">
        <is>
          <t>bulky strong base</t>
        </is>
      </c>
      <c r="D12" s="2" t="inlineStr">
        <is>
          <t>O</t>
        </is>
      </c>
      <c r="E12" s="2" t="inlineStr">
        <is>
          <t>too bulky to reach the carbon: takes the most exposed H</t>
        </is>
      </c>
      <c r="F12" s="2" t="inlineStr">
        <is>
          <t>Clayden, Organic Chemistry; Klein, Organic Chemistry (SN1/SN2/E1/E2)</t>
        </is>
      </c>
    </row>
    <row r="13">
      <c r="A13" s="2" t="inlineStr">
        <is>
          <t>water</t>
        </is>
      </c>
      <c r="B13" s="2" t="inlineStr">
        <is>
          <t>O</t>
        </is>
      </c>
      <c r="C13" s="2" t="inlineStr">
        <is>
          <t>weak nucleophile, weak base</t>
        </is>
      </c>
      <c r="D13" s="2" t="inlineStr">
        <is>
          <t>O</t>
        </is>
      </c>
      <c r="E13" s="2" t="inlineStr">
        <is>
          <t>as the solvent: solvolysis</t>
        </is>
      </c>
      <c r="F13" s="2" t="inlineStr">
        <is>
          <t>Clayden, Organic Chemistry; Klein, Organic Chemistry (SN1/SN2/E1/E2)</t>
        </is>
      </c>
    </row>
    <row r="14">
      <c r="A14" s="2" t="inlineStr">
        <is>
          <t>methanol</t>
        </is>
      </c>
      <c r="B14" s="2" t="inlineStr">
        <is>
          <t>CO</t>
        </is>
      </c>
      <c r="C14" s="2" t="inlineStr">
        <is>
          <t>weak nucleophile, weak base</t>
        </is>
      </c>
      <c r="D14" s="2" t="inlineStr">
        <is>
          <t>O</t>
        </is>
      </c>
      <c r="E14" s="2" t="inlineStr">
        <is>
          <t>as the solvent: solvolysis</t>
        </is>
      </c>
      <c r="F14" s="2" t="inlineStr">
        <is>
          <t>Clayden, Organic Chemistry; Klein, Organic Chemistry (SN1/SN2/E1/E2)</t>
        </is>
      </c>
    </row>
    <row r="15">
      <c r="A15" s="2" t="inlineStr">
        <is>
          <t>ethanol</t>
        </is>
      </c>
      <c r="B15" s="2" t="inlineStr">
        <is>
          <t>CCO</t>
        </is>
      </c>
      <c r="C15" s="2" t="inlineStr">
        <is>
          <t>weak nucleophile, weak base</t>
        </is>
      </c>
      <c r="D15" s="2" t="inlineStr">
        <is>
          <t>O</t>
        </is>
      </c>
      <c r="E15" s="2" t="inlineStr">
        <is>
          <t>as the solvent: solvolysis</t>
        </is>
      </c>
      <c r="F15" s="2" t="inlineStr">
        <is>
          <t>Clayden, Organic Chemistry; Klein, Organic Chemistry (SN1/SN2/E1/E2)</t>
        </is>
      </c>
    </row>
  </sheetData>
  <autoFilter ref="A1:F1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30" customWidth="1" min="2" max="2"/>
    <col width="14" customWidth="1" min="3" max="3"/>
    <col width="8" customWidth="1" min="4" max="4"/>
    <col width="12" customWidth="1" min="5" max="5"/>
    <col width="12" customWidth="1" min="6" max="6"/>
    <col width="80" customWidth="1" min="7" max="7"/>
  </cols>
  <sheetData>
    <row r="1" ht="30" customHeight="1">
      <c r="A1" s="1" t="inlineStr">
        <is>
          <t>Substrate (fragment class)</t>
        </is>
      </c>
      <c r="B1" s="1" t="inlineStr">
        <is>
          <t>Reagent class (Nucleophiles sheet)</t>
        </is>
      </c>
      <c r="C1" s="1" t="inlineStr">
        <is>
          <t>Solvent type</t>
        </is>
      </c>
      <c r="D1" s="1" t="inlineStr">
        <is>
          <t>Heat</t>
        </is>
      </c>
      <c r="E1" s="1" t="inlineStr">
        <is>
          <t>Major pathway</t>
        </is>
      </c>
      <c r="F1" s="1" t="inlineStr">
        <is>
          <t>Minor pathway</t>
        </is>
      </c>
      <c r="G1" s="1" t="inlineStr">
        <is>
          <t>Why</t>
        </is>
      </c>
    </row>
    <row r="2">
      <c r="A2" s="2" t="inlineStr">
        <is>
          <t>methyl</t>
        </is>
      </c>
      <c r="B2" s="2" t="inlineStr">
        <is>
          <t>any</t>
        </is>
      </c>
      <c r="C2" s="2" t="inlineStr">
        <is>
          <t>any</t>
        </is>
      </c>
      <c r="D2" s="2" t="inlineStr">
        <is>
          <t>any</t>
        </is>
      </c>
      <c r="E2" s="2" t="inlineStr">
        <is>
          <t>SN2</t>
        </is>
      </c>
      <c r="F2" s="2" t="inlineStr"/>
      <c r="G2" s="2" t="inlineStr">
        <is>
          <t>No β-H and no methyl cation: only SN2 is possible (a weak nucleophile is too slow).</t>
        </is>
      </c>
    </row>
    <row r="3">
      <c r="A3" s="2" t="inlineStr">
        <is>
          <t>1°</t>
        </is>
      </c>
      <c r="B3" s="2" t="inlineStr">
        <is>
          <t>bulky strong base</t>
        </is>
      </c>
      <c r="C3" s="2" t="inlineStr">
        <is>
          <t>any</t>
        </is>
      </c>
      <c r="D3" s="2" t="inlineStr">
        <is>
          <t>any</t>
        </is>
      </c>
      <c r="E3" s="2" t="inlineStr">
        <is>
          <t>E2</t>
        </is>
      </c>
      <c r="F3" s="2" t="inlineStr">
        <is>
          <t>SN2</t>
        </is>
      </c>
      <c r="G3" s="2" t="inlineStr">
        <is>
          <t>The bulky base can't reach the carbon, so it takes a β-H: Hofmann (less substituted) alkene.</t>
        </is>
      </c>
    </row>
    <row r="4">
      <c r="A4" s="2" t="inlineStr">
        <is>
          <t>1°</t>
        </is>
      </c>
      <c r="B4" s="2" t="inlineStr">
        <is>
          <t>weak nucleophile, weak base</t>
        </is>
      </c>
      <c r="C4" s="2" t="inlineStr">
        <is>
          <t>any</t>
        </is>
      </c>
      <c r="D4" s="2" t="inlineStr">
        <is>
          <t>any</t>
        </is>
      </c>
      <c r="E4" s="2" t="inlineStr">
        <is>
          <t>none</t>
        </is>
      </c>
      <c r="F4" s="2" t="inlineStr"/>
      <c r="G4" s="2" t="inlineStr">
        <is>
          <t>A primary cation won't form and a weak nucleophile can't do SN2: essentially no reaction.</t>
        </is>
      </c>
    </row>
    <row r="5">
      <c r="A5" s="2" t="inlineStr">
        <is>
          <t>1°</t>
        </is>
      </c>
      <c r="B5" s="2" t="inlineStr">
        <is>
          <t>strong nucleophile, strong base</t>
        </is>
      </c>
      <c r="C5" s="2" t="inlineStr">
        <is>
          <t>any</t>
        </is>
      </c>
      <c r="D5" s="2" t="inlineStr">
        <is>
          <t>yes</t>
        </is>
      </c>
      <c r="E5" s="2" t="inlineStr">
        <is>
          <t>SN2</t>
        </is>
      </c>
      <c r="F5" s="2" t="inlineStr">
        <is>
          <t>E2</t>
        </is>
      </c>
      <c r="G5" s="2" t="inlineStr">
        <is>
          <t>Open primary carbon: SN2. Heat and a strong base add some E2.</t>
        </is>
      </c>
    </row>
    <row r="6">
      <c r="A6" s="2" t="inlineStr">
        <is>
          <t>1°</t>
        </is>
      </c>
      <c r="B6" s="2" t="inlineStr">
        <is>
          <t>any</t>
        </is>
      </c>
      <c r="C6" s="2" t="inlineStr">
        <is>
          <t>any</t>
        </is>
      </c>
      <c r="D6" s="2" t="inlineStr">
        <is>
          <t>any</t>
        </is>
      </c>
      <c r="E6" s="2" t="inlineStr">
        <is>
          <t>SN2</t>
        </is>
      </c>
      <c r="F6" s="2" t="inlineStr"/>
      <c r="G6" s="2" t="inlineStr">
        <is>
          <t>Open primary carbon, no cation possible: SN2.</t>
        </is>
      </c>
    </row>
    <row r="7">
      <c r="A7" s="2" t="inlineStr">
        <is>
          <t>2°</t>
        </is>
      </c>
      <c r="B7" s="2" t="inlineStr">
        <is>
          <t>bulky strong base</t>
        </is>
      </c>
      <c r="C7" s="2" t="inlineStr">
        <is>
          <t>any</t>
        </is>
      </c>
      <c r="D7" s="2" t="inlineStr">
        <is>
          <t>any</t>
        </is>
      </c>
      <c r="E7" s="2" t="inlineStr">
        <is>
          <t>E2</t>
        </is>
      </c>
      <c r="F7" s="2" t="inlineStr"/>
      <c r="G7" s="2" t="inlineStr">
        <is>
          <t>Bulky strong base: E2, Hofmann alkene.</t>
        </is>
      </c>
    </row>
    <row r="8">
      <c r="A8" s="2" t="inlineStr">
        <is>
          <t>2°</t>
        </is>
      </c>
      <c r="B8" s="2" t="inlineStr">
        <is>
          <t>strong nucleophile, strong base</t>
        </is>
      </c>
      <c r="C8" s="2" t="inlineStr">
        <is>
          <t>any</t>
        </is>
      </c>
      <c r="D8" s="2" t="inlineStr">
        <is>
          <t>any</t>
        </is>
      </c>
      <c r="E8" s="2" t="inlineStr">
        <is>
          <t>E2</t>
        </is>
      </c>
      <c r="F8" s="2" t="inlineStr">
        <is>
          <t>SN2</t>
        </is>
      </c>
      <c r="G8" s="2" t="inlineStr">
        <is>
          <t>Secondary carbon + strong base: E2 leads (Zaitsev), SN2 alongside; heat widens the gap.</t>
        </is>
      </c>
    </row>
    <row r="9">
      <c r="A9" s="2" t="inlineStr">
        <is>
          <t>2°</t>
        </is>
      </c>
      <c r="B9" s="2" t="inlineStr">
        <is>
          <t>strong nucleophile, weak base</t>
        </is>
      </c>
      <c r="C9" s="2" t="inlineStr">
        <is>
          <t>any</t>
        </is>
      </c>
      <c r="D9" s="2" t="inlineStr">
        <is>
          <t>any</t>
        </is>
      </c>
      <c r="E9" s="2" t="inlineStr">
        <is>
          <t>SN2</t>
        </is>
      </c>
      <c r="F9" s="2" t="inlineStr"/>
      <c r="G9" s="2" t="inlineStr">
        <is>
          <t>Strong nucleophile that is a weak base attacks the carbon: SN2 (fastest in a polar aprotic solvent).</t>
        </is>
      </c>
    </row>
    <row r="10">
      <c r="A10" s="2" t="inlineStr">
        <is>
          <t>2°</t>
        </is>
      </c>
      <c r="B10" s="2" t="inlineStr">
        <is>
          <t>weak nucleophile, weak base</t>
        </is>
      </c>
      <c r="C10" s="2" t="inlineStr">
        <is>
          <t>protic</t>
        </is>
      </c>
      <c r="D10" s="2" t="inlineStr">
        <is>
          <t>yes</t>
        </is>
      </c>
      <c r="E10" s="2" t="inlineStr">
        <is>
          <t>E1</t>
        </is>
      </c>
      <c r="F10" s="2" t="inlineStr">
        <is>
          <t>SN1</t>
        </is>
      </c>
      <c r="G10" s="2" t="inlineStr">
        <is>
          <t>Weak nucleophile in a protic solvent: the cation forms slowly; heat favours elimination (E1).</t>
        </is>
      </c>
    </row>
    <row r="11">
      <c r="A11" s="2" t="inlineStr">
        <is>
          <t>2°</t>
        </is>
      </c>
      <c r="B11" s="2" t="inlineStr">
        <is>
          <t>weak nucleophile, weak base</t>
        </is>
      </c>
      <c r="C11" s="2" t="inlineStr">
        <is>
          <t>protic</t>
        </is>
      </c>
      <c r="D11" s="2" t="inlineStr">
        <is>
          <t>any</t>
        </is>
      </c>
      <c r="E11" s="2" t="inlineStr">
        <is>
          <t>SN1</t>
        </is>
      </c>
      <c r="F11" s="2" t="inlineStr">
        <is>
          <t>E1</t>
        </is>
      </c>
      <c r="G11" s="2" t="inlineStr">
        <is>
          <t>Weak nucleophile in a protic solvent: slow solvolysis through a 2° cation (SN1, some E1).</t>
        </is>
      </c>
    </row>
    <row r="12">
      <c r="A12" s="2" t="inlineStr">
        <is>
          <t>3°</t>
        </is>
      </c>
      <c r="B12" s="2" t="inlineStr">
        <is>
          <t>bulky strong base</t>
        </is>
      </c>
      <c r="C12" s="2" t="inlineStr">
        <is>
          <t>any</t>
        </is>
      </c>
      <c r="D12" s="2" t="inlineStr">
        <is>
          <t>any</t>
        </is>
      </c>
      <c r="E12" s="2" t="inlineStr">
        <is>
          <t>E2</t>
        </is>
      </c>
      <c r="F12" s="2" t="inlineStr"/>
      <c r="G12" s="2" t="inlineStr">
        <is>
          <t>Bulky strong base: E2, Hofmann alkene.</t>
        </is>
      </c>
    </row>
    <row r="13">
      <c r="A13" s="2" t="inlineStr">
        <is>
          <t>3°</t>
        </is>
      </c>
      <c r="B13" s="2" t="inlineStr">
        <is>
          <t>strong nucleophile, strong base</t>
        </is>
      </c>
      <c r="C13" s="2" t="inlineStr">
        <is>
          <t>any</t>
        </is>
      </c>
      <c r="D13" s="2" t="inlineStr">
        <is>
          <t>any</t>
        </is>
      </c>
      <c r="E13" s="2" t="inlineStr">
        <is>
          <t>E2</t>
        </is>
      </c>
      <c r="F13" s="2" t="inlineStr"/>
      <c r="G13" s="2" t="inlineStr">
        <is>
          <t>Tertiary carbon is too crowded for SN2; a strong base takes a β-H: E2 (Zaitsev).</t>
        </is>
      </c>
    </row>
    <row r="14">
      <c r="A14" s="2" t="inlineStr">
        <is>
          <t>3°</t>
        </is>
      </c>
      <c r="B14" s="2" t="inlineStr">
        <is>
          <t>weak nucleophile, weak base</t>
        </is>
      </c>
      <c r="C14" s="2" t="inlineStr">
        <is>
          <t>protic</t>
        </is>
      </c>
      <c r="D14" s="2" t="inlineStr">
        <is>
          <t>yes</t>
        </is>
      </c>
      <c r="E14" s="2" t="inlineStr">
        <is>
          <t>E1</t>
        </is>
      </c>
      <c r="F14" s="2" t="inlineStr">
        <is>
          <t>SN1</t>
        </is>
      </c>
      <c r="G14" s="2" t="inlineStr">
        <is>
          <t>Tertiary cation forms easily in a protic solvent; heat favours E1.</t>
        </is>
      </c>
    </row>
    <row r="15">
      <c r="A15" s="2" t="inlineStr">
        <is>
          <t>3°</t>
        </is>
      </c>
      <c r="B15" s="2" t="inlineStr">
        <is>
          <t>weak nucleophile, weak base</t>
        </is>
      </c>
      <c r="C15" s="2" t="inlineStr">
        <is>
          <t>protic</t>
        </is>
      </c>
      <c r="D15" s="2" t="inlineStr">
        <is>
          <t>any</t>
        </is>
      </c>
      <c r="E15" s="2" t="inlineStr">
        <is>
          <t>SN1</t>
        </is>
      </c>
      <c r="F15" s="2" t="inlineStr">
        <is>
          <t>E1</t>
        </is>
      </c>
      <c r="G15" s="2" t="inlineStr">
        <is>
          <t>Tertiary cation forms easily in a protic solvent: SN1 (with some E1).</t>
        </is>
      </c>
    </row>
    <row r="16">
      <c r="A16" s="2" t="inlineStr">
        <is>
          <t>3°</t>
        </is>
      </c>
      <c r="B16" s="2" t="inlineStr">
        <is>
          <t>strong nucleophile, weak base</t>
        </is>
      </c>
      <c r="C16" s="2" t="inlineStr">
        <is>
          <t>protic</t>
        </is>
      </c>
      <c r="D16" s="2" t="inlineStr">
        <is>
          <t>any</t>
        </is>
      </c>
      <c r="E16" s="2" t="inlineStr">
        <is>
          <t>SN1</t>
        </is>
      </c>
      <c r="F16" s="2" t="inlineStr">
        <is>
          <t>E1</t>
        </is>
      </c>
      <c r="G16" s="2" t="inlineStr">
        <is>
          <t>SN2 is blocked; in a protic solvent the cation forms and the nucleophile traps it (SN1).</t>
        </is>
      </c>
    </row>
    <row r="17">
      <c r="A17" s="2" t="inlineStr">
        <is>
          <t>3°</t>
        </is>
      </c>
      <c r="B17" s="2" t="inlineStr">
        <is>
          <t>any</t>
        </is>
      </c>
      <c r="C17" s="2" t="inlineStr">
        <is>
          <t>any</t>
        </is>
      </c>
      <c r="D17" s="2" t="inlineStr">
        <is>
          <t>any</t>
        </is>
      </c>
      <c r="E17" s="2" t="inlineStr">
        <is>
          <t>none</t>
        </is>
      </c>
      <c r="F17" s="2" t="inlineStr"/>
      <c r="G17" s="2" t="inlineStr">
        <is>
          <t>SN2 is blocked and nothing here forms the cation or takes a β-H: no reaction.</t>
        </is>
      </c>
    </row>
    <row r="19">
      <c r="A19" s="5" t="inlineStr">
        <is>
          <t>Read top to bottom: the FIRST row that matches wins ('any' matches everything; Heat 'yes' = heat or ≥ 50 °C). Substrate class comes from fragments F043 methyl, F044 1°, F045 2°, F046 3° (molecule_data.xlsx). Used when no rule on the Reactions sheet fits an alkyl halide; the app's SN1/SN2/E1/E2 engine then draws that pathway's mechanism.</t>
        </is>
      </c>
    </row>
  </sheetData>
  <autoFilter ref="A1:G1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26" customWidth="1" min="2" max="2"/>
    <col width="34" customWidth="1" min="3" max="3"/>
    <col width="80" customWidth="1" min="4" max="4"/>
  </cols>
  <sheetData>
    <row r="1" ht="30" customHeight="1">
      <c r="A1" s="1" t="inlineStr">
        <is>
          <t>Fragment ID</t>
        </is>
      </c>
      <c r="B1" s="1" t="inlineStr">
        <is>
          <t>Fragment name</t>
        </is>
      </c>
      <c r="C1" s="1" t="inlineStr">
        <is>
          <t>Suggest (what goes in the conditions box; comma = several)</t>
        </is>
      </c>
      <c r="D1" s="1" t="inlineStr">
        <is>
          <t>Why</t>
        </is>
      </c>
    </row>
    <row r="2">
      <c r="A2" s="2" t="inlineStr">
        <is>
          <t>F037</t>
        </is>
      </c>
      <c r="B2" s="2" t="inlineStr">
        <is>
          <t>allylic CH2</t>
        </is>
      </c>
      <c r="C2" s="2" t="inlineStr">
        <is>
          <t>light</t>
        </is>
      </c>
      <c r="D2" s="2" t="inlineStr">
        <is>
          <t>Radical bromination at the allylic C–H (with NBS) needs light (or a radical initiator).</t>
        </is>
      </c>
    </row>
    <row r="3">
      <c r="A3" s="2" t="inlineStr">
        <is>
          <t>F035</t>
        </is>
      </c>
      <c r="B3" s="2" t="inlineStr">
        <is>
          <t>aryl methyl (benzylic C–H)</t>
        </is>
      </c>
      <c r="C3" s="2" t="inlineStr">
        <is>
          <t>light</t>
        </is>
      </c>
      <c r="D3" s="2" t="inlineStr">
        <is>
          <t>Radical bromination at the benzylic C–H (with NBS) needs light.</t>
        </is>
      </c>
    </row>
    <row r="4">
      <c r="A4" s="2" t="inlineStr">
        <is>
          <t>F035</t>
        </is>
      </c>
      <c r="B4" s="2" t="inlineStr">
        <is>
          <t>aryl methyl (benzylic C–H)</t>
        </is>
      </c>
      <c r="C4" s="2" t="inlineStr">
        <is>
          <t>reflux in water</t>
        </is>
      </c>
      <c r="D4" s="2" t="inlineStr">
        <is>
          <t>KMnO4 oxidises a benzylic C–H to COOH in hot water.</t>
        </is>
      </c>
    </row>
    <row r="5">
      <c r="A5" s="2" t="inlineStr">
        <is>
          <t>F029</t>
        </is>
      </c>
      <c r="B5" s="2" t="inlineStr">
        <is>
          <t>Grignard (C–MgBr)</t>
        </is>
      </c>
      <c r="C5" s="2" t="inlineStr">
        <is>
          <t>anhydrous, diethyl ether</t>
        </is>
      </c>
      <c r="D5" s="2" t="inlineStr">
        <is>
          <t>Grignards are made and used in dry ether (any O–H destroys them).</t>
        </is>
      </c>
    </row>
    <row r="6">
      <c r="A6" s="2" t="inlineStr">
        <is>
          <t>F029</t>
        </is>
      </c>
      <c r="B6" s="2" t="inlineStr">
        <is>
          <t>Grignard (C–MgBr)</t>
        </is>
      </c>
      <c r="C6" s="2" t="inlineStr">
        <is>
          <t>anhydrous, tetrahydrofuran</t>
        </is>
      </c>
      <c r="D6" s="2" t="inlineStr">
        <is>
          <t>THF is the other usual dry ether for Grignards.</t>
        </is>
      </c>
    </row>
    <row r="7">
      <c r="A7" s="2" t="inlineStr">
        <is>
          <t>F042</t>
        </is>
      </c>
      <c r="B7" s="2" t="inlineStr">
        <is>
          <t>aluminium hydride (LiAlH4)</t>
        </is>
      </c>
      <c r="C7" s="2" t="inlineStr">
        <is>
          <t>anhydrous, tetrahydrofuran</t>
        </is>
      </c>
      <c r="D7" s="2" t="inlineStr">
        <is>
          <t>LiAlH4 reacts violently with water and alcohols: dry THF or ether.</t>
        </is>
      </c>
    </row>
    <row r="8">
      <c r="A8" s="2" t="inlineStr">
        <is>
          <t>F027</t>
        </is>
      </c>
      <c r="B8" s="2" t="inlineStr">
        <is>
          <t>aryl diazonium</t>
        </is>
      </c>
      <c r="C8" s="2" t="inlineStr">
        <is>
          <t>0 °C, water</t>
        </is>
      </c>
      <c r="D8" s="2" t="inlineStr">
        <is>
          <t>Diazonium salts are made and kept at 0–5 °C.</t>
        </is>
      </c>
    </row>
    <row r="9">
      <c r="A9" s="2" t="inlineStr">
        <is>
          <t>F020</t>
        </is>
      </c>
      <c r="B9" s="2" t="inlineStr">
        <is>
          <t>acyl chloride</t>
        </is>
      </c>
      <c r="C9" s="2" t="inlineStr">
        <is>
          <t>dichloromethane, 0 °C</t>
        </is>
      </c>
      <c r="D9" s="2" t="inlineStr">
        <is>
          <t>Acyl chlorides react fast: a dry, non-nucleophilic solvent, cold.</t>
        </is>
      </c>
    </row>
    <row r="10">
      <c r="A10" s="2" t="inlineStr">
        <is>
          <t>F044</t>
        </is>
      </c>
      <c r="B10" s="2" t="inlineStr">
        <is>
          <t>alkyl halide (1°)</t>
        </is>
      </c>
      <c r="C10" s="2" t="inlineStr">
        <is>
          <t>DMSO</t>
        </is>
      </c>
      <c r="D10" s="2" t="inlineStr">
        <is>
          <t>SN2 on a primary carbon is fastest in a polar aprotic solvent.</t>
        </is>
      </c>
    </row>
    <row r="11">
      <c r="A11" s="2" t="inlineStr">
        <is>
          <t>F045</t>
        </is>
      </c>
      <c r="B11" s="2" t="inlineStr">
        <is>
          <t>alkyl halide (2°)</t>
        </is>
      </c>
      <c r="C11" s="2" t="inlineStr">
        <is>
          <t>DMSO</t>
        </is>
      </c>
      <c r="D11" s="2" t="inlineStr">
        <is>
          <t>With a nucleophile that is a weak base: SN2 in a polar aprotic solvent.</t>
        </is>
      </c>
    </row>
    <row r="12">
      <c r="A12" s="2" t="inlineStr">
        <is>
          <t>F045</t>
        </is>
      </c>
      <c r="B12" s="2" t="inlineStr">
        <is>
          <t>alkyl halide (2°)</t>
        </is>
      </c>
      <c r="C12" s="2" t="inlineStr">
        <is>
          <t>reflux in ethanol</t>
        </is>
      </c>
      <c r="D12" s="2" t="inlineStr">
        <is>
          <t>With a strong base: E2, and heat favours elimination.</t>
        </is>
      </c>
    </row>
    <row r="13">
      <c r="A13" s="2" t="inlineStr">
        <is>
          <t>F046</t>
        </is>
      </c>
      <c r="B13" s="2" t="inlineStr">
        <is>
          <t>alkyl halide (3°)</t>
        </is>
      </c>
      <c r="C13" s="2" t="inlineStr">
        <is>
          <t>water, rt</t>
        </is>
      </c>
      <c r="D13" s="2" t="inlineStr">
        <is>
          <t>Solvolysis: SN1 in a protic solvent.</t>
        </is>
      </c>
    </row>
    <row r="14">
      <c r="A14" s="2" t="inlineStr">
        <is>
          <t>F046</t>
        </is>
      </c>
      <c r="B14" s="2" t="inlineStr">
        <is>
          <t>alkyl halide (3°)</t>
        </is>
      </c>
      <c r="C14" s="2" t="inlineStr">
        <is>
          <t>reflux in ethanol</t>
        </is>
      </c>
      <c r="D14" s="2" t="inlineStr">
        <is>
          <t>Heat in a protic solvent: E1 (or E2 with a strong base).</t>
        </is>
      </c>
    </row>
    <row r="15">
      <c r="A15" s="2" t="inlineStr">
        <is>
          <t>F030</t>
        </is>
      </c>
      <c r="B15" s="2" t="inlineStr">
        <is>
          <t>conjugated diene</t>
        </is>
      </c>
      <c r="C15" s="2" t="inlineStr">
        <is>
          <t>reflux in xylene</t>
        </is>
      </c>
      <c r="D15" s="2" t="inlineStr">
        <is>
          <t>Diels–Alder reactions are run hot (80–160 °C).</t>
        </is>
      </c>
    </row>
    <row r="16">
      <c r="A16" s="2" t="inlineStr">
        <is>
          <t>F017</t>
        </is>
      </c>
      <c r="B16" s="2" t="inlineStr">
        <is>
          <t>1,2-diol</t>
        </is>
      </c>
      <c r="C16" s="2" t="inlineStr">
        <is>
          <t>reflux in toluene</t>
        </is>
      </c>
      <c r="D16" s="2" t="inlineStr">
        <is>
          <t>Acetal formation: reflux in toluene with a Dean–Stark trap to remove water.</t>
        </is>
      </c>
    </row>
    <row r="17">
      <c r="A17" s="2" t="inlineStr">
        <is>
          <t>F001</t>
        </is>
      </c>
      <c r="B17" s="2" t="inlineStr">
        <is>
          <t>carboxylic acid</t>
        </is>
      </c>
      <c r="C17" s="2" t="inlineStr">
        <is>
          <t>reflux in ethanol</t>
        </is>
      </c>
      <c r="D17" s="2" t="inlineStr">
        <is>
          <t>Fischer esterification: reflux in the alcohol (60–120 °C) with an acid catalyst.</t>
        </is>
      </c>
    </row>
    <row r="18">
      <c r="A18" s="2" t="inlineStr">
        <is>
          <t>F014</t>
        </is>
      </c>
      <c r="B18" s="2" t="inlineStr">
        <is>
          <t>alcohol (on sp3 C)</t>
        </is>
      </c>
      <c r="C18" s="2" t="inlineStr">
        <is>
          <t>160 °C</t>
        </is>
      </c>
      <c r="D18" s="2" t="inlineStr">
        <is>
          <t>Acid-catalysed dehydration needs a high temperature (120–180 °C).</t>
        </is>
      </c>
    </row>
    <row r="20">
      <c r="A20" s="5" t="inlineStr">
        <is>
          <t>Shown at the top of the conditions list under the arrow when the fragment is in a starting material or the reagent. Anything a fragment REQUIRES on the Fragment_Conditions sheet is suggested too.</t>
        </is>
      </c>
    </row>
  </sheetData>
  <autoFilter ref="A1:D1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4" customWidth="1" min="2" max="2"/>
    <col width="10" customWidth="1" min="3" max="3"/>
    <col width="80" customWidth="1" min="4" max="4"/>
    <col width="40" customWidth="1" min="5" max="5"/>
  </cols>
  <sheetData>
    <row r="1" ht="30" customHeight="1">
      <c r="A1" s="1" t="inlineStr">
        <is>
          <t>Item</t>
        </is>
      </c>
      <c r="B1" s="1" t="inlineStr">
        <is>
          <t>Kind</t>
        </is>
      </c>
      <c r="C1" s="1" t="inlineStr">
        <is>
          <t>Value</t>
        </is>
      </c>
      <c r="D1" s="1" t="inlineStr">
        <is>
          <t>Why</t>
        </is>
      </c>
      <c r="E1" s="1" t="inlineStr">
        <is>
          <t>Source</t>
        </is>
      </c>
    </row>
    <row r="2">
      <c r="A2" s="2" t="inlineStr">
        <is>
          <t>methyl cation</t>
        </is>
      </c>
      <c r="B2" s="2" t="inlineStr">
        <is>
          <t>stability</t>
        </is>
      </c>
      <c r="C2" s="2" t="n">
        <v>0</v>
      </c>
      <c r="D2" s="2" t="inlineStr">
        <is>
          <t>No alkyl groups to donate: the least stable (never forms in solution).</t>
        </is>
      </c>
      <c r="E2" s="2" t="inlineStr">
        <is>
          <t>Clayden, Organic Chemistry (carbocation rearrangements); Klein, Organic Chemistry</t>
        </is>
      </c>
    </row>
    <row r="3">
      <c r="A3" s="2" t="inlineStr">
        <is>
          <t>1° cation</t>
        </is>
      </c>
      <c r="B3" s="2" t="inlineStr">
        <is>
          <t>stability</t>
        </is>
      </c>
      <c r="C3" s="2" t="n">
        <v>1</v>
      </c>
      <c r="D3" s="2" t="inlineStr">
        <is>
          <t>One alkyl group donates (hyperconjugation).</t>
        </is>
      </c>
      <c r="E3" s="2" t="inlineStr">
        <is>
          <t>Clayden, Organic Chemistry (carbocation rearrangements); Klein, Organic Chemistry</t>
        </is>
      </c>
    </row>
    <row r="4">
      <c r="A4" s="2" t="inlineStr">
        <is>
          <t>2° cation</t>
        </is>
      </c>
      <c r="B4" s="2" t="inlineStr">
        <is>
          <t>stability</t>
        </is>
      </c>
      <c r="C4" s="2" t="n">
        <v>2</v>
      </c>
      <c r="D4" s="2" t="inlineStr">
        <is>
          <t>Two alkyl groups.</t>
        </is>
      </c>
      <c r="E4" s="2" t="inlineStr">
        <is>
          <t>Clayden, Organic Chemistry (carbocation rearrangements); Klein, Organic Chemistry</t>
        </is>
      </c>
    </row>
    <row r="5">
      <c r="A5" s="2" t="inlineStr">
        <is>
          <t>3° cation</t>
        </is>
      </c>
      <c r="B5" s="2" t="inlineStr">
        <is>
          <t>stability</t>
        </is>
      </c>
      <c r="C5" s="2" t="n">
        <v>3</v>
      </c>
      <c r="D5" s="2" t="inlineStr">
        <is>
          <t>Three alkyl groups: the most stable simple cation.</t>
        </is>
      </c>
      <c r="E5" s="2" t="inlineStr">
        <is>
          <t>Clayden, Organic Chemistry (carbocation rearrangements); Klein, Organic Chemistry</t>
        </is>
      </c>
    </row>
    <row r="6">
      <c r="A6" s="2" t="inlineStr">
        <is>
          <t>benzylic or allylic</t>
        </is>
      </c>
      <c r="B6" s="2" t="inlineStr">
        <is>
          <t>bonus</t>
        </is>
      </c>
      <c r="C6" s="2" t="n">
        <v>1.5</v>
      </c>
      <c r="D6" s="2" t="inlineStr">
        <is>
          <t>The positive charge is shared over the π system (resonance): a 2° benzylic/allylic cation is about as stable as a 3° one.</t>
        </is>
      </c>
      <c r="E6" s="2" t="inlineStr">
        <is>
          <t>Clayden, Organic Chemistry (carbocation rearrangements); Klein, Organic Chemistry</t>
        </is>
      </c>
    </row>
    <row r="7">
      <c r="A7" s="2" t="inlineStr">
        <is>
          <t>ring expansion of a 4-membered ring</t>
        </is>
      </c>
      <c r="B7" s="2" t="inlineStr">
        <is>
          <t>bonus</t>
        </is>
      </c>
      <c r="C7" s="2" t="n">
        <v>2</v>
      </c>
      <c r="D7" s="2" t="inlineStr">
        <is>
          <t>Turning a strained cyclobutane (≈ 26 kcal/mol) into a cyclopentane releases most of the strain.</t>
        </is>
      </c>
      <c r="E7" s="2" t="inlineStr">
        <is>
          <t>Clayden, Organic Chemistry (carbocation rearrangements); Klein, Organic Chemistry</t>
        </is>
      </c>
    </row>
    <row r="8">
      <c r="A8" s="2" t="inlineStr">
        <is>
          <t>1,2-hydride shift</t>
        </is>
      </c>
      <c r="B8" s="2" t="inlineStr">
        <is>
          <t>priority</t>
        </is>
      </c>
      <c r="C8" s="2" t="n">
        <v>1</v>
      </c>
      <c r="D8" s="2" t="inlineStr">
        <is>
          <t>An H on the next carbon moves over with its bonding pair. Fastest: tried first.</t>
        </is>
      </c>
      <c r="E8" s="2" t="inlineStr">
        <is>
          <t>Clayden, Organic Chemistry (carbocation rearrangements); Klein, Organic Chemistry</t>
        </is>
      </c>
    </row>
    <row r="9">
      <c r="A9" s="2" t="inlineStr">
        <is>
          <t>1,2-methyl shift</t>
        </is>
      </c>
      <c r="B9" s="2" t="inlineStr">
        <is>
          <t>priority</t>
        </is>
      </c>
      <c r="C9" s="2" t="n">
        <v>2</v>
      </c>
      <c r="D9" s="2" t="inlineStr">
        <is>
          <t>A CH3 on the next carbon moves over with its bonding pair (when no H shift gives as good a cation).</t>
        </is>
      </c>
      <c r="E9" s="2" t="inlineStr">
        <is>
          <t>Clayden, Organic Chemistry (carbocation rearrangements); Klein, Organic Chemistry</t>
        </is>
      </c>
    </row>
    <row r="10">
      <c r="A10" s="2" t="inlineStr">
        <is>
          <t>1,2-alkyl shift</t>
        </is>
      </c>
      <c r="B10" s="2" t="inlineStr">
        <is>
          <t>priority</t>
        </is>
      </c>
      <c r="C10" s="2" t="n">
        <v>3</v>
      </c>
      <c r="D10" s="2" t="inlineStr">
        <is>
          <t>A larger alkyl group moves (less common).</t>
        </is>
      </c>
      <c r="E10" s="2" t="inlineStr">
        <is>
          <t>Clayden, Organic Chemistry (carbocation rearrangements); Klein, Organic Chemistry</t>
        </is>
      </c>
    </row>
    <row r="11">
      <c r="A11" s="2" t="inlineStr">
        <is>
          <t>ring expansion</t>
        </is>
      </c>
      <c r="B11" s="2" t="inlineStr">
        <is>
          <t>priority</t>
        </is>
      </c>
      <c r="C11" s="2" t="n">
        <v>4</v>
      </c>
      <c r="D11" s="2" t="inlineStr">
        <is>
          <t>A ring bond next to the cation moves to it, enlarging a strained ring.</t>
        </is>
      </c>
      <c r="E11" s="2" t="inlineStr">
        <is>
          <t>Clayden, Organic Chemistry (carbocation rearrangements); Klein, Organic Chemistry</t>
        </is>
      </c>
    </row>
    <row r="13">
      <c r="A13" s="5" t="inlineStr">
        <is>
          <t>A shift only happens if the new cation scores HIGHER (stability + bonus). Shifts repeat until no shift improves the cation (e.g. ring expansion then a hydride shift). Used for reactions with a Carbocation column on the Reactions sheet and for SN1/E1 from the Halide_Pathways sheet. Reactions without a free cation (hydroboration, oxymercuration, SN2, E2) never rearrange.</t>
        </is>
      </c>
    </row>
  </sheetData>
  <autoFilter ref="A1:E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6" customWidth="1" min="1" max="1"/>
    <col width="22" customWidth="1" min="2" max="2"/>
    <col width="11" customWidth="1" min="3" max="3"/>
    <col width="22" customWidth="1" min="4" max="4"/>
    <col width="80" customWidth="1" min="5" max="5"/>
    <col width="34" customWidth="1" min="6" max="6"/>
  </cols>
  <sheetData>
    <row r="1" ht="30" customHeight="1">
      <c r="A1" s="1" t="inlineStr">
        <is>
          <t>Reagent (SMILES as typed, or: any nucleophile / any acid / any base)</t>
        </is>
      </c>
      <c r="B1" s="1" t="inlineStr">
        <is>
          <t>Reagent name</t>
        </is>
      </c>
      <c r="C1" s="1" t="inlineStr">
        <is>
          <t>Fragment ID</t>
        </is>
      </c>
      <c r="D1" s="1" t="inlineStr">
        <is>
          <t>Fragment name</t>
        </is>
      </c>
      <c r="E1" s="1" t="inlineStr">
        <is>
          <t>Why there is no reaction</t>
        </is>
      </c>
      <c r="F1" s="1" t="inlineStr">
        <is>
          <t>Source</t>
        </is>
      </c>
    </row>
    <row r="2">
      <c r="A2" s="2" t="inlineStr">
        <is>
          <t>[BH4-].[Na+]</t>
        </is>
      </c>
      <c r="B2" s="2" t="inlineStr">
        <is>
          <t>NaBH4</t>
        </is>
      </c>
      <c r="C2" s="2" t="inlineStr">
        <is>
          <t>F004</t>
        </is>
      </c>
      <c r="D2" s="2" t="inlineStr">
        <is>
          <t>ester</t>
        </is>
      </c>
      <c r="E2" s="2" t="inlineStr">
        <is>
          <t>NaBH4 is too weak a hydride donor for esters: the OR lone pair makes the ester C=O much less electrophilic than a ketone's.</t>
        </is>
      </c>
      <c r="F2" s="2" t="inlineStr">
        <is>
          <t>Clayden, Organic Chemistry; Klein, Organic Chemistry</t>
        </is>
      </c>
    </row>
    <row r="3">
      <c r="A3" s="2" t="inlineStr">
        <is>
          <t>[BH4-].[Na+]</t>
        </is>
      </c>
      <c r="B3" s="2" t="inlineStr">
        <is>
          <t>NaBH4</t>
        </is>
      </c>
      <c r="C3" s="2" t="inlineStr">
        <is>
          <t>F001</t>
        </is>
      </c>
      <c r="D3" s="2" t="inlineStr">
        <is>
          <t>carboxylic acid</t>
        </is>
      </c>
      <c r="E3" s="2" t="inlineStr">
        <is>
          <t>The acid is deprotonated to a carboxylate, which hydride cannot attack.</t>
        </is>
      </c>
      <c r="F3" s="2" t="inlineStr">
        <is>
          <t>Clayden, Organic Chemistry; Klein, Organic Chemistry</t>
        </is>
      </c>
    </row>
    <row r="4">
      <c r="A4" s="2" t="inlineStr">
        <is>
          <t>[BH4-].[Na+]</t>
        </is>
      </c>
      <c r="B4" s="2" t="inlineStr">
        <is>
          <t>NaBH4</t>
        </is>
      </c>
      <c r="C4" s="2" t="inlineStr">
        <is>
          <t>F021</t>
        </is>
      </c>
      <c r="D4" s="2" t="inlineStr">
        <is>
          <t>amide</t>
        </is>
      </c>
      <c r="E4" s="2" t="inlineStr">
        <is>
          <t>Amides are the least electrophilic acid derivatives (N lone pair donates into the C=O).</t>
        </is>
      </c>
      <c r="F4" s="2" t="inlineStr">
        <is>
          <t>Clayden, Organic Chemistry; Klein, Organic Chemistry</t>
        </is>
      </c>
    </row>
    <row r="5">
      <c r="A5" s="2" t="inlineStr">
        <is>
          <t>[BH4-].[Na+]</t>
        </is>
      </c>
      <c r="B5" s="2" t="inlineStr">
        <is>
          <t>NaBH4</t>
        </is>
      </c>
      <c r="C5" s="2" t="inlineStr">
        <is>
          <t>F005</t>
        </is>
      </c>
      <c r="D5" s="2" t="inlineStr">
        <is>
          <t>alkene (C=C)</t>
        </is>
      </c>
      <c r="E5" s="2" t="inlineStr">
        <is>
          <t>Hydride does not add to an isolated C=C: there is no electrophilic carbon.</t>
        </is>
      </c>
      <c r="F5" s="2" t="inlineStr">
        <is>
          <t>Clayden, Organic Chemistry; Klein, Organic Chemistry</t>
        </is>
      </c>
    </row>
    <row r="6">
      <c r="A6" s="2" t="inlineStr">
        <is>
          <t>[AlH4-].[Li+]</t>
        </is>
      </c>
      <c r="B6" s="2" t="inlineStr">
        <is>
          <t>LiAlH4</t>
        </is>
      </c>
      <c r="C6" s="2" t="inlineStr">
        <is>
          <t>F005</t>
        </is>
      </c>
      <c r="D6" s="2" t="inlineStr">
        <is>
          <t>alkene (C=C)</t>
        </is>
      </c>
      <c r="E6" s="2" t="inlineStr">
        <is>
          <t>LiAlH4 does not reduce an isolated C=C (no electrophilic carbon).</t>
        </is>
      </c>
      <c r="F6" s="2" t="inlineStr">
        <is>
          <t>Clayden, Organic Chemistry; Klein, Organic Chemistry</t>
        </is>
      </c>
    </row>
    <row r="7">
      <c r="A7" s="2" t="inlineStr">
        <is>
          <t>BrBr</t>
        </is>
      </c>
      <c r="B7" s="2" t="inlineStr">
        <is>
          <t>Br2 (no Lewis acid)</t>
        </is>
      </c>
      <c r="C7" s="2" t="inlineStr">
        <is>
          <t>F009</t>
        </is>
      </c>
      <c r="D7" s="2" t="inlineStr">
        <is>
          <t>arene C–H</t>
        </is>
      </c>
      <c r="E7" s="2" t="inlineStr">
        <is>
          <t>Without a Lewis acid (FeBr3) Br2 is not electrophilic enough to break the ring's aromaticity: alkenes react, benzene does not.</t>
        </is>
      </c>
      <c r="F7" s="2" t="inlineStr">
        <is>
          <t>Clayden, Organic Chemistry; Klein, Organic Chemistry</t>
        </is>
      </c>
    </row>
    <row r="8">
      <c r="A8" s="2" t="inlineStr">
        <is>
          <t>Br</t>
        </is>
      </c>
      <c r="B8" s="2" t="inlineStr">
        <is>
          <t>HBr</t>
        </is>
      </c>
      <c r="C8" s="2" t="inlineStr">
        <is>
          <t>F009</t>
        </is>
      </c>
      <c r="D8" s="2" t="inlineStr">
        <is>
          <t>arene C–H</t>
        </is>
      </c>
      <c r="E8" s="2" t="inlineStr">
        <is>
          <t>HBr does not add to an aromatic ring: addition would destroy the aromatic stabilisation.</t>
        </is>
      </c>
      <c r="F8" s="2" t="inlineStr">
        <is>
          <t>Clayden, Organic Chemistry; Klein, Organic Chemistry</t>
        </is>
      </c>
    </row>
    <row r="9">
      <c r="A9" s="2" t="inlineStr">
        <is>
          <t>O=C(OO)c1cccc(Cl)c1</t>
        </is>
      </c>
      <c r="B9" s="2" t="inlineStr">
        <is>
          <t>mCPBA</t>
        </is>
      </c>
      <c r="C9" s="2" t="inlineStr">
        <is>
          <t>F009</t>
        </is>
      </c>
      <c r="D9" s="2" t="inlineStr">
        <is>
          <t>arene C–H</t>
        </is>
      </c>
      <c r="E9" s="2" t="inlineStr">
        <is>
          <t>Peracids do not epoxidise aromatic rings (aromatic stabilisation).</t>
        </is>
      </c>
      <c r="F9" s="2" t="inlineStr">
        <is>
          <t>Clayden, Organic Chemistry; Klein, Organic Chemistry</t>
        </is>
      </c>
    </row>
    <row r="10">
      <c r="A10" s="2" t="inlineStr">
        <is>
          <t>[H][H]</t>
        </is>
      </c>
      <c r="B10" s="2" t="inlineStr">
        <is>
          <t>H2, Pd/C (1 atm)</t>
        </is>
      </c>
      <c r="C10" s="2" t="inlineStr">
        <is>
          <t>F009</t>
        </is>
      </c>
      <c r="D10" s="2" t="inlineStr">
        <is>
          <t>arene C–H</t>
        </is>
      </c>
      <c r="E10" s="2" t="inlineStr">
        <is>
          <t>Benzene rings are not hydrogenated under the mild conditions that reduce alkenes (needs high pressure and temperature).</t>
        </is>
      </c>
      <c r="F10" s="2" t="inlineStr">
        <is>
          <t>Clayden, Organic Chemistry; Klein, Organic Chemistry</t>
        </is>
      </c>
    </row>
    <row r="11">
      <c r="A11" s="2" t="inlineStr">
        <is>
          <t>O=[Cr](=O)(Cl)[O-].c1cc[nH+]cc1</t>
        </is>
      </c>
      <c r="B11" s="2" t="inlineStr">
        <is>
          <t>PCC</t>
        </is>
      </c>
      <c r="C11" s="2" t="inlineStr">
        <is>
          <t>F016</t>
        </is>
      </c>
      <c r="D11" s="2" t="inlineStr">
        <is>
          <t>alcohol (3°)</t>
        </is>
      </c>
      <c r="E11" s="2" t="inlineStr">
        <is>
          <t>No H on the carbinol carbon: tertiary alcohols cannot be oxidised.</t>
        </is>
      </c>
      <c r="F11" s="2" t="inlineStr">
        <is>
          <t>Clayden, Organic Chemistry; Klein, Organic Chemistry</t>
        </is>
      </c>
    </row>
    <row r="12">
      <c r="A12" s="2" t="inlineStr">
        <is>
          <t>O=[Cr](=O)=O.O=S(=O)(O)O</t>
        </is>
      </c>
      <c r="B12" s="2" t="inlineStr">
        <is>
          <t>Jones reagent</t>
        </is>
      </c>
      <c r="C12" s="2" t="inlineStr">
        <is>
          <t>F016</t>
        </is>
      </c>
      <c r="D12" s="2" t="inlineStr">
        <is>
          <t>alcohol (3°)</t>
        </is>
      </c>
      <c r="E12" s="2" t="inlineStr">
        <is>
          <t>No H on the carbinol carbon: tertiary alcohols cannot be oxidised.</t>
        </is>
      </c>
      <c r="F12" s="2" t="inlineStr">
        <is>
          <t>Clayden, Organic Chemistry; Klein, Organic Chemistry</t>
        </is>
      </c>
    </row>
    <row r="13">
      <c r="A13" s="2" t="inlineStr">
        <is>
          <t>any nucleophile</t>
        </is>
      </c>
      <c r="B13" s="2" t="inlineStr"/>
      <c r="C13" s="2" t="inlineStr">
        <is>
          <t>F013</t>
        </is>
      </c>
      <c r="D13" s="2" t="inlineStr">
        <is>
          <t>aryl bromide</t>
        </is>
      </c>
      <c r="E13" s="2" t="inlineStr">
        <is>
          <t>No SN2 at an sp2 aryl carbon (the ring blocks backside attack) and no SN1 (an aryl cation is far too unstable).</t>
        </is>
      </c>
      <c r="F13" s="2" t="inlineStr">
        <is>
          <t>Clayden, Organic Chemistry; Klein, Organic Chemistry</t>
        </is>
      </c>
    </row>
    <row r="14">
      <c r="A14" s="2" t="inlineStr">
        <is>
          <t>any nucleophile</t>
        </is>
      </c>
      <c r="B14" s="2" t="inlineStr"/>
      <c r="C14" s="2" t="inlineStr">
        <is>
          <t>F005</t>
        </is>
      </c>
      <c r="D14" s="2" t="inlineStr">
        <is>
          <t>alkene (C=C)</t>
        </is>
      </c>
      <c r="E14" s="2" t="inlineStr">
        <is>
          <t>An isolated C=C is electron-rich: it reacts with electrophiles, not nucleophiles.</t>
        </is>
      </c>
      <c r="F14" s="2" t="inlineStr">
        <is>
          <t>Clayden, Organic Chemistry; Klein, Organic Chemistry</t>
        </is>
      </c>
    </row>
    <row r="16">
      <c r="A16" s="5" t="inlineStr">
        <is>
          <t>Used when no rule fires: if the reagent and a fragment present match a row, the page says 'No reaction (known)' with the reason, instead of 'Unknown'.</t>
        </is>
      </c>
    </row>
  </sheetData>
  <autoFilter ref="A1:F1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0" customWidth="1" min="2" max="2"/>
    <col width="20" customWidth="1" min="3" max="3"/>
    <col width="8" customWidth="1" min="4" max="4"/>
    <col width="12" customWidth="1" min="5" max="5"/>
    <col width="80" customWidth="1" min="6" max="6"/>
    <col width="40" customWidth="1" min="7" max="7"/>
  </cols>
  <sheetData>
    <row r="1" ht="30" customHeight="1">
      <c r="A1" s="1" t="inlineStr">
        <is>
          <t>Group</t>
        </is>
      </c>
      <c r="B1" s="1" t="inlineStr">
        <is>
          <t>SMARTS (first atom = the ring carbon)</t>
        </is>
      </c>
      <c r="C1" s="1" t="inlineStr">
        <is>
          <t>Activation</t>
        </is>
      </c>
      <c r="D1" s="1" t="inlineStr">
        <is>
          <t>Directs</t>
        </is>
      </c>
      <c r="E1" s="1" t="inlineStr">
        <is>
          <t>Blocks Friedel–Crafts</t>
        </is>
      </c>
      <c r="F1" s="1" t="inlineStr">
        <is>
          <t>Why</t>
        </is>
      </c>
      <c r="G1" s="1" t="inlineStr">
        <is>
          <t>Source</t>
        </is>
      </c>
    </row>
    <row r="2">
      <c r="A2" s="2" t="inlineStr">
        <is>
          <t>hydroxyl (phenol)</t>
        </is>
      </c>
      <c r="B2" s="2" t="inlineStr">
        <is>
          <t>c[OX2H]</t>
        </is>
      </c>
      <c r="C2" s="2" t="inlineStr">
        <is>
          <t>strong activator</t>
        </is>
      </c>
      <c r="D2" s="2" t="inlineStr">
        <is>
          <t>o/p</t>
        </is>
      </c>
      <c r="E2" s="2" t="inlineStr"/>
      <c r="F2" s="2" t="inlineStr">
        <is>
          <t>The O lone pair is donated into the ring (resonance), putting extra electron density at ortho and para.</t>
        </is>
      </c>
      <c r="G2" s="2" t="inlineStr">
        <is>
          <t>Clayden, Organic Chemistry (electrophilic aromatic substitution); Klein, Organic Chemistry</t>
        </is>
      </c>
    </row>
    <row r="3">
      <c r="A3" s="2" t="inlineStr">
        <is>
          <t>phenoxide</t>
        </is>
      </c>
      <c r="B3" s="2" t="inlineStr">
        <is>
          <t>c[O-]</t>
        </is>
      </c>
      <c r="C3" s="2" t="inlineStr">
        <is>
          <t>strong activator</t>
        </is>
      </c>
      <c r="D3" s="2" t="inlineStr">
        <is>
          <t>o/p</t>
        </is>
      </c>
      <c r="E3" s="2" t="inlineStr"/>
      <c r="F3" s="2" t="inlineStr">
        <is>
          <t>Even stronger donation than OH.</t>
        </is>
      </c>
      <c r="G3" s="2" t="inlineStr">
        <is>
          <t>Clayden, Organic Chemistry (electrophilic aromatic substitution); Klein, Organic Chemistry</t>
        </is>
      </c>
    </row>
    <row r="4">
      <c r="A4" s="2" t="inlineStr">
        <is>
          <t>amino (NH2, NHR, NR2)</t>
        </is>
      </c>
      <c r="B4" s="2" t="inlineStr">
        <is>
          <t>c[NX3;!$(N-[CX3]=[O,S,N]);!$(N=*);!$(N#*)]</t>
        </is>
      </c>
      <c r="C4" s="2" t="inlineStr">
        <is>
          <t>strong activator</t>
        </is>
      </c>
      <c r="D4" s="2" t="inlineStr">
        <is>
          <t>o/p</t>
        </is>
      </c>
      <c r="E4" s="2" t="inlineStr">
        <is>
          <t>yes</t>
        </is>
      </c>
      <c r="F4" s="2" t="inlineStr">
        <is>
          <t>The N lone pair donates strongly into the ring; but it also binds AlCl3, turning the group into a strong deactivator, so Friedel–Crafts fails.</t>
        </is>
      </c>
      <c r="G4" s="2" t="inlineStr">
        <is>
          <t>Clayden, Organic Chemistry (electrophilic aromatic substitution); Klein, Organic Chemistry</t>
        </is>
      </c>
    </row>
    <row r="5">
      <c r="A5" s="2" t="inlineStr">
        <is>
          <t>alkoxy (ether, OR)</t>
        </is>
      </c>
      <c r="B5" s="2" t="inlineStr">
        <is>
          <t>c[OX2;!$(O-[CX3]=O)][#6]</t>
        </is>
      </c>
      <c r="C5" s="2" t="inlineStr">
        <is>
          <t>strong activator</t>
        </is>
      </c>
      <c r="D5" s="2" t="inlineStr">
        <is>
          <t>o/p</t>
        </is>
      </c>
      <c r="E5" s="2" t="inlineStr"/>
      <c r="F5" s="2" t="inlineStr">
        <is>
          <t>O lone pair donation (slightly less than OH).</t>
        </is>
      </c>
      <c r="G5" s="2" t="inlineStr">
        <is>
          <t>Clayden, Organic Chemistry (electrophilic aromatic substitution); Klein, Organic Chemistry</t>
        </is>
      </c>
    </row>
    <row r="6">
      <c r="A6" s="2" t="inlineStr">
        <is>
          <t>amide N (NHCOR, e.g. acetanilide)</t>
        </is>
      </c>
      <c r="B6" s="2" t="inlineStr">
        <is>
          <t>c[NX3][CX3]=[OX1]</t>
        </is>
      </c>
      <c r="C6" s="2" t="inlineStr">
        <is>
          <t>moderate activator</t>
        </is>
      </c>
      <c r="D6" s="2" t="inlineStr">
        <is>
          <t>o/p</t>
        </is>
      </c>
      <c r="E6" s="2" t="inlineStr"/>
      <c r="F6" s="2" t="inlineStr">
        <is>
          <t>The N lone pair is shared with the C=O, so it donates less than NH2.</t>
        </is>
      </c>
      <c r="G6" s="2" t="inlineStr">
        <is>
          <t>Clayden, Organic Chemistry (electrophilic aromatic substitution); Klein, Organic Chemistry</t>
        </is>
      </c>
    </row>
    <row r="7">
      <c r="A7" s="2" t="inlineStr">
        <is>
          <t>ester O (OCOR)</t>
        </is>
      </c>
      <c r="B7" s="2" t="inlineStr">
        <is>
          <t>c[OX2][CX3]=[OX1]</t>
        </is>
      </c>
      <c r="C7" s="2" t="inlineStr">
        <is>
          <t>moderate activator</t>
        </is>
      </c>
      <c r="D7" s="2" t="inlineStr">
        <is>
          <t>o/p</t>
        </is>
      </c>
      <c r="E7" s="2" t="inlineStr"/>
      <c r="F7" s="2" t="inlineStr">
        <is>
          <t>The O lone pair is shared with the C=O: moderate donor.</t>
        </is>
      </c>
      <c r="G7" s="2" t="inlineStr">
        <is>
          <t>Clayden, Organic Chemistry (electrophilic aromatic substitution); Klein, Organic Chemistry</t>
        </is>
      </c>
    </row>
    <row r="8">
      <c r="A8" s="2" t="inlineStr">
        <is>
          <t>alkyl</t>
        </is>
      </c>
      <c r="B8" s="2" t="inlineStr">
        <is>
          <t>c[CX4;!$(C(F)(F)F)]</t>
        </is>
      </c>
      <c r="C8" s="2" t="inlineStr">
        <is>
          <t>weak activator</t>
        </is>
      </c>
      <c r="D8" s="2" t="inlineStr">
        <is>
          <t>o/p</t>
        </is>
      </c>
      <c r="E8" s="2" t="inlineStr"/>
      <c r="F8" s="2" t="inlineStr">
        <is>
          <t>Alkyl groups donate weakly (inductive effect, hyperconjugation).</t>
        </is>
      </c>
      <c r="G8" s="2" t="inlineStr">
        <is>
          <t>Clayden, Organic Chemistry (electrophilic aromatic substitution); Klein, Organic Chemistry</t>
        </is>
      </c>
    </row>
    <row r="9">
      <c r="A9" s="2" t="inlineStr">
        <is>
          <t>aryl (phenyl)</t>
        </is>
      </c>
      <c r="B9" s="2" t="inlineStr">
        <is>
          <t>c-!@c</t>
        </is>
      </c>
      <c r="C9" s="2" t="inlineStr">
        <is>
          <t>weak activator</t>
        </is>
      </c>
      <c r="D9" s="2" t="inlineStr">
        <is>
          <t>o/p</t>
        </is>
      </c>
      <c r="E9" s="2" t="inlineStr"/>
      <c r="F9" s="2" t="inlineStr">
        <is>
          <t>A second ring donates weakly by resonance.</t>
        </is>
      </c>
      <c r="G9" s="2" t="inlineStr">
        <is>
          <t>Clayden, Organic Chemistry (electrophilic aromatic substitution); Klein, Organic Chemistry</t>
        </is>
      </c>
    </row>
    <row r="10">
      <c r="A10" s="2" t="inlineStr">
        <is>
          <t>halogen (F, Cl, Br, I)</t>
        </is>
      </c>
      <c r="B10" s="2" t="inlineStr">
        <is>
          <t>c[F,Cl,Br,I]</t>
        </is>
      </c>
      <c r="C10" s="2" t="inlineStr">
        <is>
          <t>weak deactivator</t>
        </is>
      </c>
      <c r="D10" s="2" t="inlineStr">
        <is>
          <t>o/p</t>
        </is>
      </c>
      <c r="E10" s="2" t="inlineStr"/>
      <c r="F10" s="2" t="inlineStr">
        <is>
          <t>Inductively withdrawing (deactivates) but the lone pairs still direct ortho/para.</t>
        </is>
      </c>
      <c r="G10" s="2" t="inlineStr">
        <is>
          <t>Clayden, Organic Chemistry (electrophilic aromatic substitution); Klein, Organic Chemistry</t>
        </is>
      </c>
    </row>
    <row r="11">
      <c r="A11" s="2" t="inlineStr">
        <is>
          <t>carbonyl (CHO, COR, COOH, COOR, CONR2)</t>
        </is>
      </c>
      <c r="B11" s="2" t="inlineStr">
        <is>
          <t>c[CX3]=[OX1]</t>
        </is>
      </c>
      <c r="C11" s="2" t="inlineStr">
        <is>
          <t>moderate deactivator</t>
        </is>
      </c>
      <c r="D11" s="2" t="inlineStr">
        <is>
          <t>m</t>
        </is>
      </c>
      <c r="E11" s="2" t="inlineStr">
        <is>
          <t>yes</t>
        </is>
      </c>
      <c r="F11" s="2" t="inlineStr">
        <is>
          <t>The C=O pulls electron density out of the ring, most at ortho and para, so meta is least deactivated.</t>
        </is>
      </c>
      <c r="G11" s="2" t="inlineStr">
        <is>
          <t>Clayden, Organic Chemistry (electrophilic aromatic substitution); Klein, Organic Chemistry</t>
        </is>
      </c>
    </row>
    <row r="12">
      <c r="A12" s="2" t="inlineStr">
        <is>
          <t>nitrile</t>
        </is>
      </c>
      <c r="B12" s="2" t="inlineStr">
        <is>
          <t>cC#N</t>
        </is>
      </c>
      <c r="C12" s="2" t="inlineStr">
        <is>
          <t>strong deactivator</t>
        </is>
      </c>
      <c r="D12" s="2" t="inlineStr">
        <is>
          <t>m</t>
        </is>
      </c>
      <c r="E12" s="2" t="inlineStr">
        <is>
          <t>yes</t>
        </is>
      </c>
      <c r="F12" s="2" t="inlineStr">
        <is>
          <t>Strongly withdrawing by induction and resonance.</t>
        </is>
      </c>
      <c r="G12" s="2" t="inlineStr">
        <is>
          <t>Clayden, Organic Chemistry (electrophilic aromatic substitution); Klein, Organic Chemistry</t>
        </is>
      </c>
    </row>
    <row r="13">
      <c r="A13" s="2" t="inlineStr">
        <is>
          <t>sulfonic acid</t>
        </is>
      </c>
      <c r="B13" s="2" t="inlineStr">
        <is>
          <t>cS(=O)(=O)[OX2H,OX1-]</t>
        </is>
      </c>
      <c r="C13" s="2" t="inlineStr">
        <is>
          <t>strong deactivator</t>
        </is>
      </c>
      <c r="D13" s="2" t="inlineStr">
        <is>
          <t>m</t>
        </is>
      </c>
      <c r="E13" s="2" t="inlineStr">
        <is>
          <t>yes</t>
        </is>
      </c>
      <c r="F13" s="2" t="inlineStr">
        <is>
          <t>Strongly withdrawing.</t>
        </is>
      </c>
      <c r="G13" s="2" t="inlineStr">
        <is>
          <t>Clayden, Organic Chemistry (electrophilic aromatic substitution); Klein, Organic Chemistry</t>
        </is>
      </c>
    </row>
    <row r="14">
      <c r="A14" s="2" t="inlineStr">
        <is>
          <t>trifluoromethyl</t>
        </is>
      </c>
      <c r="B14" s="2" t="inlineStr">
        <is>
          <t>cC(F)(F)F</t>
        </is>
      </c>
      <c r="C14" s="2" t="inlineStr">
        <is>
          <t>strong deactivator</t>
        </is>
      </c>
      <c r="D14" s="2" t="inlineStr">
        <is>
          <t>m</t>
        </is>
      </c>
      <c r="E14" s="2" t="inlineStr">
        <is>
          <t>yes</t>
        </is>
      </c>
      <c r="F14" s="2" t="inlineStr">
        <is>
          <t>Strongly withdrawing by induction.</t>
        </is>
      </c>
      <c r="G14" s="2" t="inlineStr">
        <is>
          <t>Clayden, Organic Chemistry (electrophilic aromatic substitution); Klein, Organic Chemistry</t>
        </is>
      </c>
    </row>
    <row r="15">
      <c r="A15" s="2" t="inlineStr">
        <is>
          <t>nitro</t>
        </is>
      </c>
      <c r="B15" s="2" t="inlineStr">
        <is>
          <t>c[N+](=O)[O-]</t>
        </is>
      </c>
      <c r="C15" s="2" t="inlineStr">
        <is>
          <t>strong deactivator</t>
        </is>
      </c>
      <c r="D15" s="2" t="inlineStr">
        <is>
          <t>m</t>
        </is>
      </c>
      <c r="E15" s="2" t="inlineStr">
        <is>
          <t>yes</t>
        </is>
      </c>
      <c r="F15" s="2" t="inlineStr">
        <is>
          <t>The strongest common deactivator: withdraws by induction and resonance.</t>
        </is>
      </c>
      <c r="G15" s="2" t="inlineStr">
        <is>
          <t>Clayden, Organic Chemistry (electrophilic aromatic substitution); Klein, Organic Chemistry</t>
        </is>
      </c>
    </row>
    <row r="16">
      <c r="A16" s="2" t="inlineStr">
        <is>
          <t>ammonium (NR3+)</t>
        </is>
      </c>
      <c r="B16" s="2" t="inlineStr">
        <is>
          <t>c[NX4+]</t>
        </is>
      </c>
      <c r="C16" s="2" t="inlineStr">
        <is>
          <t>strong deactivator</t>
        </is>
      </c>
      <c r="D16" s="2" t="inlineStr">
        <is>
          <t>m</t>
        </is>
      </c>
      <c r="E16" s="2" t="inlineStr">
        <is>
          <t>yes</t>
        </is>
      </c>
      <c r="F16" s="2" t="inlineStr">
        <is>
          <t>A positive charge next to the ring withdraws strongly.</t>
        </is>
      </c>
      <c r="G16" s="2" t="inlineStr">
        <is>
          <t>Clayden, Organic Chemistry (electrophilic aromatic substitution); Klein, Organic Chemistry</t>
        </is>
      </c>
    </row>
    <row r="18">
      <c r="A18" s="5" t="inlineStr">
        <is>
          <t>Ring position: every position the reaction could use is placed ortho / meta / para to each group already on the ring. Each group votes for its positions with a weight set by its activation (strong activator 1000, moderate 300, weak 100, weak deactivator 30, moderate deactivator 10, strong deactivator 5): the strongest activator decides. Para beats ortho (ortho counts 0.6: steric), and a position between two groups counts 0.1. Friedel–Crafts (Reactions sheet: 'yes, Friedel–Crafts') fails when any group has 'Blocks Friedel–Crafts' = yes.</t>
        </is>
      </c>
    </row>
  </sheetData>
  <autoFilter ref="A1:G1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1" customWidth="1" min="2" max="2"/>
    <col width="26" customWidth="1" min="3" max="3"/>
    <col width="10" customWidth="1" min="4" max="4"/>
    <col width="80" customWidth="1" min="5" max="5"/>
    <col width="40" customWidth="1" min="6" max="6"/>
  </cols>
  <sheetData>
    <row r="1" ht="30" customHeight="1">
      <c r="A1" s="1" t="inlineStr">
        <is>
          <t>Chemoselectivity group</t>
        </is>
      </c>
      <c r="B1" s="1" t="inlineStr">
        <is>
          <t>Fragment ID</t>
        </is>
      </c>
      <c r="C1" s="1" t="inlineStr">
        <is>
          <t>Fragment name</t>
        </is>
      </c>
      <c r="D1" s="1" t="inlineStr">
        <is>
          <t>Rank (1 = reacts first)</t>
        </is>
      </c>
      <c r="E1" s="1" t="inlineStr">
        <is>
          <t>Why</t>
        </is>
      </c>
      <c r="F1" s="1" t="inlineStr">
        <is>
          <t>Source</t>
        </is>
      </c>
    </row>
    <row r="2">
      <c r="A2" s="2" t="inlineStr">
        <is>
          <t>carbonyl addition</t>
        </is>
      </c>
      <c r="B2" s="2" t="inlineStr">
        <is>
          <t>F018</t>
        </is>
      </c>
      <c r="C2" s="2" t="inlineStr">
        <is>
          <t>aldehyde</t>
        </is>
      </c>
      <c r="D2" s="2" t="n">
        <v>1</v>
      </c>
      <c r="E2" s="2" t="inlineStr">
        <is>
          <t>Aldehydes are more electrophilic (one alkyl group donates less than two) and less hindered (an H instead of a second R) than ketones.</t>
        </is>
      </c>
      <c r="F2" s="2" t="inlineStr">
        <is>
          <t>Clayden, Organic Chemistry (chemoselectivity); Carey &amp; Sundberg, Advanced Organic Chemistry</t>
        </is>
      </c>
    </row>
    <row r="3">
      <c r="A3" s="2" t="inlineStr">
        <is>
          <t>carbonyl addition</t>
        </is>
      </c>
      <c r="B3" s="2" t="inlineStr">
        <is>
          <t>F019</t>
        </is>
      </c>
      <c r="C3" s="2" t="inlineStr">
        <is>
          <t>ketone</t>
        </is>
      </c>
      <c r="D3" s="2" t="n">
        <v>2</v>
      </c>
      <c r="E3" s="2" t="inlineStr">
        <is>
          <t>Two alkyl groups: less electrophilic and more crowded than an aldehyde.</t>
        </is>
      </c>
      <c r="F3" s="2" t="inlineStr">
        <is>
          <t>Clayden, Organic Chemistry (chemoselectivity); Carey &amp; Sundberg, Advanced Organic Chemistry</t>
        </is>
      </c>
    </row>
    <row r="4">
      <c r="A4" s="2" t="inlineStr">
        <is>
          <t>carbonyl addition</t>
        </is>
      </c>
      <c r="B4" s="2" t="inlineStr">
        <is>
          <t>F004</t>
        </is>
      </c>
      <c r="C4" s="2" t="inlineStr">
        <is>
          <t>ester</t>
        </is>
      </c>
      <c r="D4" s="2" t="n">
        <v>3</v>
      </c>
      <c r="E4" s="2" t="inlineStr">
        <is>
          <t>The OR lone pair donates into the C=O: an ester is less electrophilic than a ketone.</t>
        </is>
      </c>
      <c r="F4" s="2" t="inlineStr">
        <is>
          <t>Clayden, Organic Chemistry (chemoselectivity); Carey &amp; Sundberg, Advanced Organic Chemistry</t>
        </is>
      </c>
    </row>
    <row r="5">
      <c r="A5" s="2" t="inlineStr">
        <is>
          <t>alcohol oxidation</t>
        </is>
      </c>
      <c r="B5" s="2" t="inlineStr">
        <is>
          <t>F003</t>
        </is>
      </c>
      <c r="C5" s="2" t="inlineStr">
        <is>
          <t>alcohol (1°)</t>
        </is>
      </c>
      <c r="D5" s="2" t="n">
        <v>1</v>
      </c>
      <c r="E5" s="2" t="inlineStr">
        <is>
          <t>A primary carbinol C–H is the least hindered: oxidised fastest.</t>
        </is>
      </c>
      <c r="F5" s="2" t="inlineStr">
        <is>
          <t>Clayden, Organic Chemistry (chemoselectivity); Carey &amp; Sundberg, Advanced Organic Chemistry</t>
        </is>
      </c>
    </row>
    <row r="6">
      <c r="A6" s="2" t="inlineStr">
        <is>
          <t>alcohol oxidation</t>
        </is>
      </c>
      <c r="B6" s="2" t="inlineStr">
        <is>
          <t>F015</t>
        </is>
      </c>
      <c r="C6" s="2" t="inlineStr">
        <is>
          <t>alcohol (2°)</t>
        </is>
      </c>
      <c r="D6" s="2" t="n">
        <v>2</v>
      </c>
      <c r="E6" s="2" t="inlineStr">
        <is>
          <t>Secondary: more hindered, slower (gives a ketone).</t>
        </is>
      </c>
      <c r="F6" s="2" t="inlineStr">
        <is>
          <t>Clayden, Organic Chemistry (chemoselectivity); Carey &amp; Sundberg, Advanced Organic Chemistry</t>
        </is>
      </c>
    </row>
    <row r="7">
      <c r="A7" s="2" t="inlineStr">
        <is>
          <t>alcohol substitution</t>
        </is>
      </c>
      <c r="B7" s="2" t="inlineStr">
        <is>
          <t>F003</t>
        </is>
      </c>
      <c r="C7" s="2" t="inlineStr">
        <is>
          <t>alcohol (1°)</t>
        </is>
      </c>
      <c r="D7" s="2" t="n">
        <v>1</v>
      </c>
      <c r="E7" s="2" t="inlineStr">
        <is>
          <t>SN2 at the C–O carbon (PBr3, SOCl2) is fastest at a primary carbon.</t>
        </is>
      </c>
      <c r="F7" s="2" t="inlineStr">
        <is>
          <t>Clayden, Organic Chemistry (chemoselectivity); Carey &amp; Sundberg, Advanced Organic Chemistry</t>
        </is>
      </c>
    </row>
    <row r="8">
      <c r="A8" s="2" t="inlineStr">
        <is>
          <t>alcohol substitution</t>
        </is>
      </c>
      <c r="B8" s="2" t="inlineStr">
        <is>
          <t>F015</t>
        </is>
      </c>
      <c r="C8" s="2" t="inlineStr">
        <is>
          <t>alcohol (2°)</t>
        </is>
      </c>
      <c r="D8" s="2" t="n">
        <v>2</v>
      </c>
      <c r="E8" s="2" t="inlineStr">
        <is>
          <t>Secondary: slower SN2.</t>
        </is>
      </c>
      <c r="F8" s="2" t="inlineStr">
        <is>
          <t>Clayden, Organic Chemistry (chemoselectivity); Carey &amp; Sundberg, Advanced Organic Chemistry</t>
        </is>
      </c>
    </row>
    <row r="9">
      <c r="A9" s="2" t="inlineStr">
        <is>
          <t>esterification</t>
        </is>
      </c>
      <c r="B9" s="2" t="inlineStr">
        <is>
          <t>F003</t>
        </is>
      </c>
      <c r="C9" s="2" t="inlineStr">
        <is>
          <t>alcohol (1°)</t>
        </is>
      </c>
      <c r="D9" s="2" t="n">
        <v>1</v>
      </c>
      <c r="E9" s="2" t="inlineStr">
        <is>
          <t>Primary alcohols are the least hindered nucleophiles: esterified first.</t>
        </is>
      </c>
      <c r="F9" s="2" t="inlineStr">
        <is>
          <t>Clayden, Organic Chemistry (chemoselectivity); Carey &amp; Sundberg, Advanced Organic Chemistry</t>
        </is>
      </c>
    </row>
    <row r="10">
      <c r="A10" s="2" t="inlineStr">
        <is>
          <t>esterification</t>
        </is>
      </c>
      <c r="B10" s="2" t="inlineStr">
        <is>
          <t>F015</t>
        </is>
      </c>
      <c r="C10" s="2" t="inlineStr">
        <is>
          <t>alcohol (2°)</t>
        </is>
      </c>
      <c r="D10" s="2" t="n">
        <v>2</v>
      </c>
      <c r="E10" s="2" t="inlineStr">
        <is>
          <t>Secondary alcohols are slower; tertiary hardly react (they eliminate).</t>
        </is>
      </c>
      <c r="F10" s="2" t="inlineStr">
        <is>
          <t>Clayden, Organic Chemistry (chemoselectivity); Carey &amp; Sundberg, Advanced Organic Chemistry</t>
        </is>
      </c>
    </row>
    <row r="11">
      <c r="A11" s="2" t="inlineStr">
        <is>
          <t>hydrogenation (H2, Pd)</t>
        </is>
      </c>
      <c r="B11" s="2" t="inlineStr">
        <is>
          <t>F007</t>
        </is>
      </c>
      <c r="C11" s="2" t="inlineStr">
        <is>
          <t>alkyne (C≡C)</t>
        </is>
      </c>
      <c r="D11" s="2" t="n">
        <v>1</v>
      </c>
      <c r="E11" s="2" t="inlineStr">
        <is>
          <t>Alkynes bind the metal surface more strongly and are hydrogenated before alkenes.</t>
        </is>
      </c>
      <c r="F11" s="2" t="inlineStr">
        <is>
          <t>Clayden, Organic Chemistry (chemoselectivity); Carey &amp; Sundberg, Advanced Organic Chemistry</t>
        </is>
      </c>
    </row>
    <row r="12">
      <c r="A12" s="2" t="inlineStr">
        <is>
          <t>hydrogenation (H2, Pd)</t>
        </is>
      </c>
      <c r="B12" s="2" t="inlineStr">
        <is>
          <t>F005</t>
        </is>
      </c>
      <c r="C12" s="2" t="inlineStr">
        <is>
          <t>alkene (C=C)</t>
        </is>
      </c>
      <c r="D12" s="2" t="n">
        <v>2</v>
      </c>
      <c r="E12" s="2" t="inlineStr">
        <is>
          <t>Alkenes react once the alkyne is gone.</t>
        </is>
      </c>
      <c r="F12" s="2" t="inlineStr">
        <is>
          <t>Clayden, Organic Chemistry (chemoselectivity); Carey &amp; Sundberg, Advanced Organic Chemistry</t>
        </is>
      </c>
    </row>
    <row r="13">
      <c r="A13" s="2" t="inlineStr">
        <is>
          <t>peracid oxidation (mCPBA)</t>
        </is>
      </c>
      <c r="B13" s="2" t="inlineStr">
        <is>
          <t>F005</t>
        </is>
      </c>
      <c r="C13" s="2" t="inlineStr">
        <is>
          <t>alkene (C=C)</t>
        </is>
      </c>
      <c r="D13" s="2" t="n">
        <v>1</v>
      </c>
      <c r="E13" s="2" t="inlineStr">
        <is>
          <t>Electron-rich C=C reacts with the electrophilic peracid O much faster than a ketone undergoes Baeyer–Villiger.</t>
        </is>
      </c>
      <c r="F13" s="2" t="inlineStr">
        <is>
          <t>Clayden, Organic Chemistry (chemoselectivity); Carey &amp; Sundberg, Advanced Organic Chemistry</t>
        </is>
      </c>
    </row>
    <row r="14">
      <c r="A14" s="2" t="inlineStr">
        <is>
          <t>peracid oxidation (mCPBA)</t>
        </is>
      </c>
      <c r="B14" s="2" t="inlineStr">
        <is>
          <t>F019</t>
        </is>
      </c>
      <c r="C14" s="2" t="inlineStr">
        <is>
          <t>ketone</t>
        </is>
      </c>
      <c r="D14" s="2" t="n">
        <v>2</v>
      </c>
      <c r="E14" s="2" t="inlineStr">
        <is>
          <t>Baeyer–Villiger is slower than epoxidation.</t>
        </is>
      </c>
      <c r="F14" s="2" t="inlineStr">
        <is>
          <t>Clayden, Organic Chemistry (chemoselectivity); Carey &amp; Sundberg, Advanced Organic Chemistry</t>
        </is>
      </c>
    </row>
    <row r="15">
      <c r="A15" s="2" t="inlineStr">
        <is>
          <t>acylation of a nucleophile</t>
        </is>
      </c>
      <c r="B15" s="2" t="inlineStr">
        <is>
          <t>F002</t>
        </is>
      </c>
      <c r="C15" s="2" t="inlineStr">
        <is>
          <t>amine (1°)</t>
        </is>
      </c>
      <c r="D15" s="2" t="n">
        <v>1</v>
      </c>
      <c r="E15" s="2" t="inlineStr">
        <is>
          <t>Alkylamines are the strongest nucleophiles here (lone pair not delocalised).</t>
        </is>
      </c>
      <c r="F15" s="2" t="inlineStr">
        <is>
          <t>Clayden, Organic Chemistry (chemoselectivity); Carey &amp; Sundberg, Advanced Organic Chemistry</t>
        </is>
      </c>
    </row>
    <row r="16">
      <c r="A16" s="2" t="inlineStr">
        <is>
          <t>acylation of a nucleophile</t>
        </is>
      </c>
      <c r="B16" s="2" t="inlineStr">
        <is>
          <t>F026</t>
        </is>
      </c>
      <c r="C16" s="2" t="inlineStr">
        <is>
          <t>arylamine (aniline NH2)</t>
        </is>
      </c>
      <c r="D16" s="2" t="n">
        <v>2</v>
      </c>
      <c r="E16" s="2" t="inlineStr">
        <is>
          <t>The aniline lone pair is shared with the ring: weaker nucleophile.</t>
        </is>
      </c>
      <c r="F16" s="2" t="inlineStr">
        <is>
          <t>Clayden, Organic Chemistry (chemoselectivity); Carey &amp; Sundberg, Advanced Organic Chemistry</t>
        </is>
      </c>
    </row>
    <row r="17">
      <c r="A17" s="2" t="inlineStr">
        <is>
          <t>acylation of a nucleophile</t>
        </is>
      </c>
      <c r="B17" s="2" t="inlineStr">
        <is>
          <t>F014</t>
        </is>
      </c>
      <c r="C17" s="2" t="inlineStr">
        <is>
          <t>alcohol (on sp3 C)</t>
        </is>
      </c>
      <c r="D17" s="2" t="n">
        <v>3</v>
      </c>
      <c r="E17" s="2" t="inlineStr">
        <is>
          <t>O is less nucleophilic than N: amines are acylated before alcohols.</t>
        </is>
      </c>
      <c r="F17" s="2" t="inlineStr">
        <is>
          <t>Clayden, Organic Chemistry (chemoselectivity); Carey &amp; Sundberg, Advanced Organic Chemistry</t>
        </is>
      </c>
    </row>
    <row r="18">
      <c r="A18" s="2" t="inlineStr">
        <is>
          <t>acylation of a nucleophile</t>
        </is>
      </c>
      <c r="B18" s="2" t="inlineStr">
        <is>
          <t>F028</t>
        </is>
      </c>
      <c r="C18" s="2" t="inlineStr">
        <is>
          <t>phenol</t>
        </is>
      </c>
      <c r="D18" s="2" t="n">
        <v>4</v>
      </c>
      <c r="E18" s="2" t="inlineStr">
        <is>
          <t>The phenol O lone pair is delocalised into the ring.</t>
        </is>
      </c>
      <c r="F18" s="2" t="inlineStr">
        <is>
          <t>Clayden, Organic Chemistry (chemoselectivity); Carey &amp; Sundberg, Advanced Organic Chemistry</t>
        </is>
      </c>
    </row>
    <row r="19">
      <c r="A19" s="2" t="inlineStr">
        <is>
          <t>SN2 at an alkyl halide</t>
        </is>
      </c>
      <c r="B19" s="2" t="inlineStr">
        <is>
          <t>F043</t>
        </is>
      </c>
      <c r="C19" s="2" t="inlineStr">
        <is>
          <t>methyl halide</t>
        </is>
      </c>
      <c r="D19" s="2" t="n">
        <v>1</v>
      </c>
      <c r="E19" s="2" t="inlineStr">
        <is>
          <t>SN2 rate: methyl &gt; 1° &gt; 2° (backside attack gets more crowded); 3° does not react by SN2.</t>
        </is>
      </c>
      <c r="F19" s="2" t="inlineStr">
        <is>
          <t>Clayden, Organic Chemistry (chemoselectivity); Carey &amp; Sundberg, Advanced Organic Chemistry</t>
        </is>
      </c>
    </row>
    <row r="20">
      <c r="A20" s="2" t="inlineStr">
        <is>
          <t>SN2 at an alkyl halide</t>
        </is>
      </c>
      <c r="B20" s="2" t="inlineStr">
        <is>
          <t>F044</t>
        </is>
      </c>
      <c r="C20" s="2" t="inlineStr">
        <is>
          <t>alkyl halide (1°)</t>
        </is>
      </c>
      <c r="D20" s="2" t="n">
        <v>2</v>
      </c>
      <c r="E20" s="2" t="inlineStr"/>
      <c r="F20" s="2" t="inlineStr">
        <is>
          <t>Clayden, Organic Chemistry (chemoselectivity); Carey &amp; Sundberg, Advanced Organic Chemistry</t>
        </is>
      </c>
    </row>
    <row r="21">
      <c r="A21" s="2" t="inlineStr">
        <is>
          <t>SN2 at an alkyl halide</t>
        </is>
      </c>
      <c r="B21" s="2" t="inlineStr">
        <is>
          <t>F045</t>
        </is>
      </c>
      <c r="C21" s="2" t="inlineStr">
        <is>
          <t>alkyl halide (2°)</t>
        </is>
      </c>
      <c r="D21" s="2" t="n">
        <v>3</v>
      </c>
      <c r="E21" s="2" t="inlineStr"/>
      <c r="F21" s="2" t="inlineStr">
        <is>
          <t>Clayden, Organic Chemistry (chemoselectivity); Carey &amp; Sundberg, Advanced Organic Chemistry</t>
        </is>
      </c>
    </row>
    <row r="22">
      <c r="A22" s="5" t="inlineStr">
        <is>
          <t>When one reagent could react at several groups (in one molecule, or through several rules that share a Chemoselectivity group), the fragment with the lowest rank reacts and the others are left alone. With 'excess' in the conditions box the reagent goes on to the next group, and the next, until none is left.</t>
        </is>
      </c>
    </row>
  </sheetData>
  <autoFilter ref="A1:F2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26" customWidth="1" min="2" max="2"/>
    <col width="22" customWidth="1" min="3" max="3"/>
    <col width="40" customWidth="1" min="4" max="4"/>
    <col width="30" customWidth="1" min="5" max="5"/>
    <col width="14" customWidth="1" min="6" max="6"/>
    <col width="70" customWidth="1" min="7" max="7"/>
    <col width="30" customWidth="1" min="8" max="8"/>
  </cols>
  <sheetData>
    <row r="1" ht="30" customHeight="1">
      <c r="A1" s="1" t="inlineStr">
        <is>
          <t>Fragment ID</t>
        </is>
      </c>
      <c r="B1" s="1" t="inlineStr">
        <is>
          <t>Fragment name</t>
        </is>
      </c>
      <c r="C1" s="1" t="inlineStr">
        <is>
          <t>Requires (comma = all; | = alternatives)</t>
        </is>
      </c>
      <c r="D1" s="1" t="inlineStr">
        <is>
          <t>Forbids (conditions or solvents; any one stops it)</t>
        </is>
      </c>
      <c r="E1" s="1" t="inlineStr">
        <is>
          <t>Forbidden fragments (in any molecule present)</t>
        </is>
      </c>
      <c r="F1" s="1" t="inlineStr">
        <is>
          <t>Except reactions</t>
        </is>
      </c>
      <c r="G1" s="1" t="inlineStr">
        <is>
          <t>Reason</t>
        </is>
      </c>
      <c r="H1" s="1" t="inlineStr">
        <is>
          <t>Source</t>
        </is>
      </c>
    </row>
    <row r="2">
      <c r="A2" s="2" t="inlineStr">
        <is>
          <t>F029</t>
        </is>
      </c>
      <c r="B2" s="2" t="inlineStr">
        <is>
          <t>Grignard (C–MgBr)</t>
        </is>
      </c>
      <c r="C2" s="2" t="inlineStr">
        <is>
          <t>anhydrous</t>
        </is>
      </c>
      <c r="D2" s="2" t="inlineStr">
        <is>
          <t>water, methanol, ethanol, isopropanol, acetic acid</t>
        </is>
      </c>
      <c r="E2" s="2" t="inlineStr">
        <is>
          <t>F001, F014, F028, F002, F026, F008</t>
        </is>
      </c>
      <c r="F2" s="2" t="inlineStr"/>
      <c r="G2" s="2" t="inlineStr">
        <is>
          <t>The C–Mg carbon is a very strong base (its conjugate acid, the C–H, has pKa ≈ 45–50). Any O–H or N–H (water pKa 15.7, alcohols ≈ 16, acids ≈ 5, amines ≈ 35, terminal alkynes ≈ 25) protonates it first and destroys the Grignard.</t>
        </is>
      </c>
      <c r="H2" s="2" t="inlineStr">
        <is>
          <t>Clayden, Organic Chemistry (organometallics)</t>
        </is>
      </c>
    </row>
    <row r="3">
      <c r="A3" s="2" t="inlineStr">
        <is>
          <t>F042</t>
        </is>
      </c>
      <c r="B3" s="2" t="inlineStr">
        <is>
          <t>aluminium hydride (LiAlH4)</t>
        </is>
      </c>
      <c r="C3" s="2" t="inlineStr">
        <is>
          <t>anhydrous</t>
        </is>
      </c>
      <c r="D3" s="2" t="inlineStr">
        <is>
          <t>water, methanol, ethanol, isopropanol, acetic acid</t>
        </is>
      </c>
      <c r="E3" s="2" t="inlineStr"/>
      <c r="F3" s="2" t="inlineStr"/>
      <c r="G3" s="2" t="inlineStr">
        <is>
          <t>Hydride is a very strong base (H2 pKa ≈ 35): water and alcohols destroy LiAlH4 violently (H2 gas). Use dry ether or THF; water only in the work-up.</t>
        </is>
      </c>
      <c r="H3" s="2" t="inlineStr">
        <is>
          <t>Clayden, Organic Chemistry (reduction)</t>
        </is>
      </c>
    </row>
    <row r="4">
      <c r="A4" s="2" t="inlineStr">
        <is>
          <t>F020</t>
        </is>
      </c>
      <c r="B4" s="2" t="inlineStr">
        <is>
          <t>acyl chloride</t>
        </is>
      </c>
      <c r="C4" s="2" t="inlineStr"/>
      <c r="D4" s="2" t="inlineStr">
        <is>
          <t>water</t>
        </is>
      </c>
      <c r="E4" s="2" t="inlineStr"/>
      <c r="F4" s="2" t="inlineStr"/>
      <c r="G4" s="2" t="inlineStr">
        <is>
          <t>Water attacks the acyl chloride (Cl⁻ is an excellent leaving group) and hydrolyses it to the carboxylic acid + HCl before the intended reaction.</t>
        </is>
      </c>
      <c r="H4" s="2" t="inlineStr">
        <is>
          <t>Clayden, Organic Chemistry (acyl substitution)</t>
        </is>
      </c>
    </row>
    <row r="5">
      <c r="A5" s="2" t="inlineStr">
        <is>
          <t>F027</t>
        </is>
      </c>
      <c r="B5" s="2" t="inlineStr">
        <is>
          <t>aryl diazonium</t>
        </is>
      </c>
      <c r="C5" s="2" t="inlineStr">
        <is>
          <t>&lt;= 5 °C</t>
        </is>
      </c>
      <c r="D5" s="2" t="inlineStr">
        <is>
          <t>heat</t>
        </is>
      </c>
      <c r="E5" s="2" t="inlineStr"/>
      <c r="F5" s="2" t="inlineStr">
        <is>
          <t>R025</t>
        </is>
      </c>
      <c r="G5" s="2" t="inlineStr">
        <is>
          <t>Aryl diazonium salts lose N2 above about 5 °C (and can explode when dry), so they are made and kept at 0–5 °C. The Sandmeyer reaction (R025) uses it up, so it is exempt.</t>
        </is>
      </c>
      <c r="H5" s="2" t="inlineStr">
        <is>
          <t>Clayden, Organic Chemistry (diazonium salts)</t>
        </is>
      </c>
    </row>
  </sheetData>
  <autoFilter ref="A1:H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4" customWidth="1" min="2" max="2"/>
    <col width="8" customWidth="1" min="3" max="3"/>
    <col width="16" customWidth="1" min="4" max="4"/>
    <col width="26" customWidth="1" min="5" max="5"/>
    <col width="50" customWidth="1" min="6" max="6"/>
    <col width="40" customWidth="1" min="7" max="7"/>
  </cols>
  <sheetData>
    <row r="1" ht="30" customHeight="1">
      <c r="A1" s="1" t="inlineStr">
        <is>
          <t>Name</t>
        </is>
      </c>
      <c r="B1" s="1" t="inlineStr">
        <is>
          <t>SMILES (as typed in the reagent box)</t>
        </is>
      </c>
      <c r="C1" s="1" t="inlineStr">
        <is>
          <t>Role</t>
        </is>
      </c>
      <c r="D1" s="1" t="inlineStr">
        <is>
          <t>pKa (acid: its own; base: of its conjugate acid)</t>
        </is>
      </c>
      <c r="E1" s="1" t="inlineStr">
        <is>
          <t>Conjugate acid / base</t>
        </is>
      </c>
      <c r="F1" s="1" t="inlineStr">
        <is>
          <t>Notes</t>
        </is>
      </c>
      <c r="G1" s="1" t="inlineStr">
        <is>
          <t>Source</t>
        </is>
      </c>
    </row>
    <row r="2">
      <c r="A2" s="2" t="inlineStr">
        <is>
          <t>sodium hydroxide</t>
        </is>
      </c>
      <c r="B2" s="2" t="inlineStr">
        <is>
          <t>[Na+].[OH-]</t>
        </is>
      </c>
      <c r="C2" s="2" t="inlineStr">
        <is>
          <t>base</t>
        </is>
      </c>
      <c r="D2" s="2" t="n">
        <v>15.7</v>
      </c>
      <c r="E2" s="2" t="inlineStr">
        <is>
          <t>water</t>
        </is>
      </c>
      <c r="F2" s="2" t="inlineStr"/>
      <c r="G2" s="2" t="inlineStr">
        <is>
          <t>approximate pKa in water (DMSO-free values): Evans pKa table; Clayden, Organic Chemistry</t>
        </is>
      </c>
    </row>
    <row r="3">
      <c r="A3" s="2" t="inlineStr">
        <is>
          <t>potassium hydroxide</t>
        </is>
      </c>
      <c r="B3" s="2" t="inlineStr">
        <is>
          <t>[K+].[OH-]</t>
        </is>
      </c>
      <c r="C3" s="2" t="inlineStr">
        <is>
          <t>base</t>
        </is>
      </c>
      <c r="D3" s="2" t="n">
        <v>15.7</v>
      </c>
      <c r="E3" s="2" t="inlineStr">
        <is>
          <t>water</t>
        </is>
      </c>
      <c r="F3" s="2" t="inlineStr"/>
      <c r="G3" s="2" t="inlineStr">
        <is>
          <t>approximate pKa in water (DMSO-free values): Evans pKa table; Clayden, Organic Chemistry</t>
        </is>
      </c>
    </row>
    <row r="4">
      <c r="A4" s="2" t="inlineStr">
        <is>
          <t>sodium methoxide</t>
        </is>
      </c>
      <c r="B4" s="2" t="inlineStr">
        <is>
          <t>C[O-].[Na+]</t>
        </is>
      </c>
      <c r="C4" s="2" t="inlineStr">
        <is>
          <t>base</t>
        </is>
      </c>
      <c r="D4" s="2" t="n">
        <v>15.5</v>
      </c>
      <c r="E4" s="2" t="inlineStr">
        <is>
          <t>methanol</t>
        </is>
      </c>
      <c r="F4" s="2" t="inlineStr"/>
      <c r="G4" s="2" t="inlineStr">
        <is>
          <t>approximate pKa in water (DMSO-free values): Evans pKa table; Clayden, Organic Chemistry</t>
        </is>
      </c>
    </row>
    <row r="5">
      <c r="A5" s="2" t="inlineStr">
        <is>
          <t>sodium ethoxide</t>
        </is>
      </c>
      <c r="B5" s="2" t="inlineStr">
        <is>
          <t>CC[O-].[Na+]</t>
        </is>
      </c>
      <c r="C5" s="2" t="inlineStr">
        <is>
          <t>base</t>
        </is>
      </c>
      <c r="D5" s="2" t="n">
        <v>16</v>
      </c>
      <c r="E5" s="2" t="inlineStr">
        <is>
          <t>ethanol</t>
        </is>
      </c>
      <c r="F5" s="2" t="inlineStr"/>
      <c r="G5" s="2" t="inlineStr">
        <is>
          <t>approximate pKa in water (DMSO-free values): Evans pKa table; Clayden, Organic Chemistry</t>
        </is>
      </c>
    </row>
    <row r="6">
      <c r="A6" s="2" t="inlineStr">
        <is>
          <t>potassium tert-butoxide</t>
        </is>
      </c>
      <c r="B6" s="2" t="inlineStr">
        <is>
          <t>CC(C)(C)[O-].[K+]</t>
        </is>
      </c>
      <c r="C6" s="2" t="inlineStr">
        <is>
          <t>base</t>
        </is>
      </c>
      <c r="D6" s="2" t="n">
        <v>18</v>
      </c>
      <c r="E6" s="2" t="inlineStr">
        <is>
          <t>tert-butanol</t>
        </is>
      </c>
      <c r="F6" s="2" t="inlineStr">
        <is>
          <t>bulky: a poor nucleophile</t>
        </is>
      </c>
      <c r="G6" s="2" t="inlineStr">
        <is>
          <t>approximate pKa in water (DMSO-free values): Evans pKa table; Clayden, Organic Chemistry</t>
        </is>
      </c>
    </row>
    <row r="7">
      <c r="A7" s="2" t="inlineStr">
        <is>
          <t>sodium hydride</t>
        </is>
      </c>
      <c r="B7" s="2" t="inlineStr">
        <is>
          <t>[Na+].[H-]</t>
        </is>
      </c>
      <c r="C7" s="2" t="inlineStr">
        <is>
          <t>base</t>
        </is>
      </c>
      <c r="D7" s="2" t="n">
        <v>35</v>
      </c>
      <c r="E7" s="2" t="inlineStr">
        <is>
          <t>H2</t>
        </is>
      </c>
      <c r="F7" s="2" t="inlineStr">
        <is>
          <t>irreversible: H2 bubbles off</t>
        </is>
      </c>
      <c r="G7" s="2" t="inlineStr">
        <is>
          <t>approximate pKa in water (DMSO-free values): Evans pKa table; Clayden, Organic Chemistry</t>
        </is>
      </c>
    </row>
    <row r="8">
      <c r="A8" s="2" t="inlineStr">
        <is>
          <t>sodium amide</t>
        </is>
      </c>
      <c r="B8" s="2" t="inlineStr">
        <is>
          <t>[Na+].[NH2-]</t>
        </is>
      </c>
      <c r="C8" s="2" t="inlineStr">
        <is>
          <t>base</t>
        </is>
      </c>
      <c r="D8" s="2" t="n">
        <v>38</v>
      </c>
      <c r="E8" s="2" t="inlineStr">
        <is>
          <t>ammonia</t>
        </is>
      </c>
      <c r="F8" s="2" t="inlineStr">
        <is>
          <t>deprotonates terminal alkynes</t>
        </is>
      </c>
      <c r="G8" s="2" t="inlineStr">
        <is>
          <t>approximate pKa in water (DMSO-free values): Evans pKa table; Clayden, Organic Chemistry</t>
        </is>
      </c>
    </row>
    <row r="9">
      <c r="A9" s="2" t="inlineStr">
        <is>
          <t>LDA</t>
        </is>
      </c>
      <c r="B9" s="2" t="inlineStr">
        <is>
          <t>CC(C)[N-]C(C)C.[Li+]</t>
        </is>
      </c>
      <c r="C9" s="2" t="inlineStr">
        <is>
          <t>base</t>
        </is>
      </c>
      <c r="D9" s="2" t="n">
        <v>36</v>
      </c>
      <c r="E9" s="2" t="inlineStr">
        <is>
          <t>diisopropylamine</t>
        </is>
      </c>
      <c r="F9" s="2" t="inlineStr">
        <is>
          <t>bulky; complete, kinetic enolates at -78 °C</t>
        </is>
      </c>
      <c r="G9" s="2" t="inlineStr">
        <is>
          <t>approximate pKa in water (DMSO-free values): Evans pKa table; Clayden, Organic Chemistry</t>
        </is>
      </c>
    </row>
    <row r="10">
      <c r="A10" s="2" t="inlineStr">
        <is>
          <t>n-butyllithium</t>
        </is>
      </c>
      <c r="B10" s="2" t="inlineStr">
        <is>
          <t>CCCC[Li]</t>
        </is>
      </c>
      <c r="C10" s="2" t="inlineStr">
        <is>
          <t>base</t>
        </is>
      </c>
      <c r="D10" s="2" t="n">
        <v>50</v>
      </c>
      <c r="E10" s="2" t="inlineStr">
        <is>
          <t>butane</t>
        </is>
      </c>
      <c r="F10" s="2" t="inlineStr"/>
      <c r="G10" s="2" t="inlineStr">
        <is>
          <t>approximate pKa in water (DMSO-free values): Evans pKa table; Clayden, Organic Chemistry</t>
        </is>
      </c>
    </row>
    <row r="11">
      <c r="A11" s="2" t="inlineStr">
        <is>
          <t>pyridine</t>
        </is>
      </c>
      <c r="B11" s="2" t="inlineStr">
        <is>
          <t>c1ccncc1</t>
        </is>
      </c>
      <c r="C11" s="2" t="inlineStr">
        <is>
          <t>base</t>
        </is>
      </c>
      <c r="D11" s="2" t="n">
        <v>5.2</v>
      </c>
      <c r="E11" s="2" t="inlineStr">
        <is>
          <t>pyridinium</t>
        </is>
      </c>
      <c r="F11" s="2" t="inlineStr">
        <is>
          <t>weak base: mops up HCl</t>
        </is>
      </c>
      <c r="G11" s="2" t="inlineStr">
        <is>
          <t>approximate pKa in water (DMSO-free values): Evans pKa table; Clayden, Organic Chemistry</t>
        </is>
      </c>
    </row>
    <row r="12">
      <c r="A12" s="2" t="inlineStr">
        <is>
          <t>triethylamine</t>
        </is>
      </c>
      <c r="B12" s="2" t="inlineStr">
        <is>
          <t>CCN(CC)CC</t>
        </is>
      </c>
      <c r="C12" s="2" t="inlineStr">
        <is>
          <t>base</t>
        </is>
      </c>
      <c r="D12" s="2" t="n">
        <v>10.7</v>
      </c>
      <c r="E12" s="2" t="inlineStr">
        <is>
          <t>triethylammonium</t>
        </is>
      </c>
      <c r="F12" s="2" t="inlineStr"/>
      <c r="G12" s="2" t="inlineStr">
        <is>
          <t>approximate pKa in water (DMSO-free values): Evans pKa table; Clayden, Organic Chemistry</t>
        </is>
      </c>
    </row>
    <row r="13">
      <c r="A13" s="2" t="inlineStr">
        <is>
          <t>ammonia</t>
        </is>
      </c>
      <c r="B13" s="2" t="inlineStr">
        <is>
          <t>N</t>
        </is>
      </c>
      <c r="C13" s="2" t="inlineStr">
        <is>
          <t>base</t>
        </is>
      </c>
      <c r="D13" s="2" t="n">
        <v>9.199999999999999</v>
      </c>
      <c r="E13" s="2" t="inlineStr">
        <is>
          <t>ammonium</t>
        </is>
      </c>
      <c r="F13" s="2" t="inlineStr"/>
      <c r="G13" s="2" t="inlineStr">
        <is>
          <t>approximate pKa in water (DMSO-free values): Evans pKa table; Clayden, Organic Chemistry</t>
        </is>
      </c>
    </row>
    <row r="14">
      <c r="A14" s="2" t="inlineStr">
        <is>
          <t>sodium bicarbonate</t>
        </is>
      </c>
      <c r="B14" s="2" t="inlineStr">
        <is>
          <t>O=C([O-])O.[Na+]</t>
        </is>
      </c>
      <c r="C14" s="2" t="inlineStr">
        <is>
          <t>base</t>
        </is>
      </c>
      <c r="D14" s="2" t="n">
        <v>6.4</v>
      </c>
      <c r="E14" s="2" t="inlineStr">
        <is>
          <t>carbonic acid</t>
        </is>
      </c>
      <c r="F14" s="2" t="inlineStr">
        <is>
          <t>neutralises acids in work-ups</t>
        </is>
      </c>
      <c r="G14" s="2" t="inlineStr">
        <is>
          <t>approximate pKa in water (DMSO-free values): Evans pKa table; Clayden, Organic Chemistry</t>
        </is>
      </c>
    </row>
    <row r="15">
      <c r="A15" s="2" t="inlineStr">
        <is>
          <t>potassium carbonate</t>
        </is>
      </c>
      <c r="B15" s="2" t="inlineStr">
        <is>
          <t>O=C([O-])[O-].[K+].[K+]</t>
        </is>
      </c>
      <c r="C15" s="2" t="inlineStr">
        <is>
          <t>base</t>
        </is>
      </c>
      <c r="D15" s="2" t="n">
        <v>10.3</v>
      </c>
      <c r="E15" s="2" t="inlineStr">
        <is>
          <t>bicarbonate</t>
        </is>
      </c>
      <c r="F15" s="2" t="inlineStr"/>
      <c r="G15" s="2" t="inlineStr">
        <is>
          <t>approximate pKa in water (DMSO-free values): Evans pKa table; Clayden, Organic Chemistry</t>
        </is>
      </c>
    </row>
    <row r="16">
      <c r="A16" s="2" t="inlineStr">
        <is>
          <t>hydrogen chloride</t>
        </is>
      </c>
      <c r="B16" s="2" t="inlineStr">
        <is>
          <t>Cl</t>
        </is>
      </c>
      <c r="C16" s="2" t="inlineStr">
        <is>
          <t>acid</t>
        </is>
      </c>
      <c r="D16" s="2" t="n">
        <v>-7</v>
      </c>
      <c r="E16" s="2" t="inlineStr">
        <is>
          <t>chloride</t>
        </is>
      </c>
      <c r="F16" s="2" t="inlineStr"/>
      <c r="G16" s="2" t="inlineStr">
        <is>
          <t>approximate pKa in water (DMSO-free values): Evans pKa table; Clayden, Organic Chemistry</t>
        </is>
      </c>
    </row>
    <row r="17">
      <c r="A17" s="2" t="inlineStr">
        <is>
          <t>hydrogen bromide</t>
        </is>
      </c>
      <c r="B17" s="2" t="inlineStr">
        <is>
          <t>Br</t>
        </is>
      </c>
      <c r="C17" s="2" t="inlineStr">
        <is>
          <t>acid</t>
        </is>
      </c>
      <c r="D17" s="2" t="n">
        <v>-9</v>
      </c>
      <c r="E17" s="2" t="inlineStr">
        <is>
          <t>bromide</t>
        </is>
      </c>
      <c r="F17" s="2" t="inlineStr"/>
      <c r="G17" s="2" t="inlineStr">
        <is>
          <t>approximate pKa in water (DMSO-free values): Evans pKa table; Clayden, Organic Chemistry</t>
        </is>
      </c>
    </row>
    <row r="18">
      <c r="A18" s="2" t="inlineStr">
        <is>
          <t>hydrogen iodide</t>
        </is>
      </c>
      <c r="B18" s="2" t="inlineStr">
        <is>
          <t>I</t>
        </is>
      </c>
      <c r="C18" s="2" t="inlineStr">
        <is>
          <t>acid</t>
        </is>
      </c>
      <c r="D18" s="2" t="n">
        <v>-10</v>
      </c>
      <c r="E18" s="2" t="inlineStr">
        <is>
          <t>iodide</t>
        </is>
      </c>
      <c r="F18" s="2" t="inlineStr"/>
      <c r="G18" s="2" t="inlineStr">
        <is>
          <t>approximate pKa in water (DMSO-free values): Evans pKa table; Clayden, Organic Chemistry</t>
        </is>
      </c>
    </row>
    <row r="19">
      <c r="A19" s="2" t="inlineStr">
        <is>
          <t>sulfuric acid</t>
        </is>
      </c>
      <c r="B19" s="2" t="inlineStr">
        <is>
          <t>O=S(=O)(O)O</t>
        </is>
      </c>
      <c r="C19" s="2" t="inlineStr">
        <is>
          <t>acid</t>
        </is>
      </c>
      <c r="D19" s="2" t="n">
        <v>-3</v>
      </c>
      <c r="E19" s="2" t="inlineStr">
        <is>
          <t>hydrogensulfate</t>
        </is>
      </c>
      <c r="F19" s="2" t="inlineStr"/>
      <c r="G19" s="2" t="inlineStr">
        <is>
          <t>approximate pKa in water (DMSO-free values): Evans pKa table; Clayden, Organic Chemistry</t>
        </is>
      </c>
    </row>
    <row r="20">
      <c r="A20" s="2" t="inlineStr">
        <is>
          <t>p-toluenesulfonic acid</t>
        </is>
      </c>
      <c r="B20" s="2" t="inlineStr">
        <is>
          <t>Cc1ccc(S(=O)(=O)O)cc1</t>
        </is>
      </c>
      <c r="C20" s="2" t="inlineStr">
        <is>
          <t>acid</t>
        </is>
      </c>
      <c r="D20" s="2" t="n">
        <v>-2.8</v>
      </c>
      <c r="E20" s="2" t="inlineStr">
        <is>
          <t>tosylate</t>
        </is>
      </c>
      <c r="F20" s="2" t="inlineStr">
        <is>
          <t>a solid, organic-soluble strong acid</t>
        </is>
      </c>
      <c r="G20" s="2" t="inlineStr">
        <is>
          <t>approximate pKa in water (DMSO-free values): Evans pKa table; Clayden, Organic Chemistry</t>
        </is>
      </c>
    </row>
    <row r="21">
      <c r="A21" s="2" t="inlineStr">
        <is>
          <t>nitric acid</t>
        </is>
      </c>
      <c r="B21" s="2" t="inlineStr">
        <is>
          <t>O=[N+]([O-])O</t>
        </is>
      </c>
      <c r="C21" s="2" t="inlineStr">
        <is>
          <t>acid</t>
        </is>
      </c>
      <c r="D21" s="2" t="n">
        <v>-1.4</v>
      </c>
      <c r="E21" s="2" t="inlineStr">
        <is>
          <t>nitrate</t>
        </is>
      </c>
      <c r="F21" s="2" t="inlineStr">
        <is>
          <t>also an oxidant</t>
        </is>
      </c>
      <c r="G21" s="2" t="inlineStr">
        <is>
          <t>approximate pKa in water (DMSO-free values): Evans pKa table; Clayden, Organic Chemistry</t>
        </is>
      </c>
    </row>
    <row r="22">
      <c r="A22" s="2" t="inlineStr">
        <is>
          <t>trifluoroacetic acid</t>
        </is>
      </c>
      <c r="B22" s="2" t="inlineStr">
        <is>
          <t>O=C(O)C(F)(F)F</t>
        </is>
      </c>
      <c r="C22" s="2" t="inlineStr">
        <is>
          <t>acid</t>
        </is>
      </c>
      <c r="D22" s="2" t="n">
        <v>0.5</v>
      </c>
      <c r="E22" s="2" t="inlineStr">
        <is>
          <t>trifluoroacetate</t>
        </is>
      </c>
      <c r="F22" s="2" t="inlineStr"/>
      <c r="G22" s="2" t="inlineStr">
        <is>
          <t>approximate pKa in water (DMSO-free values): Evans pKa table; Clayden, Organic Chemistry</t>
        </is>
      </c>
    </row>
    <row r="23">
      <c r="A23" s="2" t="inlineStr">
        <is>
          <t>phosphoric acid</t>
        </is>
      </c>
      <c r="B23" s="2" t="inlineStr">
        <is>
          <t>O=P(O)(O)O</t>
        </is>
      </c>
      <c r="C23" s="2" t="inlineStr">
        <is>
          <t>acid</t>
        </is>
      </c>
      <c r="D23" s="2" t="n">
        <v>2.1</v>
      </c>
      <c r="E23" s="2" t="inlineStr">
        <is>
          <t>dihydrogenphosphate</t>
        </is>
      </c>
      <c r="F23" s="2" t="inlineStr">
        <is>
          <t>non-oxidising: used for dehydrations</t>
        </is>
      </c>
      <c r="G23" s="2" t="inlineStr">
        <is>
          <t>approximate pKa in water (DMSO-free values): Evans pKa table; Clayden, Organic Chemistry</t>
        </is>
      </c>
    </row>
    <row r="24">
      <c r="A24" s="2" t="inlineStr">
        <is>
          <t>acetic acid</t>
        </is>
      </c>
      <c r="B24" s="2" t="inlineStr">
        <is>
          <t>CC(=O)O</t>
        </is>
      </c>
      <c r="C24" s="2" t="inlineStr">
        <is>
          <t>acid</t>
        </is>
      </c>
      <c r="D24" s="2" t="n">
        <v>4.76</v>
      </c>
      <c r="E24" s="2" t="inlineStr">
        <is>
          <t>acetate</t>
        </is>
      </c>
      <c r="F24" s="2" t="inlineStr">
        <is>
          <t>weak acid</t>
        </is>
      </c>
      <c r="G24" s="2" t="inlineStr">
        <is>
          <t>approximate pKa in water (DMSO-free values): Evans pKa table; Clayden, Organic Chemistry</t>
        </is>
      </c>
    </row>
    <row r="25">
      <c r="A25" s="2" t="inlineStr">
        <is>
          <t>hydronium</t>
        </is>
      </c>
      <c r="B25" s="2" t="inlineStr">
        <is>
          <t>[OH3+]</t>
        </is>
      </c>
      <c r="C25" s="2" t="inlineStr">
        <is>
          <t>acid</t>
        </is>
      </c>
      <c r="D25" s="2" t="n">
        <v>-1.7</v>
      </c>
      <c r="E25" s="2" t="inlineStr">
        <is>
          <t>water</t>
        </is>
      </c>
      <c r="F25" s="2" t="inlineStr">
        <is>
          <t>the strongest acid that can exist in water</t>
        </is>
      </c>
      <c r="G25" s="2" t="inlineStr">
        <is>
          <t>approximate pKa in water (DMSO-free values): Evans pKa table; Clayden, Organic Chemistry</t>
        </is>
      </c>
    </row>
  </sheetData>
  <autoFilter ref="A1:G2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F26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44" customWidth="1" min="3" max="3"/>
    <col width="26" customWidth="1" min="4" max="4"/>
    <col width="18" customWidth="1" min="5" max="5"/>
    <col width="18" customWidth="1" min="6" max="6"/>
    <col width="52" customWidth="1" min="7" max="7"/>
    <col width="30" customWidth="1" min="8" max="8"/>
    <col width="44" customWidth="1" min="9" max="9"/>
    <col width="34" customWidth="1" min="10" max="10"/>
    <col width="12" customWidth="1" min="11" max="11"/>
    <col width="14" customWidth="1" min="12" max="12"/>
    <col width="9" customWidth="1" min="13" max="13"/>
    <col width="12" customWidth="1" min="14" max="14"/>
    <col width="9" customWidth="1" min="15" max="15"/>
    <col width="12" customWidth="1" min="16" max="16"/>
    <col width="50" customWidth="1" min="17" max="17"/>
    <col width="70" customWidth="1" min="18" max="18"/>
    <col width="50" customWidth="1" min="19" max="19"/>
    <col width="9" customWidth="1" min="20" max="20"/>
    <col width="14" customWidth="1" min="21" max="21"/>
    <col width="40" customWidth="1" min="22" max="22"/>
    <col width="14" customWidth="1" min="23" max="23"/>
    <col width="12" customWidth="1" min="24" max="24"/>
    <col width="12" customWidth="1" min="25" max="25"/>
    <col width="12" customWidth="1" min="26" max="26"/>
    <col width="14" customWidth="1" min="27" max="27"/>
    <col width="14" customWidth="1" min="28" max="28"/>
    <col width="14" customWidth="1" min="29" max="29"/>
    <col width="14" customWidth="1" min="30" max="30"/>
    <col width="50" customWidth="1" min="31" max="31"/>
    <col width="44" customWidth="1" min="32" max="32"/>
  </cols>
  <sheetData>
    <row r="1" ht="92" customHeight="1">
      <c r="A1" s="8" t="inlineStr">
        <is>
          <t>ID</t>
        </is>
      </c>
      <c r="B1" s="8" t="inlineStr">
        <is>
          <t>Key</t>
        </is>
      </c>
      <c r="C1" s="8" t="inlineStr">
        <is>
          <t>Name</t>
        </is>
      </c>
      <c r="D1" s="8" t="inlineStr">
        <is>
          <t>Group</t>
        </is>
      </c>
      <c r="E1" s="8" t="inlineStr">
        <is>
          <t>Kind</t>
        </is>
      </c>
      <c r="F1" s="8" t="inlineStr">
        <is>
          <t>Applies to (the atom that reacts, or: reagent + group)</t>
        </is>
      </c>
      <c r="G1" s="8" t="inlineStr">
        <is>
          <t>Pattern (SMARTS; first atom = the atom that reacts; [900*] = an atom the reaction changes, [!900*] = one it does not)</t>
        </is>
      </c>
      <c r="H1" s="8" t="inlineStr">
        <is>
          <t>Prefilter (SMARTS the product must contain somewhere; it only makes the test faster)</t>
        </is>
      </c>
      <c r="I1" s="8" t="inlineStr">
        <is>
          <t>Reagent side (any alternative; + = all of them; frag:F… = a fragment found in a reagent part, smiles:… = a part as typed, role:… = a Reagents-sheet role, solvent:… = a Solvents-sheet type, elem:Pd = some part has that element; not:… = the reagent must NOT have it; empty = any reagent)</t>
        </is>
      </c>
      <c r="J1" s="8" t="inlineStr">
        <is>
          <t>Groups (fragment IDs; any one present)</t>
        </is>
      </c>
      <c r="K1" s="8" t="inlineStr">
        <is>
          <t>Groups are looked for in (substrate, reagent, both)</t>
        </is>
      </c>
      <c r="L1" s="8" t="inlineStr">
        <is>
          <t>Shown for (bystander = a group the product did not consume; target; both)</t>
        </is>
      </c>
      <c r="M1" s="8" t="inlineStr">
        <is>
          <t>Distinct groups needed</t>
        </is>
      </c>
      <c r="N1" s="8" t="inlineStr">
        <is>
          <t>Needs (solvent, conditions, size, reagent)</t>
        </is>
      </c>
      <c r="O1" s="8" t="inlineStr">
        <is>
          <t>Used by the page (yes/no)</t>
        </is>
      </c>
      <c r="P1" s="8" t="inlineStr">
        <is>
          <t>Effect kind</t>
        </is>
      </c>
      <c r="Q1" s="8" t="inlineStr">
        <is>
          <t>Where / when</t>
        </is>
      </c>
      <c r="R1" s="8" t="inlineStr">
        <is>
          <t>Effect on the reaction</t>
        </is>
      </c>
      <c r="S1" s="8" t="inlineStr">
        <is>
          <t>Why</t>
        </is>
      </c>
      <c r="T1" s="8" t="inlineStr">
        <is>
          <t>Hammett σ</t>
        </is>
      </c>
      <c r="U1" s="8" t="inlineStr">
        <is>
          <t>Learned weight (log-odds of this site being chosen; + = favoured; for a ring substituent the pattern plus ρ × σ)</t>
        </is>
      </c>
      <c r="V1" s="8" t="inlineStr">
        <is>
          <t>Learned by reaction family (only where the data say more than the global weight)</t>
        </is>
      </c>
      <c r="W1" s="8" t="inlineStr">
        <is>
          <t>Contests where this pattern told the outcomes apart</t>
        </is>
      </c>
      <c r="X1" s="8" t="inlineStr">
        <is>
          <t>Patents those contests come from</t>
        </is>
      </c>
      <c r="Y1" s="8" t="inlineStr">
        <is>
          <t>Recorded winner had it</t>
        </is>
      </c>
      <c r="Z1" s="8" t="inlineStr">
        <is>
          <t>A random pick would have it</t>
        </is>
      </c>
      <c r="AA1" s="8" t="inlineStr">
        <is>
          <t>Recorded reactions with the reagent and a group</t>
        </is>
      </c>
      <c r="AB1" s="8" t="inlineStr">
        <is>
          <t>Advisory would be shown in this share of all recorded reactions</t>
        </is>
      </c>
      <c r="AC1" s="8" t="inlineStr">
        <is>
          <t>Group consumed with this reagent</t>
        </is>
      </c>
      <c r="AD1" s="8" t="inlineStr">
        <is>
          <t>Group consumed with other reagents</t>
        </is>
      </c>
      <c r="AE1" s="8" t="inlineStr">
        <is>
          <t>Evidence note</t>
        </is>
      </c>
      <c r="AF1" s="8" t="inlineStr">
        <is>
          <t>Source</t>
        </is>
      </c>
    </row>
    <row r="2">
      <c r="A2" s="7" t="inlineStr">
        <is>
          <t>I001</t>
        </is>
      </c>
      <c r="B2" s="7" t="inlineStr">
        <is>
          <t>ring-ortho-nitro</t>
        </is>
      </c>
      <c r="C2" s="7" t="inlineStr">
        <is>
          <t>nitro, ortho to the reacting aromatic carbon</t>
        </is>
      </c>
      <c r="D2" s="7" t="inlineStr">
        <is>
          <t>ring substituent (position)</t>
        </is>
      </c>
      <c r="E2" s="7" t="inlineStr">
        <is>
          <t>electronic</t>
        </is>
      </c>
      <c r="F2" s="7" t="inlineStr">
        <is>
          <t>aromatic C</t>
        </is>
      </c>
      <c r="G2" s="7" t="inlineStr">
        <is>
          <t>[c;$(c:c-[N+;!900*](=O)[O-])]</t>
        </is>
      </c>
      <c r="H2" s="7" t="inlineStr">
        <is>
          <t>[c]-[N+](=O)[O-]</t>
        </is>
      </c>
      <c r="I2" s="7" t="inlineStr"/>
      <c r="J2" s="7" t="inlineStr"/>
      <c r="K2" s="7" t="inlineStr"/>
      <c r="L2" s="7" t="inlineStr"/>
      <c r="M2" s="7" t="n"/>
      <c r="N2" s="7" t="inlineStr"/>
      <c r="O2" s="7" t="inlineStr">
        <is>
          <t>yes</t>
        </is>
      </c>
      <c r="P2" s="7" t="inlineStr"/>
      <c r="Q2" s="7" t="inlineStr">
        <is>
          <t>on the ring atom next to the reacting carbon (ortho)</t>
        </is>
      </c>
      <c r="R2" s="7" t="inlineStr">
        <is>
          <t>withdraws electrons: speeds nucleophilic attack at the ring carbon (SNAr, oxidative addition, metalation next to it), slows electrophilic substitution. At ortho the electronic effect is like para, and the group also crowds the carbon.</t>
        </is>
      </c>
      <c r="S2" s="7" t="inlineStr">
        <is>
          <t>nitro (σp +0.78): the strongest common electron-withdrawing group (induction and resonance)</t>
        </is>
      </c>
      <c r="T2" s="7" t="n">
        <v>0.78</v>
      </c>
      <c r="U2" s="10" t="n">
        <v>1.05</v>
      </c>
      <c r="V2" s="7" t="inlineStr">
        <is>
          <t>aryl halide +2.91 (n=1066; winner had it 88 % vs 47 % at random) · n nucleophile +1.97 (n=125; winner had it 81 % vs 45 % at random) · carbonyl addition +1.69 (n=36; winner had it 56 % vs 39 % at random) · alkyl substitution +1.52 (n=74; winner had it 62 % vs 41 % at random) · deprotection +0.93 (n=47; winner had it 40 % vs 40 % at random) · arene ch -0.17 (n=286; winner had it 24 % vs 40 % at random)</t>
        </is>
      </c>
      <c r="W2" s="7" t="n">
        <v>1872</v>
      </c>
      <c r="X2" s="7" t="n">
        <v>1159</v>
      </c>
      <c r="Y2" s="9" t="n">
        <v>0.6672</v>
      </c>
      <c r="Z2" s="9" t="n">
        <v>0.4427</v>
      </c>
      <c r="AA2" s="7" t="n"/>
      <c r="AB2" s="7" t="n"/>
      <c r="AC2" s="7" t="n"/>
      <c r="AD2" s="7" t="n"/>
      <c r="AE2" s="7" t="inlineStr">
        <is>
          <t>learned from the training patents (tools/int_train.py)</t>
        </is>
      </c>
      <c r="AF2" s="7" t="inlineStr">
        <is>
          <t>Hansch, Leo, Taft, Chem. Rev. 91, 165 (1991); Clayden, Organic Chemistry (aromatic substitution)</t>
        </is>
      </c>
    </row>
    <row r="3">
      <c r="A3" s="7" t="inlineStr">
        <is>
          <t>I002</t>
        </is>
      </c>
      <c r="B3" s="7" t="inlineStr">
        <is>
          <t>ring-meta-nitro</t>
        </is>
      </c>
      <c r="C3" s="7" t="inlineStr">
        <is>
          <t>nitro, meta to the reacting aromatic carbon</t>
        </is>
      </c>
      <c r="D3" s="7" t="inlineStr">
        <is>
          <t>ring substituent (position)</t>
        </is>
      </c>
      <c r="E3" s="7" t="inlineStr">
        <is>
          <t>electronic</t>
        </is>
      </c>
      <c r="F3" s="7" t="inlineStr">
        <is>
          <t>aromatic C</t>
        </is>
      </c>
      <c r="G3" s="7" t="inlineStr">
        <is>
          <t>[c;$(c1:a:c(-[N+;!900*](=O)[O-]):a:a:a:1),$([c;r5]:[c;r5]:[c;r5]-[N+;!900*](=O)[O-])]</t>
        </is>
      </c>
      <c r="H3" s="7" t="inlineStr">
        <is>
          <t>[c]-[N+](=O)[O-]</t>
        </is>
      </c>
      <c r="I3" s="7" t="inlineStr"/>
      <c r="J3" s="7" t="inlineStr"/>
      <c r="K3" s="7" t="inlineStr"/>
      <c r="L3" s="7" t="inlineStr"/>
      <c r="M3" s="7" t="n"/>
      <c r="N3" s="7" t="inlineStr"/>
      <c r="O3" s="7" t="inlineStr">
        <is>
          <t>yes</t>
        </is>
      </c>
      <c r="P3" s="7" t="inlineStr"/>
      <c r="Q3" s="7" t="inlineStr">
        <is>
          <t>on the ring atom two bonds from the reacting carbon, inside the same six-membered ring (meta)</t>
        </is>
      </c>
      <c r="R3" s="7" t="inlineStr">
        <is>
          <t>withdraws electrons: speeds nucleophilic attack at the ring carbon (SNAr, oxidative addition, metalation next to it), slows electrophilic substitution. At meta mostly the inductive part acts; resonance does not reach this position.</t>
        </is>
      </c>
      <c r="S3" s="7" t="inlineStr">
        <is>
          <t>nitro (σm +0.71): the strongest common electron-withdrawing group (induction and resonance)</t>
        </is>
      </c>
      <c r="T3" s="7" t="n">
        <v>0.71</v>
      </c>
      <c r="U3" s="10" t="n">
        <v>0.18</v>
      </c>
      <c r="V3" s="7" t="inlineStr">
        <is>
          <t>aryl halide -1.83 (n=810; winner had it 2 % vs 46 % at random) · n nucleophile +1.42 (n=79; winner had it 66 % vs 42 % at random) · acyl substitution +0.76 (n=177; winner had it 60 % vs 38 % at random) · deprotection +0.53 (n=45; winner had it 40 % vs 34 % at random) · alkyl substitution -0.44 (n=73; winner had it 18 % vs 42 % at random)</t>
        </is>
      </c>
      <c r="W3" s="7" t="n">
        <v>1553</v>
      </c>
      <c r="X3" s="7" t="n">
        <v>1000</v>
      </c>
      <c r="Y3" s="9" t="n">
        <v>0.2724</v>
      </c>
      <c r="Z3" s="9" t="n">
        <v>0.4224</v>
      </c>
      <c r="AA3" s="7" t="n"/>
      <c r="AB3" s="7" t="n"/>
      <c r="AC3" s="7" t="n"/>
      <c r="AD3" s="7" t="n"/>
      <c r="AE3" s="7" t="inlineStr">
        <is>
          <t>learned from the training patents (tools/int_train.py)</t>
        </is>
      </c>
      <c r="AF3" s="7" t="inlineStr">
        <is>
          <t>Hansch, Leo, Taft, Chem. Rev. 91, 165 (1991); Clayden, Organic Chemistry (aromatic substitution)</t>
        </is>
      </c>
    </row>
    <row r="4">
      <c r="A4" s="7" t="inlineStr">
        <is>
          <t>I003</t>
        </is>
      </c>
      <c r="B4" s="7" t="inlineStr">
        <is>
          <t>ring-para-nitro</t>
        </is>
      </c>
      <c r="C4" s="7" t="inlineStr">
        <is>
          <t>nitro, para to the reacting aromatic carbon</t>
        </is>
      </c>
      <c r="D4" s="7" t="inlineStr">
        <is>
          <t>ring substituent (position)</t>
        </is>
      </c>
      <c r="E4" s="7" t="inlineStr">
        <is>
          <t>electronic</t>
        </is>
      </c>
      <c r="F4" s="7" t="inlineStr">
        <is>
          <t>aromatic C</t>
        </is>
      </c>
      <c r="G4" s="7" t="inlineStr">
        <is>
          <t>[c;$(c1:a:a:c(-[N+;!900*](=O)[O-]):a:a:1),$([c;r5]:[c;r5]:[c;r5]:[c;r5]-[N+;!900*](=O)[O-])]</t>
        </is>
      </c>
      <c r="H4" s="7" t="inlineStr">
        <is>
          <t>[c]-[N+](=O)[O-]</t>
        </is>
      </c>
      <c r="I4" s="7" t="inlineStr"/>
      <c r="J4" s="7" t="inlineStr"/>
      <c r="K4" s="7" t="inlineStr"/>
      <c r="L4" s="7" t="inlineStr"/>
      <c r="M4" s="7" t="n"/>
      <c r="N4" s="7" t="inlineStr"/>
      <c r="O4" s="7" t="inlineStr">
        <is>
          <t>yes</t>
        </is>
      </c>
      <c r="P4" s="7" t="inlineStr"/>
      <c r="Q4" s="7" t="inlineStr">
        <is>
          <t>on the ring atom opposite the reacting carbon, inside the same six-membered ring (para)</t>
        </is>
      </c>
      <c r="R4" s="7" t="inlineStr">
        <is>
          <t>withdraws electrons: speeds nucleophilic attack at the ring carbon (SNAr, oxidative addition, metalation next to it), slows electrophilic substitution. At para induction and resonance both act.</t>
        </is>
      </c>
      <c r="S4" s="7" t="inlineStr">
        <is>
          <t>nitro (σp +0.78): the strongest common electron-withdrawing group (induction and resonance)</t>
        </is>
      </c>
      <c r="T4" s="7" t="n">
        <v>0.78</v>
      </c>
      <c r="U4" s="10" t="n">
        <v>1.15</v>
      </c>
      <c r="V4" s="7" t="inlineStr">
        <is>
          <t>n nucleophile +2.54 (n=72; winner had it 81 % vs 43 % at random) · alkyl substitution +1.96 (n=48; winner had it 56 % vs 37 % at random) · carbonyl addition +1.65 (n=31; winner had it 55 % vs 42 % at random) · deprotection +1.53 (n=25; winner had it 64 % vs 44 % at random) · aryl halide +1.24 (n=1135; winner had it 47 % vs 48 % at random) · acyl substitution +0.34 (n=121; winner had it 26 % vs 33 % at random)</t>
        </is>
      </c>
      <c r="W4" s="7" t="n">
        <v>1647</v>
      </c>
      <c r="X4" s="7" t="n">
        <v>1010</v>
      </c>
      <c r="Y4" s="9" t="n">
        <v>0.4457</v>
      </c>
      <c r="Z4" s="9" t="n">
        <v>0.4386</v>
      </c>
      <c r="AA4" s="7" t="n"/>
      <c r="AB4" s="7" t="n"/>
      <c r="AC4" s="7" t="n"/>
      <c r="AD4" s="7" t="n"/>
      <c r="AE4" s="7" t="inlineStr">
        <is>
          <t>learned from the training patents (tools/int_train.py)</t>
        </is>
      </c>
      <c r="AF4" s="7" t="inlineStr">
        <is>
          <t>Hansch, Leo, Taft, Chem. Rev. 91, 165 (1991); Clayden, Organic Chemistry (aromatic substitution)</t>
        </is>
      </c>
    </row>
    <row r="5">
      <c r="A5" s="7" t="inlineStr">
        <is>
          <t>I004</t>
        </is>
      </c>
      <c r="B5" s="7" t="inlineStr">
        <is>
          <t>ring-ortho-cyano</t>
        </is>
      </c>
      <c r="C5" s="7" t="inlineStr">
        <is>
          <t>cyano, ortho to the reacting aromatic carbon</t>
        </is>
      </c>
      <c r="D5" s="7" t="inlineStr">
        <is>
          <t>ring substituent (position)</t>
        </is>
      </c>
      <c r="E5" s="7" t="inlineStr">
        <is>
          <t>electronic</t>
        </is>
      </c>
      <c r="F5" s="7" t="inlineStr">
        <is>
          <t>aromatic C</t>
        </is>
      </c>
      <c r="G5" s="7" t="inlineStr">
        <is>
          <t>[c;$(c:c-[C;!900*]#N)]</t>
        </is>
      </c>
      <c r="H5" s="7" t="inlineStr">
        <is>
          <t>[c]-C#N</t>
        </is>
      </c>
      <c r="I5" s="7" t="inlineStr"/>
      <c r="J5" s="7" t="inlineStr"/>
      <c r="K5" s="7" t="inlineStr"/>
      <c r="L5" s="7" t="inlineStr"/>
      <c r="M5" s="7" t="n"/>
      <c r="N5" s="7" t="inlineStr"/>
      <c r="O5" s="7" t="inlineStr">
        <is>
          <t>yes</t>
        </is>
      </c>
      <c r="P5" s="7" t="inlineStr"/>
      <c r="Q5" s="7" t="inlineStr">
        <is>
          <t>on the ring atom next to the reacting carbon (ortho)</t>
        </is>
      </c>
      <c r="R5" s="7" t="inlineStr">
        <is>
          <t>withdraws electrons: speeds nucleophilic attack at the ring carbon (SNAr, oxidative addition, metalation next to it), slows electrophilic substitution. At ortho the electronic effect is like para, and the group also crowds the carbon.</t>
        </is>
      </c>
      <c r="S5" s="7" t="inlineStr">
        <is>
          <t>cyano (σp +0.66): withdraws by induction and by resonance</t>
        </is>
      </c>
      <c r="T5" s="7" t="n">
        <v>0.66</v>
      </c>
      <c r="U5" s="10" t="n">
        <v>0.13</v>
      </c>
      <c r="V5" s="7" t="inlineStr">
        <is>
          <t>arene ch -1.32 (n=254; winner had it 17 % vs 34 % at random) · aryl halide +1.15 (n=524; winner had it 46 % vs 46 % at random) · alkyl substitution +0.73 (n=33; winner had it 52 % vs 36 % at random) · n nucleophile +0.52 (n=27; winner had it 44 % vs 33 % at random) · acyl substitution -0.28 (n=251; winner had it 21 % vs 34 % at random) · carbonyl addition -0.20 (n=42; winner had it 17 % vs 44 % at random)</t>
        </is>
      </c>
      <c r="W5" s="7" t="n">
        <v>1189</v>
      </c>
      <c r="X5" s="7" t="n">
        <v>699</v>
      </c>
      <c r="Y5" s="9" t="n">
        <v>0.3364</v>
      </c>
      <c r="Z5" s="9" t="n">
        <v>0.4013</v>
      </c>
      <c r="AA5" s="7" t="n"/>
      <c r="AB5" s="7" t="n"/>
      <c r="AC5" s="7" t="n"/>
      <c r="AD5" s="7" t="n"/>
      <c r="AE5" s="7" t="inlineStr">
        <is>
          <t>learned from the training patents (tools/int_train.py)</t>
        </is>
      </c>
      <c r="AF5" s="7" t="inlineStr">
        <is>
          <t>Hansch, Leo, Taft, Chem. Rev. 91, 165 (1991); Clayden, Organic Chemistry (aromatic substitution)</t>
        </is>
      </c>
    </row>
    <row r="6">
      <c r="A6" s="7" t="inlineStr">
        <is>
          <t>I005</t>
        </is>
      </c>
      <c r="B6" s="7" t="inlineStr">
        <is>
          <t>ring-meta-cyano</t>
        </is>
      </c>
      <c r="C6" s="7" t="inlineStr">
        <is>
          <t>cyano, meta to the reacting aromatic carbon</t>
        </is>
      </c>
      <c r="D6" s="7" t="inlineStr">
        <is>
          <t>ring substituent (position)</t>
        </is>
      </c>
      <c r="E6" s="7" t="inlineStr">
        <is>
          <t>electronic</t>
        </is>
      </c>
      <c r="F6" s="7" t="inlineStr">
        <is>
          <t>aromatic C</t>
        </is>
      </c>
      <c r="G6" s="7" t="inlineStr">
        <is>
          <t>[c;$(c1:a:c(-[C;!900*]#N):a:a:a:1),$([c;r5]:[c;r5]:[c;r5]-[C;!900*]#N)]</t>
        </is>
      </c>
      <c r="H6" s="7" t="inlineStr">
        <is>
          <t>[c]-C#N</t>
        </is>
      </c>
      <c r="I6" s="7" t="inlineStr"/>
      <c r="J6" s="7" t="inlineStr"/>
      <c r="K6" s="7" t="inlineStr"/>
      <c r="L6" s="7" t="inlineStr"/>
      <c r="M6" s="7" t="n"/>
      <c r="N6" s="7" t="inlineStr"/>
      <c r="O6" s="7" t="inlineStr">
        <is>
          <t>yes</t>
        </is>
      </c>
      <c r="P6" s="7" t="inlineStr"/>
      <c r="Q6" s="7" t="inlineStr">
        <is>
          <t>on the ring atom two bonds from the reacting carbon, inside the same six-membered ring (meta)</t>
        </is>
      </c>
      <c r="R6" s="7" t="inlineStr">
        <is>
          <t>withdraws electrons: speeds nucleophilic attack at the ring carbon (SNAr, oxidative addition, metalation next to it), slows electrophilic substitution. At meta mostly the inductive part acts; resonance does not reach this position.</t>
        </is>
      </c>
      <c r="S6" s="7" t="inlineStr">
        <is>
          <t>cyano (σm +0.56): withdraws by induction and by resonance</t>
        </is>
      </c>
      <c r="T6" s="7" t="n">
        <v>0.5600000000000001</v>
      </c>
      <c r="U6" s="10" t="n">
        <v>0.34</v>
      </c>
      <c r="V6" s="7" t="inlineStr">
        <is>
          <t>carbonyl addition +1.25 (n=48; winner had it 56 % vs 40 % at random) · aryl halide -0.97 (n=306; winner had it 11 % vs 44 % at random) · acyl substitution +0.86 (n=248; winner had it 52 % vs 36 % at random) · arene ch -0.51 (n=244; winner had it 48 % vs 37 % at random)</t>
        </is>
      </c>
      <c r="W6" s="7" t="n">
        <v>931</v>
      </c>
      <c r="X6" s="7" t="n">
        <v>603</v>
      </c>
      <c r="Y6" s="9" t="n">
        <v>0.3695</v>
      </c>
      <c r="Z6" s="9" t="n">
        <v>0.3922</v>
      </c>
      <c r="AA6" s="7" t="n"/>
      <c r="AB6" s="7" t="n"/>
      <c r="AC6" s="7" t="n"/>
      <c r="AD6" s="7" t="n"/>
      <c r="AE6" s="7" t="inlineStr">
        <is>
          <t>learned from the training patents (tools/int_train.py)</t>
        </is>
      </c>
      <c r="AF6" s="7" t="inlineStr">
        <is>
          <t>Hansch, Leo, Taft, Chem. Rev. 91, 165 (1991); Clayden, Organic Chemistry (aromatic substitution)</t>
        </is>
      </c>
    </row>
    <row r="7">
      <c r="A7" s="7" t="inlineStr">
        <is>
          <t>I006</t>
        </is>
      </c>
      <c r="B7" s="7" t="inlineStr">
        <is>
          <t>ring-para-cyano</t>
        </is>
      </c>
      <c r="C7" s="7" t="inlineStr">
        <is>
          <t>cyano, para to the reacting aromatic carbon</t>
        </is>
      </c>
      <c r="D7" s="7" t="inlineStr">
        <is>
          <t>ring substituent (position)</t>
        </is>
      </c>
      <c r="E7" s="7" t="inlineStr">
        <is>
          <t>electronic</t>
        </is>
      </c>
      <c r="F7" s="7" t="inlineStr">
        <is>
          <t>aromatic C</t>
        </is>
      </c>
      <c r="G7" s="7" t="inlineStr">
        <is>
          <t>[c;$(c1:a:a:c(-[C;!900*]#N):a:a:1),$([c;r5]:[c;r5]:[c;r5]:[c;r5]-[C;!900*]#N)]</t>
        </is>
      </c>
      <c r="H7" s="7" t="inlineStr">
        <is>
          <t>[c]-C#N</t>
        </is>
      </c>
      <c r="I7" s="7" t="inlineStr"/>
      <c r="J7" s="7" t="inlineStr"/>
      <c r="K7" s="7" t="inlineStr"/>
      <c r="L7" s="7" t="inlineStr"/>
      <c r="M7" s="7" t="n"/>
      <c r="N7" s="7" t="inlineStr"/>
      <c r="O7" s="7" t="inlineStr">
        <is>
          <t>yes</t>
        </is>
      </c>
      <c r="P7" s="7" t="inlineStr"/>
      <c r="Q7" s="7" t="inlineStr">
        <is>
          <t>on the ring atom opposite the reacting carbon, inside the same six-membered ring (para)</t>
        </is>
      </c>
      <c r="R7" s="7" t="inlineStr">
        <is>
          <t>withdraws electrons: speeds nucleophilic attack at the ring carbon (SNAr, oxidative addition, metalation next to it), slows electrophilic substitution. At para induction and resonance both act.</t>
        </is>
      </c>
      <c r="S7" s="7" t="inlineStr">
        <is>
          <t>cyano (σp +0.66): withdraws by induction and by resonance</t>
        </is>
      </c>
      <c r="T7" s="7" t="n">
        <v>0.66</v>
      </c>
      <c r="U7" s="10" t="n">
        <v>0.74</v>
      </c>
      <c r="V7" s="7" t="inlineStr">
        <is>
          <t>aryl halide +2.83 (n=434; winner had it 89 % vs 47 % at random) · arene ch -1.05 (n=122; winner had it 16 % vs 27 % at random) · acyl substitution +0.60 (n=133; winner had it 30 % vs 33 % at random) · alkyl substitution +0.46 (n=25; winner had it 36 % vs 46 % at random)</t>
        </is>
      </c>
      <c r="W7" s="7" t="n">
        <v>794</v>
      </c>
      <c r="X7" s="7" t="n">
        <v>455</v>
      </c>
      <c r="Y7" s="9" t="n">
        <v>0.6284999999999999</v>
      </c>
      <c r="Z7" s="9" t="n">
        <v>0.4088</v>
      </c>
      <c r="AA7" s="7" t="n"/>
      <c r="AB7" s="7" t="n"/>
      <c r="AC7" s="7" t="n"/>
      <c r="AD7" s="7" t="n"/>
      <c r="AE7" s="7" t="inlineStr">
        <is>
          <t>learned from the training patents (tools/int_train.py)</t>
        </is>
      </c>
      <c r="AF7" s="7" t="inlineStr">
        <is>
          <t>Hansch, Leo, Taft, Chem. Rev. 91, 165 (1991); Clayden, Organic Chemistry (aromatic substitution)</t>
        </is>
      </c>
    </row>
    <row r="8">
      <c r="A8" s="7" t="inlineStr">
        <is>
          <t>I007</t>
        </is>
      </c>
      <c r="B8" s="7" t="inlineStr">
        <is>
          <t>ring-ortho-cf3</t>
        </is>
      </c>
      <c r="C8" s="7" t="inlineStr">
        <is>
          <t>trifluoromethyl, ortho to the reacting aromatic carbon</t>
        </is>
      </c>
      <c r="D8" s="7" t="inlineStr">
        <is>
          <t>ring substituent (position)</t>
        </is>
      </c>
      <c r="E8" s="7" t="inlineStr">
        <is>
          <t>electronic</t>
        </is>
      </c>
      <c r="F8" s="7" t="inlineStr">
        <is>
          <t>aromatic C</t>
        </is>
      </c>
      <c r="G8" s="7" t="inlineStr">
        <is>
          <t>[c;$(c:c-[C;!900*](F)(F)F)]</t>
        </is>
      </c>
      <c r="H8" s="7" t="inlineStr">
        <is>
          <t>[c]-C(F)(F)F</t>
        </is>
      </c>
      <c r="I8" s="7" t="inlineStr"/>
      <c r="J8" s="7" t="inlineStr"/>
      <c r="K8" s="7" t="inlineStr"/>
      <c r="L8" s="7" t="inlineStr"/>
      <c r="M8" s="7" t="n"/>
      <c r="N8" s="7" t="inlineStr"/>
      <c r="O8" s="7" t="inlineStr">
        <is>
          <t>yes</t>
        </is>
      </c>
      <c r="P8" s="7" t="inlineStr"/>
      <c r="Q8" s="7" t="inlineStr">
        <is>
          <t>on the ring atom next to the reacting carbon (ortho)</t>
        </is>
      </c>
      <c r="R8" s="7" t="inlineStr">
        <is>
          <t>withdraws electrons: speeds nucleophilic attack at the ring carbon (SNAr, oxidative addition, metalation next to it), slows electrophilic substitution. At ortho the electronic effect is like para, and the group also crowds the carbon.</t>
        </is>
      </c>
      <c r="S8" s="7" t="inlineStr">
        <is>
          <t>trifluoromethyl (σp +0.54): withdraws by induction (three C–F dipoles); no resonance</t>
        </is>
      </c>
      <c r="T8" s="7" t="n">
        <v>0.54</v>
      </c>
      <c r="U8" s="10" t="n">
        <v>-0.14</v>
      </c>
      <c r="V8" s="7" t="inlineStr">
        <is>
          <t>arene ch -1.41 (n=364; winner had it 18 % vs 38 % at random) · alkyl substitution +1.02 (n=70; winner had it 51 % vs 42 % at random) · acyl substitution -0.82 (n=264; winner had it 18 % vs 37 % at random) · aryl halide -0.60 (n=290; winner had it 22 % vs 45 % at random) · carbonyl addition +0.45 (n=117; winner had it 42 % vs 41 % at random) · n nucleophile +0.42 (n=49; winner had it 27 % vs 34 % at random)</t>
        </is>
      </c>
      <c r="W8" s="7" t="n">
        <v>1215</v>
      </c>
      <c r="X8" s="7" t="n">
        <v>768</v>
      </c>
      <c r="Y8" s="9" t="n">
        <v>0.2362</v>
      </c>
      <c r="Z8" s="9" t="n">
        <v>0.3999</v>
      </c>
      <c r="AA8" s="7" t="n"/>
      <c r="AB8" s="7" t="n"/>
      <c r="AC8" s="7" t="n"/>
      <c r="AD8" s="7" t="n"/>
      <c r="AE8" s="7" t="inlineStr">
        <is>
          <t>learned from the training patents (tools/int_train.py)</t>
        </is>
      </c>
      <c r="AF8" s="7" t="inlineStr">
        <is>
          <t>Hansch, Leo, Taft, Chem. Rev. 91, 165 (1991); Clayden, Organic Chemistry (aromatic substitution)</t>
        </is>
      </c>
    </row>
    <row r="9">
      <c r="A9" s="7" t="inlineStr">
        <is>
          <t>I008</t>
        </is>
      </c>
      <c r="B9" s="7" t="inlineStr">
        <is>
          <t>ring-meta-cf3</t>
        </is>
      </c>
      <c r="C9" s="7" t="inlineStr">
        <is>
          <t>trifluoromethyl, meta to the reacting aromatic carbon</t>
        </is>
      </c>
      <c r="D9" s="7" t="inlineStr">
        <is>
          <t>ring substituent (position)</t>
        </is>
      </c>
      <c r="E9" s="7" t="inlineStr">
        <is>
          <t>electronic</t>
        </is>
      </c>
      <c r="F9" s="7" t="inlineStr">
        <is>
          <t>aromatic C</t>
        </is>
      </c>
      <c r="G9" s="7" t="inlineStr">
        <is>
          <t>[c;$(c1:a:c(-[C;!900*](F)(F)F):a:a:a:1),$([c;r5]:[c;r5]:[c;r5]-[C;!900*](F)(F)F)]</t>
        </is>
      </c>
      <c r="H9" s="7" t="inlineStr">
        <is>
          <t>[c]-C(F)(F)F</t>
        </is>
      </c>
      <c r="I9" s="7" t="inlineStr"/>
      <c r="J9" s="7" t="inlineStr"/>
      <c r="K9" s="7" t="inlineStr"/>
      <c r="L9" s="7" t="inlineStr"/>
      <c r="M9" s="7" t="n"/>
      <c r="N9" s="7" t="inlineStr"/>
      <c r="O9" s="7" t="inlineStr">
        <is>
          <t>yes</t>
        </is>
      </c>
      <c r="P9" s="7" t="inlineStr"/>
      <c r="Q9" s="7" t="inlineStr">
        <is>
          <t>on the ring atom two bonds from the reacting carbon, inside the same six-membered ring (meta)</t>
        </is>
      </c>
      <c r="R9" s="7" t="inlineStr">
        <is>
          <t>withdraws electrons: speeds nucleophilic attack at the ring carbon (SNAr, oxidative addition, metalation next to it), slows electrophilic substitution. At meta mostly the inductive part acts; resonance does not reach this position.</t>
        </is>
      </c>
      <c r="S9" s="7" t="inlineStr">
        <is>
          <t>trifluoromethyl (σm +0.43): withdraws by induction (three C–F dipoles); no resonance</t>
        </is>
      </c>
      <c r="T9" s="7" t="n">
        <v>0.43</v>
      </c>
      <c r="U9" s="10" t="n">
        <v>-0.1</v>
      </c>
      <c r="V9" s="7" t="inlineStr">
        <is>
          <t>arene ch -1.13 (n=315; winner had it 42 % vs 33 % at random) · carbonyl addition -0.45 (n=104; winner had it 34 % vs 37 % at random) · alkyl substitution +0.39 (n=37; winner had it 32 % vs 36 % at random) · aryl halide -0.39 (n=323; winner had it 28 % vs 45 % at random)</t>
        </is>
      </c>
      <c r="W9" s="7" t="n">
        <v>1114</v>
      </c>
      <c r="X9" s="7" t="n">
        <v>701</v>
      </c>
      <c r="Y9" s="9" t="n">
        <v>0.3618</v>
      </c>
      <c r="Z9" s="9" t="n">
        <v>0.3746</v>
      </c>
      <c r="AA9" s="7" t="n"/>
      <c r="AB9" s="7" t="n"/>
      <c r="AC9" s="7" t="n"/>
      <c r="AD9" s="7" t="n"/>
      <c r="AE9" s="7" t="inlineStr">
        <is>
          <t>learned from the training patents (tools/int_train.py)</t>
        </is>
      </c>
      <c r="AF9" s="7" t="inlineStr">
        <is>
          <t>Hansch, Leo, Taft, Chem. Rev. 91, 165 (1991); Clayden, Organic Chemistry (aromatic substitution)</t>
        </is>
      </c>
    </row>
    <row r="10">
      <c r="A10" s="7" t="inlineStr">
        <is>
          <t>I009</t>
        </is>
      </c>
      <c r="B10" s="7" t="inlineStr">
        <is>
          <t>ring-para-cf3</t>
        </is>
      </c>
      <c r="C10" s="7" t="inlineStr">
        <is>
          <t>trifluoromethyl, para to the reacting aromatic carbon</t>
        </is>
      </c>
      <c r="D10" s="7" t="inlineStr">
        <is>
          <t>ring substituent (position)</t>
        </is>
      </c>
      <c r="E10" s="7" t="inlineStr">
        <is>
          <t>electronic</t>
        </is>
      </c>
      <c r="F10" s="7" t="inlineStr">
        <is>
          <t>aromatic C</t>
        </is>
      </c>
      <c r="G10" s="7" t="inlineStr">
        <is>
          <t>[c;$(c1:a:a:c(-[C;!900*](F)(F)F):a:a:1),$([c;r5]:[c;r5]:[c;r5]:[c;r5]-[C;!900*](F)(F)F)]</t>
        </is>
      </c>
      <c r="H10" s="7" t="inlineStr">
        <is>
          <t>[c]-C(F)(F)F</t>
        </is>
      </c>
      <c r="I10" s="7" t="inlineStr"/>
      <c r="J10" s="7" t="inlineStr"/>
      <c r="K10" s="7" t="inlineStr"/>
      <c r="L10" s="7" t="inlineStr"/>
      <c r="M10" s="7" t="n"/>
      <c r="N10" s="7" t="inlineStr"/>
      <c r="O10" s="7" t="inlineStr">
        <is>
          <t>yes</t>
        </is>
      </c>
      <c r="P10" s="7" t="inlineStr"/>
      <c r="Q10" s="7" t="inlineStr">
        <is>
          <t>on the ring atom opposite the reacting carbon, inside the same six-membered ring (para)</t>
        </is>
      </c>
      <c r="R10" s="7" t="inlineStr">
        <is>
          <t>withdraws electrons: speeds nucleophilic attack at the ring carbon (SNAr, oxidative addition, metalation next to it), slows electrophilic substitution. At para induction and resonance both act.</t>
        </is>
      </c>
      <c r="S10" s="7" t="inlineStr">
        <is>
          <t>trifluoromethyl (σp +0.54): withdraws by induction (three C–F dipoles); no resonance</t>
        </is>
      </c>
      <c r="T10" s="7" t="n">
        <v>0.54</v>
      </c>
      <c r="U10" s="10" t="n">
        <v>0.11</v>
      </c>
      <c r="V10" s="7" t="inlineStr">
        <is>
          <t>arene ch -1.63 (n=170; winner had it 21 % vs 29 % at random) · aryl halide +1.14 (n=322; winner had it 81 % vs 48 % at random) · n nucleophile +0.91 (n=34; winner had it 41 % vs 28 % at random) · o nucleophile +0.62 (n=25; winner had it 40 % vs 35 % at random) · acyl substitution -0.32 (n=131; winner had it 20 % vs 30 % at random)</t>
        </is>
      </c>
      <c r="W10" s="7" t="n">
        <v>792</v>
      </c>
      <c r="X10" s="7" t="n">
        <v>502</v>
      </c>
      <c r="Y10" s="9" t="n">
        <v>0.4861</v>
      </c>
      <c r="Z10" s="9" t="n">
        <v>0.3833</v>
      </c>
      <c r="AA10" s="7" t="n"/>
      <c r="AB10" s="7" t="n"/>
      <c r="AC10" s="7" t="n"/>
      <c r="AD10" s="7" t="n"/>
      <c r="AE10" s="7" t="inlineStr">
        <is>
          <t>learned from the training patents (tools/int_train.py)</t>
        </is>
      </c>
      <c r="AF10" s="7" t="inlineStr">
        <is>
          <t>Hansch, Leo, Taft, Chem. Rev. 91, 165 (1991); Clayden, Organic Chemistry (aromatic substitution)</t>
        </is>
      </c>
    </row>
    <row r="11">
      <c r="A11" s="7" t="inlineStr">
        <is>
          <t>I010</t>
        </is>
      </c>
      <c r="B11" s="7" t="inlineStr">
        <is>
          <t>ring-ortho-sulfonyl</t>
        </is>
      </c>
      <c r="C11" s="7" t="inlineStr">
        <is>
          <t>sulfonyl (sulfone, sulfonamide), ortho to the reacting aromatic carbon</t>
        </is>
      </c>
      <c r="D11" s="7" t="inlineStr">
        <is>
          <t>ring substituent (position)</t>
        </is>
      </c>
      <c r="E11" s="7" t="inlineStr">
        <is>
          <t>electronic</t>
        </is>
      </c>
      <c r="F11" s="7" t="inlineStr">
        <is>
          <t>aromatic C</t>
        </is>
      </c>
      <c r="G11" s="7" t="inlineStr">
        <is>
          <t>[c;$(c:c-[SX4;!900*](=O)=O)]</t>
        </is>
      </c>
      <c r="H11" s="7" t="inlineStr">
        <is>
          <t>[c]-[SX4](=O)=O</t>
        </is>
      </c>
      <c r="I11" s="7" t="inlineStr"/>
      <c r="J11" s="7" t="inlineStr"/>
      <c r="K11" s="7" t="inlineStr"/>
      <c r="L11" s="7" t="inlineStr"/>
      <c r="M11" s="7" t="n"/>
      <c r="N11" s="7" t="inlineStr"/>
      <c r="O11" s="7" t="inlineStr">
        <is>
          <t>yes</t>
        </is>
      </c>
      <c r="P11" s="7" t="inlineStr"/>
      <c r="Q11" s="7" t="inlineStr">
        <is>
          <t>on the ring atom next to the reacting carbon (ortho)</t>
        </is>
      </c>
      <c r="R11" s="7" t="inlineStr">
        <is>
          <t>withdraws electrons: speeds nucleophilic attack at the ring carbon (SNAr, oxidative addition, metalation next to it), slows electrophilic substitution. At ortho the electronic effect is like para, and the group also crowds the carbon.</t>
        </is>
      </c>
      <c r="S11" s="7" t="inlineStr">
        <is>
          <t>sulfonyl (sulfone, sulfonamide) (σp +0.72): withdraws by induction and by resonance</t>
        </is>
      </c>
      <c r="T11" s="7" t="n">
        <v>0.72</v>
      </c>
      <c r="U11" s="10" t="n">
        <v>-0.39</v>
      </c>
      <c r="V11" s="7" t="inlineStr">
        <is>
          <t>arene ch -1.99 (n=263; winner had it 12 % vs 32 % at random) · other -1.28 (n=49; winner had it 8 % vs 22 % at random) · acyl substitution -0.66 (n=219; winner had it 13 % vs 27 % at random) · carbonyl addition +0.51 (n=81; winner had it 30 % vs 23 % at random) · deprotection -0.07 (n=41; winner had it 17 % vs 25 % at random) · alkyl substitution +0.06 (n=36; winner had it 8 % vs 18 % at random)</t>
        </is>
      </c>
      <c r="W11" s="7" t="n">
        <v>987</v>
      </c>
      <c r="X11" s="7" t="n">
        <v>530</v>
      </c>
      <c r="Y11" s="9" t="n">
        <v>0.1479</v>
      </c>
      <c r="Z11" s="9" t="n">
        <v>0.3069</v>
      </c>
      <c r="AA11" s="7" t="n"/>
      <c r="AB11" s="7" t="n"/>
      <c r="AC11" s="7" t="n"/>
      <c r="AD11" s="7" t="n"/>
      <c r="AE11" s="7" t="inlineStr">
        <is>
          <t>learned from the training patents (tools/int_train.py)</t>
        </is>
      </c>
      <c r="AF11" s="7" t="inlineStr">
        <is>
          <t>Hansch, Leo, Taft, Chem. Rev. 91, 165 (1991); Clayden, Organic Chemistry (aromatic substitution)</t>
        </is>
      </c>
    </row>
    <row r="12">
      <c r="A12" s="7" t="inlineStr">
        <is>
          <t>I011</t>
        </is>
      </c>
      <c r="B12" s="7" t="inlineStr">
        <is>
          <t>ring-meta-sulfonyl</t>
        </is>
      </c>
      <c r="C12" s="7" t="inlineStr">
        <is>
          <t>sulfonyl (sulfone, sulfonamide), meta to the reacting aromatic carbon</t>
        </is>
      </c>
      <c r="D12" s="7" t="inlineStr">
        <is>
          <t>ring substituent (position)</t>
        </is>
      </c>
      <c r="E12" s="7" t="inlineStr">
        <is>
          <t>electronic</t>
        </is>
      </c>
      <c r="F12" s="7" t="inlineStr">
        <is>
          <t>aromatic C</t>
        </is>
      </c>
      <c r="G12" s="7" t="inlineStr">
        <is>
          <t>[c;$(c1:a:c(-[SX4;!900*](=O)=O):a:a:a:1),$([c;r5]:[c;r5]:[c;r5]-[SX4;!900*](=O)=O)]</t>
        </is>
      </c>
      <c r="H12" s="7" t="inlineStr">
        <is>
          <t>[c]-[SX4](=O)=O</t>
        </is>
      </c>
      <c r="I12" s="7" t="inlineStr"/>
      <c r="J12" s="7" t="inlineStr"/>
      <c r="K12" s="7" t="inlineStr"/>
      <c r="L12" s="7" t="inlineStr"/>
      <c r="M12" s="7" t="n"/>
      <c r="N12" s="7" t="inlineStr"/>
      <c r="O12" s="7" t="inlineStr">
        <is>
          <t>yes</t>
        </is>
      </c>
      <c r="P12" s="7" t="inlineStr"/>
      <c r="Q12" s="7" t="inlineStr">
        <is>
          <t>on the ring atom two bonds from the reacting carbon, inside the same six-membered ring (meta)</t>
        </is>
      </c>
      <c r="R12" s="7" t="inlineStr">
        <is>
          <t>withdraws electrons: speeds nucleophilic attack at the ring carbon (SNAr, oxidative addition, metalation next to it), slows electrophilic substitution. At meta mostly the inductive part acts; resonance does not reach this position.</t>
        </is>
      </c>
      <c r="S12" s="7" t="inlineStr">
        <is>
          <t>sulfonyl (sulfone, sulfonamide) (σm +0.60): withdraws by induction and by resonance</t>
        </is>
      </c>
      <c r="T12" s="7" t="n">
        <v>0.6</v>
      </c>
      <c r="U12" s="10" t="n">
        <v>-0.78</v>
      </c>
      <c r="V12" s="7" t="inlineStr">
        <is>
          <t>arene ch -1.58 (n=260; winner had it 34 % vs 31 % at random) · aryl halide -1.33 (n=183; winner had it 11 % vs 39 % at random) · alkyl substitution -1.09 (n=35; winner had it 0 % vs 20 % at random) · carbonyl addition -0.76 (n=65; winner had it 2 % vs 17 % at random) · deprotection -0.65 (n=36; winner had it 8 % vs 22 % at random) · acyl substitution -0.63 (n=208; winner had it 22 % vs 25 % at random)</t>
        </is>
      </c>
      <c r="W12" s="7" t="n">
        <v>894</v>
      </c>
      <c r="X12" s="7" t="n">
        <v>502</v>
      </c>
      <c r="Y12" s="9" t="n">
        <v>0.2002</v>
      </c>
      <c r="Z12" s="9" t="n">
        <v>0.2842</v>
      </c>
      <c r="AA12" s="7" t="n"/>
      <c r="AB12" s="7" t="n"/>
      <c r="AC12" s="7" t="n"/>
      <c r="AD12" s="7" t="n"/>
      <c r="AE12" s="7" t="inlineStr">
        <is>
          <t>learned from the training patents (tools/int_train.py)</t>
        </is>
      </c>
      <c r="AF12" s="7" t="inlineStr">
        <is>
          <t>Hansch, Leo, Taft, Chem. Rev. 91, 165 (1991); Clayden, Organic Chemistry (aromatic substitution)</t>
        </is>
      </c>
    </row>
    <row r="13">
      <c r="A13" s="7" t="inlineStr">
        <is>
          <t>I012</t>
        </is>
      </c>
      <c r="B13" s="7" t="inlineStr">
        <is>
          <t>ring-para-sulfonyl</t>
        </is>
      </c>
      <c r="C13" s="7" t="inlineStr">
        <is>
          <t>sulfonyl (sulfone, sulfonamide), para to the reacting aromatic carbon</t>
        </is>
      </c>
      <c r="D13" s="7" t="inlineStr">
        <is>
          <t>ring substituent (position)</t>
        </is>
      </c>
      <c r="E13" s="7" t="inlineStr">
        <is>
          <t>electronic</t>
        </is>
      </c>
      <c r="F13" s="7" t="inlineStr">
        <is>
          <t>aromatic C</t>
        </is>
      </c>
      <c r="G13" s="7" t="inlineStr">
        <is>
          <t>[c;$(c1:a:a:c(-[SX4;!900*](=O)=O):a:a:1),$([c;r5]:[c;r5]:[c;r5]:[c;r5]-[SX4;!900*](=O)=O)]</t>
        </is>
      </c>
      <c r="H13" s="7" t="inlineStr">
        <is>
          <t>[c]-[SX4](=O)=O</t>
        </is>
      </c>
      <c r="I13" s="7" t="inlineStr"/>
      <c r="J13" s="7" t="inlineStr"/>
      <c r="K13" s="7" t="inlineStr"/>
      <c r="L13" s="7" t="inlineStr"/>
      <c r="M13" s="7" t="n"/>
      <c r="N13" s="7" t="inlineStr"/>
      <c r="O13" s="7" t="inlineStr">
        <is>
          <t>yes</t>
        </is>
      </c>
      <c r="P13" s="7" t="inlineStr"/>
      <c r="Q13" s="7" t="inlineStr">
        <is>
          <t>on the ring atom opposite the reacting carbon, inside the same six-membered ring (para)</t>
        </is>
      </c>
      <c r="R13" s="7" t="inlineStr">
        <is>
          <t>withdraws electrons: speeds nucleophilic attack at the ring carbon (SNAr, oxidative addition, metalation next to it), slows electrophilic substitution. At para induction and resonance both act.</t>
        </is>
      </c>
      <c r="S13" s="7" t="inlineStr">
        <is>
          <t>sulfonyl (sulfone, sulfonamide) (σp +0.72): withdraws by induction and by resonance</t>
        </is>
      </c>
      <c r="T13" s="7" t="n">
        <v>0.72</v>
      </c>
      <c r="U13" s="10" t="n">
        <v>-0.02</v>
      </c>
      <c r="V13" s="7" t="inlineStr">
        <is>
          <t>arene ch -2.30 (n=101; winner had it 14 % vs 25 % at random) · aryl halide +1.31 (n=286; winner had it 79 % vs 44 % at random) · other -0.75 (n=32; winner had it 12 % vs 21 % at random) · deprotection +0.73 (n=33; winner had it 36 % vs 26 % at random) · alkyl substitution +0.40 (n=26; winner had it 15 % vs 21 % at random)</t>
        </is>
      </c>
      <c r="W13" s="7" t="n">
        <v>683</v>
      </c>
      <c r="X13" s="7" t="n">
        <v>358</v>
      </c>
      <c r="Y13" s="9" t="n">
        <v>0.4363</v>
      </c>
      <c r="Z13" s="9" t="n">
        <v>0.3344</v>
      </c>
      <c r="AA13" s="7" t="n"/>
      <c r="AB13" s="7" t="n"/>
      <c r="AC13" s="7" t="n"/>
      <c r="AD13" s="7" t="n"/>
      <c r="AE13" s="7" t="inlineStr">
        <is>
          <t>learned from the training patents (tools/int_train.py)</t>
        </is>
      </c>
      <c r="AF13" s="7" t="inlineStr">
        <is>
          <t>Hansch, Leo, Taft, Chem. Rev. 91, 165 (1991); Clayden, Organic Chemistry (aromatic substitution)</t>
        </is>
      </c>
    </row>
    <row r="14">
      <c r="A14" s="7" t="inlineStr">
        <is>
          <t>I013</t>
        </is>
      </c>
      <c r="B14" s="7" t="inlineStr">
        <is>
          <t>ring-ortho-formyl</t>
        </is>
      </c>
      <c r="C14" s="7" t="inlineStr">
        <is>
          <t>formyl, ortho to the reacting aromatic carbon</t>
        </is>
      </c>
      <c r="D14" s="7" t="inlineStr">
        <is>
          <t>ring substituent (position)</t>
        </is>
      </c>
      <c r="E14" s="7" t="inlineStr">
        <is>
          <t>electronic</t>
        </is>
      </c>
      <c r="F14" s="7" t="inlineStr">
        <is>
          <t>aromatic C</t>
        </is>
      </c>
      <c r="G14" s="7" t="inlineStr">
        <is>
          <t>[c;$(c:c-[CH1;!900*]=O)]</t>
        </is>
      </c>
      <c r="H14" s="7" t="inlineStr">
        <is>
          <t>[c]-[CH1]=O</t>
        </is>
      </c>
      <c r="I14" s="7" t="inlineStr"/>
      <c r="J14" s="7" t="inlineStr"/>
      <c r="K14" s="7" t="inlineStr"/>
      <c r="L14" s="7" t="inlineStr"/>
      <c r="M14" s="7" t="n"/>
      <c r="N14" s="7" t="inlineStr"/>
      <c r="O14" s="7" t="inlineStr">
        <is>
          <t>yes</t>
        </is>
      </c>
      <c r="P14" s="7" t="inlineStr"/>
      <c r="Q14" s="7" t="inlineStr">
        <is>
          <t>on the ring atom next to the reacting carbon (ortho)</t>
        </is>
      </c>
      <c r="R14" s="7" t="inlineStr">
        <is>
          <t>withdraws electrons: speeds nucleophilic attack at the ring carbon (SNAr, oxidative addition, metalation next to it), slows electrophilic substitution. At ortho the electronic effect is like para, and the group also crowds the carbon.</t>
        </is>
      </c>
      <c r="S14" s="7" t="inlineStr">
        <is>
          <t>formyl (σp +0.42): the C=O pulls electron density out of the ring, most at ortho and para</t>
        </is>
      </c>
      <c r="T14" s="7" t="n">
        <v>0.42</v>
      </c>
      <c r="U14" s="10" t="n">
        <v>-0.08</v>
      </c>
      <c r="V14" s="7" t="inlineStr">
        <is>
          <t>acyl substitution -1.10 (n=111; winner had it 20 % vs 39 % at random) · aryl halide +0.87 (n=113; winner had it 58 % vs 45 % at random) · arene ch -0.69 (n=171; winner had it 28 % vs 45 % at random) · carbonyl addition -0.50 (n=33; winner had it 9 % vs 45 % at random)</t>
        </is>
      </c>
      <c r="W14" s="7" t="n">
        <v>503</v>
      </c>
      <c r="X14" s="7" t="n">
        <v>360</v>
      </c>
      <c r="Y14" s="9" t="n">
        <v>0.3241</v>
      </c>
      <c r="Z14" s="9" t="n">
        <v>0.4236</v>
      </c>
      <c r="AA14" s="7" t="n"/>
      <c r="AB14" s="7" t="n"/>
      <c r="AC14" s="7" t="n"/>
      <c r="AD14" s="7" t="n"/>
      <c r="AE14" s="7" t="inlineStr">
        <is>
          <t>learned from the training patents (tools/int_train.py)</t>
        </is>
      </c>
      <c r="AF14" s="7" t="inlineStr">
        <is>
          <t>Hansch, Leo, Taft, Chem. Rev. 91, 165 (1991); Clayden, Organic Chemistry (aromatic substitution)</t>
        </is>
      </c>
    </row>
    <row r="15">
      <c r="A15" s="7" t="inlineStr">
        <is>
          <t>I014</t>
        </is>
      </c>
      <c r="B15" s="7" t="inlineStr">
        <is>
          <t>ring-meta-formyl</t>
        </is>
      </c>
      <c r="C15" s="7" t="inlineStr">
        <is>
          <t>formyl, meta to the reacting aromatic carbon</t>
        </is>
      </c>
      <c r="D15" s="7" t="inlineStr">
        <is>
          <t>ring substituent (position)</t>
        </is>
      </c>
      <c r="E15" s="7" t="inlineStr">
        <is>
          <t>electronic</t>
        </is>
      </c>
      <c r="F15" s="7" t="inlineStr">
        <is>
          <t>aromatic C</t>
        </is>
      </c>
      <c r="G15" s="7" t="inlineStr">
        <is>
          <t>[c;$(c1:a:c(-[CH1;!900*]=O):a:a:a:1),$([c;r5]:[c;r5]:[c;r5]-[CH1;!900*]=O)]</t>
        </is>
      </c>
      <c r="H15" s="7" t="inlineStr">
        <is>
          <t>[c]-[CH1]=O</t>
        </is>
      </c>
      <c r="I15" s="7" t="inlineStr"/>
      <c r="J15" s="7" t="inlineStr"/>
      <c r="K15" s="7" t="inlineStr"/>
      <c r="L15" s="7" t="inlineStr"/>
      <c r="M15" s="7" t="n"/>
      <c r="N15" s="7" t="inlineStr"/>
      <c r="O15" s="7" t="inlineStr">
        <is>
          <t>yes</t>
        </is>
      </c>
      <c r="P15" s="7" t="inlineStr"/>
      <c r="Q15" s="7" t="inlineStr">
        <is>
          <t>on the ring atom two bonds from the reacting carbon, inside the same six-membered ring (meta)</t>
        </is>
      </c>
      <c r="R15" s="7" t="inlineStr">
        <is>
          <t>withdraws electrons: speeds nucleophilic attack at the ring carbon (SNAr, oxidative addition, metalation next to it), slows electrophilic substitution. At meta mostly the inductive part acts; resonance does not reach this position.</t>
        </is>
      </c>
      <c r="S15" s="7" t="inlineStr">
        <is>
          <t>formyl (σm +0.35): the C=O pulls electron density out of the ring, most at ortho and para</t>
        </is>
      </c>
      <c r="T15" s="7" t="n">
        <v>0.35</v>
      </c>
      <c r="U15" s="10" t="n">
        <v>-0.17</v>
      </c>
      <c r="V15" s="7" t="inlineStr">
        <is>
          <t>aryl halide -1.43 (n=130; winner had it 3 % vs 47 % at random) · carbonyl addition +0.33 (n=35; winner had it 60 % vs 42 % at random)</t>
        </is>
      </c>
      <c r="W15" s="7" t="n">
        <v>509</v>
      </c>
      <c r="X15" s="7" t="n">
        <v>350</v>
      </c>
      <c r="Y15" s="9" t="n">
        <v>0.4479</v>
      </c>
      <c r="Z15" s="9" t="n">
        <v>0.4139</v>
      </c>
      <c r="AA15" s="7" t="n"/>
      <c r="AB15" s="7" t="n"/>
      <c r="AC15" s="7" t="n"/>
      <c r="AD15" s="7" t="n"/>
      <c r="AE15" s="7" t="inlineStr">
        <is>
          <t>learned from the training patents (tools/int_train.py)</t>
        </is>
      </c>
      <c r="AF15" s="7" t="inlineStr">
        <is>
          <t>Hansch, Leo, Taft, Chem. Rev. 91, 165 (1991); Clayden, Organic Chemistry (aromatic substitution)</t>
        </is>
      </c>
    </row>
    <row r="16">
      <c r="A16" s="7" t="inlineStr">
        <is>
          <t>I015</t>
        </is>
      </c>
      <c r="B16" s="7" t="inlineStr">
        <is>
          <t>ring-para-formyl</t>
        </is>
      </c>
      <c r="C16" s="7" t="inlineStr">
        <is>
          <t>formyl, para to the reacting aromatic carbon</t>
        </is>
      </c>
      <c r="D16" s="7" t="inlineStr">
        <is>
          <t>ring substituent (position)</t>
        </is>
      </c>
      <c r="E16" s="7" t="inlineStr">
        <is>
          <t>electronic</t>
        </is>
      </c>
      <c r="F16" s="7" t="inlineStr">
        <is>
          <t>aromatic C</t>
        </is>
      </c>
      <c r="G16" s="7" t="inlineStr">
        <is>
          <t>[c;$(c1:a:a:c(-[CH1;!900*]=O):a:a:1),$([c;r5]:[c;r5]:[c;r5]:[c;r5]-[CH1;!900*]=O)]</t>
        </is>
      </c>
      <c r="H16" s="7" t="inlineStr">
        <is>
          <t>[c]-[CH1]=O</t>
        </is>
      </c>
      <c r="I16" s="7" t="inlineStr"/>
      <c r="J16" s="7" t="inlineStr"/>
      <c r="K16" s="7" t="inlineStr"/>
      <c r="L16" s="7" t="inlineStr"/>
      <c r="M16" s="7" t="n"/>
      <c r="N16" s="7" t="inlineStr"/>
      <c r="O16" s="7" t="inlineStr">
        <is>
          <t>yes</t>
        </is>
      </c>
      <c r="P16" s="7" t="inlineStr"/>
      <c r="Q16" s="7" t="inlineStr">
        <is>
          <t>on the ring atom opposite the reacting carbon, inside the same six-membered ring (para)</t>
        </is>
      </c>
      <c r="R16" s="7" t="inlineStr">
        <is>
          <t>withdraws electrons: speeds nucleophilic attack at the ring carbon (SNAr, oxidative addition, metalation next to it), slows electrophilic substitution. At para induction and resonance both act.</t>
        </is>
      </c>
      <c r="S16" s="7" t="inlineStr">
        <is>
          <t>formyl (σp +0.42): the C=O pulls electron density out of the ring, most at ortho and para</t>
        </is>
      </c>
      <c r="T16" s="7" t="n">
        <v>0.42</v>
      </c>
      <c r="U16" s="10" t="n">
        <v>0.4</v>
      </c>
      <c r="V16" s="7" t="inlineStr">
        <is>
          <t>aryl halide +1.69 (n=131; winner had it 86 % vs 48 % at random) · o nucleophile +1.53 (n=28; winner had it 75 % vs 43 % at random) · arene ch -0.89 (n=71; winner had it 11 % vs 33 % at random) · acyl substitution -0.20 (n=63; winner had it 24 % vs 38 % at random)</t>
        </is>
      </c>
      <c r="W16" s="7" t="n">
        <v>362</v>
      </c>
      <c r="X16" s="7" t="n">
        <v>257</v>
      </c>
      <c r="Y16" s="9" t="n">
        <v>0.5028</v>
      </c>
      <c r="Z16" s="9" t="n">
        <v>0.4114</v>
      </c>
      <c r="AA16" s="7" t="n"/>
      <c r="AB16" s="7" t="n"/>
      <c r="AC16" s="7" t="n"/>
      <c r="AD16" s="7" t="n"/>
      <c r="AE16" s="7" t="inlineStr">
        <is>
          <t>learned from the training patents (tools/int_train.py)</t>
        </is>
      </c>
      <c r="AF16" s="7" t="inlineStr">
        <is>
          <t>Hansch, Leo, Taft, Chem. Rev. 91, 165 (1991); Clayden, Organic Chemistry (aromatic substitution)</t>
        </is>
      </c>
    </row>
    <row r="17">
      <c r="A17" s="7" t="inlineStr">
        <is>
          <t>I016</t>
        </is>
      </c>
      <c r="B17" s="7" t="inlineStr">
        <is>
          <t>ring-ortho-acyl</t>
        </is>
      </c>
      <c r="C17" s="7" t="inlineStr">
        <is>
          <t>acyl (ketone), ortho to the reacting aromatic carbon</t>
        </is>
      </c>
      <c r="D17" s="7" t="inlineStr">
        <is>
          <t>ring substituent (position)</t>
        </is>
      </c>
      <c r="E17" s="7" t="inlineStr">
        <is>
          <t>electronic</t>
        </is>
      </c>
      <c r="F17" s="7" t="inlineStr">
        <is>
          <t>aromatic C</t>
        </is>
      </c>
      <c r="G17" s="7" t="inlineStr">
        <is>
          <t>[c;$(c:c-[CX3;!900*](=O)[#6])]</t>
        </is>
      </c>
      <c r="H17" s="7" t="inlineStr">
        <is>
          <t>[c]-[CX3](=O)[#6]</t>
        </is>
      </c>
      <c r="I17" s="7" t="inlineStr"/>
      <c r="J17" s="7" t="inlineStr"/>
      <c r="K17" s="7" t="inlineStr"/>
      <c r="L17" s="7" t="inlineStr"/>
      <c r="M17" s="7" t="n"/>
      <c r="N17" s="7" t="inlineStr"/>
      <c r="O17" s="7" t="inlineStr">
        <is>
          <t>yes</t>
        </is>
      </c>
      <c r="P17" s="7" t="inlineStr"/>
      <c r="Q17" s="7" t="inlineStr">
        <is>
          <t>on the ring atom next to the reacting carbon (ortho)</t>
        </is>
      </c>
      <c r="R17" s="7" t="inlineStr">
        <is>
          <t>withdraws electrons: speeds nucleophilic attack at the ring carbon (SNAr, oxidative addition, metalation next to it), slows electrophilic substitution. At ortho the electronic effect is like para, and the group also crowds the carbon.</t>
        </is>
      </c>
      <c r="S17" s="7" t="inlineStr">
        <is>
          <t>acyl (ketone) (σp +0.50): the C=O pulls electron density out of the ring, most at ortho and para</t>
        </is>
      </c>
      <c r="T17" s="7" t="n">
        <v>0.5</v>
      </c>
      <c r="U17" s="10" t="n">
        <v>-0.5</v>
      </c>
      <c r="V17" s="7" t="inlineStr">
        <is>
          <t>acyl substitution -2.18 (n=335; winner had it 11 % vs 42 % at random) · alkyl substitution -1.58 (n=308; winner had it 13 % vs 48 % at random) · arene ch -1.08 (n=333; winner had it 16 % vs 41 % at random) · deprotection -0.84 (n=148; winner had it 9 % vs 45 % at random) · o nucleophile -0.71 (n=53; winner had it 8 % vs 42 % at random) · other -0.55 (n=34; winner had it 15 % vs 29 % at random)</t>
        </is>
      </c>
      <c r="W17" s="7" t="n">
        <v>2153</v>
      </c>
      <c r="X17" s="7" t="n">
        <v>1161</v>
      </c>
      <c r="Y17" s="9" t="n">
        <v>0.1505</v>
      </c>
      <c r="Z17" s="9" t="n">
        <v>0.4462</v>
      </c>
      <c r="AA17" s="7" t="n"/>
      <c r="AB17" s="7" t="n"/>
      <c r="AC17" s="7" t="n"/>
      <c r="AD17" s="7" t="n"/>
      <c r="AE17" s="7" t="inlineStr">
        <is>
          <t>learned from the training patents (tools/int_train.py)</t>
        </is>
      </c>
      <c r="AF17" s="7" t="inlineStr">
        <is>
          <t>Hansch, Leo, Taft, Chem. Rev. 91, 165 (1991); Clayden, Organic Chemistry (aromatic substitution)</t>
        </is>
      </c>
    </row>
    <row r="18">
      <c r="A18" s="7" t="inlineStr">
        <is>
          <t>I017</t>
        </is>
      </c>
      <c r="B18" s="7" t="inlineStr">
        <is>
          <t>ring-meta-acyl</t>
        </is>
      </c>
      <c r="C18" s="7" t="inlineStr">
        <is>
          <t>acyl (ketone), meta to the reacting aromatic carbon</t>
        </is>
      </c>
      <c r="D18" s="7" t="inlineStr">
        <is>
          <t>ring substituent (position)</t>
        </is>
      </c>
      <c r="E18" s="7" t="inlineStr">
        <is>
          <t>electronic</t>
        </is>
      </c>
      <c r="F18" s="7" t="inlineStr">
        <is>
          <t>aromatic C</t>
        </is>
      </c>
      <c r="G18" s="7" t="inlineStr">
        <is>
          <t>[c;$(c1:a:c(-[CX3;!900*](=O)[#6]):a:a:a:1),$([c;r5]:[c;r5]:[c;r5]-[CX3;!900*](=O)[#6])]</t>
        </is>
      </c>
      <c r="H18" s="7" t="inlineStr">
        <is>
          <t>[c]-[CX3](=O)[#6]</t>
        </is>
      </c>
      <c r="I18" s="7" t="inlineStr"/>
      <c r="J18" s="7" t="inlineStr"/>
      <c r="K18" s="7" t="inlineStr"/>
      <c r="L18" s="7" t="inlineStr"/>
      <c r="M18" s="7" t="n"/>
      <c r="N18" s="7" t="inlineStr"/>
      <c r="O18" s="7" t="inlineStr">
        <is>
          <t>yes</t>
        </is>
      </c>
      <c r="P18" s="7" t="inlineStr"/>
      <c r="Q18" s="7" t="inlineStr">
        <is>
          <t>on the ring atom two bonds from the reacting carbon, inside the same six-membered ring (meta)</t>
        </is>
      </c>
      <c r="R18" s="7" t="inlineStr">
        <is>
          <t>withdraws electrons: speeds nucleophilic attack at the ring carbon (SNAr, oxidative addition, metalation next to it), slows electrophilic substitution. At meta mostly the inductive part acts; resonance does not reach this position.</t>
        </is>
      </c>
      <c r="S18" s="7" t="inlineStr">
        <is>
          <t>acyl (ketone) (σm +0.38): the C=O pulls electron density out of the ring, most at ortho and para</t>
        </is>
      </c>
      <c r="T18" s="7" t="n">
        <v>0.38</v>
      </c>
      <c r="U18" s="10" t="n">
        <v>0.55</v>
      </c>
      <c r="V18" s="7" t="inlineStr">
        <is>
          <t>carbonyl addition +1.53 (n=405; winner had it 27 % vs 46 % at random) · alkyl substitution +1.41 (n=112; winner had it 46 % vs 47 % at random) · deprotection +1.17 (n=58; winner had it 45 % vs 44 % at random) · unsaturated -0.91 (n=36; winner had it 6 % vs 44 % at random) · arene ch +0.77 (n=329; winner had it 80 % vs 43 % at random) · aryl halide -0.41 (n=165; winner had it 19 % vs 46 % at random)</t>
        </is>
      </c>
      <c r="W18" s="7" t="n">
        <v>1388</v>
      </c>
      <c r="X18" s="7" t="n">
        <v>799</v>
      </c>
      <c r="Y18" s="9" t="n">
        <v>0.4539</v>
      </c>
      <c r="Z18" s="9" t="n">
        <v>0.4411</v>
      </c>
      <c r="AA18" s="7" t="n"/>
      <c r="AB18" s="7" t="n"/>
      <c r="AC18" s="7" t="n"/>
      <c r="AD18" s="7" t="n"/>
      <c r="AE18" s="7" t="inlineStr">
        <is>
          <t>learned from the training patents (tools/int_train.py)</t>
        </is>
      </c>
      <c r="AF18" s="7" t="inlineStr">
        <is>
          <t>Hansch, Leo, Taft, Chem. Rev. 91, 165 (1991); Clayden, Organic Chemistry (aromatic substitution)</t>
        </is>
      </c>
    </row>
    <row r="19">
      <c r="A19" s="7" t="inlineStr">
        <is>
          <t>I018</t>
        </is>
      </c>
      <c r="B19" s="7" t="inlineStr">
        <is>
          <t>ring-para-acyl</t>
        </is>
      </c>
      <c r="C19" s="7" t="inlineStr">
        <is>
          <t>acyl (ketone), para to the reacting aromatic carbon</t>
        </is>
      </c>
      <c r="D19" s="7" t="inlineStr">
        <is>
          <t>ring substituent (position)</t>
        </is>
      </c>
      <c r="E19" s="7" t="inlineStr">
        <is>
          <t>electronic</t>
        </is>
      </c>
      <c r="F19" s="7" t="inlineStr">
        <is>
          <t>aromatic C</t>
        </is>
      </c>
      <c r="G19" s="7" t="inlineStr">
        <is>
          <t>[c;$(c1:a:a:c(-[CX3;!900*](=O)[#6]):a:a:1),$([c;r5]:[c;r5]:[c;r5]:[c;r5]-[CX3;!900*](=O)[#6])]</t>
        </is>
      </c>
      <c r="H19" s="7" t="inlineStr">
        <is>
          <t>[c]-[CX3](=O)[#6]</t>
        </is>
      </c>
      <c r="I19" s="7" t="inlineStr"/>
      <c r="J19" s="7" t="inlineStr"/>
      <c r="K19" s="7" t="inlineStr"/>
      <c r="L19" s="7" t="inlineStr"/>
      <c r="M19" s="7" t="n"/>
      <c r="N19" s="7" t="inlineStr"/>
      <c r="O19" s="7" t="inlineStr">
        <is>
          <t>yes</t>
        </is>
      </c>
      <c r="P19" s="7" t="inlineStr"/>
      <c r="Q19" s="7" t="inlineStr">
        <is>
          <t>on the ring atom opposite the reacting carbon, inside the same six-membered ring (para)</t>
        </is>
      </c>
      <c r="R19" s="7" t="inlineStr">
        <is>
          <t>withdraws electrons: speeds nucleophilic attack at the ring carbon (SNAr, oxidative addition, metalation next to it), slows electrophilic substitution. At para induction and resonance both act.</t>
        </is>
      </c>
      <c r="S19" s="7" t="inlineStr">
        <is>
          <t>acyl (ketone) (σp +0.50): the C=O pulls electron density out of the ring, most at ortho and para</t>
        </is>
      </c>
      <c r="T19" s="7" t="n">
        <v>0.5</v>
      </c>
      <c r="U19" s="10" t="n">
        <v>0.42</v>
      </c>
      <c r="V19" s="7" t="inlineStr">
        <is>
          <t>o nucleophile +2.10 (n=54; winner had it 89 % vs 47 % at random) · aryl halide +1.04 (n=174; winner had it 54 % vs 46 % at random) · arene ch -0.94 (n=183; winner had it 12 % vs 31 % at random) · carbonyl addition +0.87 (n=275; winner had it 18 % vs 43 % at random) · alkyl substitution +0.81 (n=36; winner had it 56 % vs 45 % at random) · acyl substitution +0.10 (n=130; winner had it 27 % vs 35 % at random)</t>
        </is>
      </c>
      <c r="W19" s="7" t="n">
        <v>951</v>
      </c>
      <c r="X19" s="7" t="n">
        <v>591</v>
      </c>
      <c r="Y19" s="9" t="n">
        <v>0.3049</v>
      </c>
      <c r="Z19" s="9" t="n">
        <v>0.3985</v>
      </c>
      <c r="AA19" s="7" t="n"/>
      <c r="AB19" s="7" t="n"/>
      <c r="AC19" s="7" t="n"/>
      <c r="AD19" s="7" t="n"/>
      <c r="AE19" s="7" t="inlineStr">
        <is>
          <t>learned from the training patents (tools/int_train.py)</t>
        </is>
      </c>
      <c r="AF19" s="7" t="inlineStr">
        <is>
          <t>Hansch, Leo, Taft, Chem. Rev. 91, 165 (1991); Clayden, Organic Chemistry (aromatic substitution)</t>
        </is>
      </c>
    </row>
    <row r="20">
      <c r="A20" s="7" t="inlineStr">
        <is>
          <t>I019</t>
        </is>
      </c>
      <c r="B20" s="7" t="inlineStr">
        <is>
          <t>ring-ortho-carboxy</t>
        </is>
      </c>
      <c r="C20" s="7" t="inlineStr">
        <is>
          <t>carboxy (acid, ester), ortho to the reacting aromatic carbon</t>
        </is>
      </c>
      <c r="D20" s="7" t="inlineStr">
        <is>
          <t>ring substituent (position)</t>
        </is>
      </c>
      <c r="E20" s="7" t="inlineStr">
        <is>
          <t>electronic</t>
        </is>
      </c>
      <c r="F20" s="7" t="inlineStr">
        <is>
          <t>aromatic C</t>
        </is>
      </c>
      <c r="G20" s="7" t="inlineStr">
        <is>
          <t>[c;$(c:c-[CX3;!900*](=O)[OX2])]</t>
        </is>
      </c>
      <c r="H20" s="7" t="inlineStr">
        <is>
          <t>[c]-[CX3](=O)[OX2]</t>
        </is>
      </c>
      <c r="I20" s="7" t="inlineStr"/>
      <c r="J20" s="7" t="inlineStr"/>
      <c r="K20" s="7" t="inlineStr"/>
      <c r="L20" s="7" t="inlineStr"/>
      <c r="M20" s="7" t="n"/>
      <c r="N20" s="7" t="inlineStr"/>
      <c r="O20" s="7" t="inlineStr">
        <is>
          <t>yes</t>
        </is>
      </c>
      <c r="P20" s="7" t="inlineStr"/>
      <c r="Q20" s="7" t="inlineStr">
        <is>
          <t>on the ring atom next to the reacting carbon (ortho)</t>
        </is>
      </c>
      <c r="R20" s="7" t="inlineStr">
        <is>
          <t>withdraws electrons: speeds nucleophilic attack at the ring carbon (SNAr, oxidative addition, metalation next to it), slows electrophilic substitution. At ortho the electronic effect is like para, and the group also crowds the carbon.</t>
        </is>
      </c>
      <c r="S20" s="7" t="inlineStr">
        <is>
          <t>carboxy (acid, ester) (σp +0.45): an acid or ester C=O withdraws electrons from the ring</t>
        </is>
      </c>
      <c r="T20" s="7" t="n">
        <v>0.45</v>
      </c>
      <c r="U20" s="10" t="n">
        <v>0.7</v>
      </c>
      <c r="V20" s="7" t="inlineStr">
        <is>
          <t>deprotection +1.71 (n=193; winner had it 74 % vs 44 % at random) · aryl halide +1.43 (n=987; winner had it 62 % vs 47 % at random) · carbonyl addition +1.41 (n=485; winner had it 92 % vs 46 % at random) · alkyl substitution +1.34 (n=322; winner had it 80 % vs 47 % at random) · arene ch -1.07 (n=843; winner had it 19 % vs 40 % at random) · n nucleophile +1.01 (n=63; winner had it 35 % vs 37 % at random)</t>
        </is>
      </c>
      <c r="W20" s="7" t="n">
        <v>3949</v>
      </c>
      <c r="X20" s="7" t="n">
        <v>2115</v>
      </c>
      <c r="Y20" s="9" t="n">
        <v>0.4973</v>
      </c>
      <c r="Z20" s="9" t="n">
        <v>0.4285</v>
      </c>
      <c r="AA20" s="7" t="n"/>
      <c r="AB20" s="7" t="n"/>
      <c r="AC20" s="7" t="n"/>
      <c r="AD20" s="7" t="n"/>
      <c r="AE20" s="7" t="inlineStr">
        <is>
          <t>learned from the training patents (tools/int_train.py)</t>
        </is>
      </c>
      <c r="AF20" s="7" t="inlineStr">
        <is>
          <t>Hansch, Leo, Taft, Chem. Rev. 91, 165 (1991); Clayden, Organic Chemistry (aromatic substitution)</t>
        </is>
      </c>
    </row>
    <row r="21">
      <c r="A21" s="7" t="inlineStr">
        <is>
          <t>I020</t>
        </is>
      </c>
      <c r="B21" s="7" t="inlineStr">
        <is>
          <t>ring-meta-carboxy</t>
        </is>
      </c>
      <c r="C21" s="7" t="inlineStr">
        <is>
          <t>carboxy (acid, ester), meta to the reacting aromatic carbon</t>
        </is>
      </c>
      <c r="D21" s="7" t="inlineStr">
        <is>
          <t>ring substituent (position)</t>
        </is>
      </c>
      <c r="E21" s="7" t="inlineStr">
        <is>
          <t>electronic</t>
        </is>
      </c>
      <c r="F21" s="7" t="inlineStr">
        <is>
          <t>aromatic C</t>
        </is>
      </c>
      <c r="G21" s="7" t="inlineStr">
        <is>
          <t>[c;$(c1:a:c(-[CX3;!900*](=O)[OX2]):a:a:a:1),$([c;r5]:[c;r5]:[c;r5]-[CX3;!900*](=O)[OX2])]</t>
        </is>
      </c>
      <c r="H21" s="7" t="inlineStr">
        <is>
          <t>[c]-[CX3](=O)[OX2]</t>
        </is>
      </c>
      <c r="I21" s="7" t="inlineStr"/>
      <c r="J21" s="7" t="inlineStr"/>
      <c r="K21" s="7" t="inlineStr"/>
      <c r="L21" s="7" t="inlineStr"/>
      <c r="M21" s="7" t="n"/>
      <c r="N21" s="7" t="inlineStr"/>
      <c r="O21" s="7" t="inlineStr">
        <is>
          <t>yes</t>
        </is>
      </c>
      <c r="P21" s="7" t="inlineStr"/>
      <c r="Q21" s="7" t="inlineStr">
        <is>
          <t>on the ring atom two bonds from the reacting carbon, inside the same six-membered ring (meta)</t>
        </is>
      </c>
      <c r="R21" s="7" t="inlineStr">
        <is>
          <t>withdraws electrons: speeds nucleophilic attack at the ring carbon (SNAr, oxidative addition, metalation next to it), slows electrophilic substitution. At meta mostly the inductive part acts; resonance does not reach this position.</t>
        </is>
      </c>
      <c r="S21" s="7" t="inlineStr">
        <is>
          <t>carboxy (acid, ester) (σm +0.37): an acid or ester C=O withdraws electrons from the ring</t>
        </is>
      </c>
      <c r="T21" s="7" t="n">
        <v>0.37</v>
      </c>
      <c r="U21" s="10" t="n">
        <v>0.66</v>
      </c>
      <c r="V21" s="7" t="inlineStr">
        <is>
          <t>o nucleophile +1.63 (n=66; winner had it 71 % vs 39 % at random) · n nucleophile +1.44 (n=53; winner had it 72 % vs 39 % at random) · unsaturated -1.36 (n=52; winner had it 4 % vs 50 % at random) · deprotection +1.31 (n=92; winner had it 62 % vs 41 % at random) · alkyl substitution +1.06 (n=131; winner had it 58 % vs 42 % at random) · carbonyl addition +0.93 (n=258; winner had it 86 % vs 47 % at random)</t>
        </is>
      </c>
      <c r="W21" s="7" t="n">
        <v>2815</v>
      </c>
      <c r="X21" s="7" t="n">
        <v>1630</v>
      </c>
      <c r="Y21" s="9" t="n">
        <v>0.5893</v>
      </c>
      <c r="Z21" s="9" t="n">
        <v>0.4107</v>
      </c>
      <c r="AA21" s="7" t="n"/>
      <c r="AB21" s="7" t="n"/>
      <c r="AC21" s="7" t="n"/>
      <c r="AD21" s="7" t="n"/>
      <c r="AE21" s="7" t="inlineStr">
        <is>
          <t>learned from the training patents (tools/int_train.py)</t>
        </is>
      </c>
      <c r="AF21" s="7" t="inlineStr">
        <is>
          <t>Hansch, Leo, Taft, Chem. Rev. 91, 165 (1991); Clayden, Organic Chemistry (aromatic substitution)</t>
        </is>
      </c>
    </row>
    <row r="22">
      <c r="A22" s="7" t="inlineStr">
        <is>
          <t>I021</t>
        </is>
      </c>
      <c r="B22" s="7" t="inlineStr">
        <is>
          <t>ring-para-carboxy</t>
        </is>
      </c>
      <c r="C22" s="7" t="inlineStr">
        <is>
          <t>carboxy (acid, ester), para to the reacting aromatic carbon</t>
        </is>
      </c>
      <c r="D22" s="7" t="inlineStr">
        <is>
          <t>ring substituent (position)</t>
        </is>
      </c>
      <c r="E22" s="7" t="inlineStr">
        <is>
          <t>electronic</t>
        </is>
      </c>
      <c r="F22" s="7" t="inlineStr">
        <is>
          <t>aromatic C</t>
        </is>
      </c>
      <c r="G22" s="7" t="inlineStr">
        <is>
          <t>[c;$(c1:a:a:c(-[CX3;!900*](=O)[OX2]):a:a:1),$([c;r5]:[c;r5]:[c;r5]:[c;r5]-[CX3;!900*](=O)[OX2])]</t>
        </is>
      </c>
      <c r="H22" s="7" t="inlineStr">
        <is>
          <t>[c]-[CX3](=O)[OX2]</t>
        </is>
      </c>
      <c r="I22" s="7" t="inlineStr"/>
      <c r="J22" s="7" t="inlineStr"/>
      <c r="K22" s="7" t="inlineStr"/>
      <c r="L22" s="7" t="inlineStr"/>
      <c r="M22" s="7" t="n"/>
      <c r="N22" s="7" t="inlineStr"/>
      <c r="O22" s="7" t="inlineStr">
        <is>
          <t>yes</t>
        </is>
      </c>
      <c r="P22" s="7" t="inlineStr"/>
      <c r="Q22" s="7" t="inlineStr">
        <is>
          <t>on the ring atom opposite the reacting carbon, inside the same six-membered ring (para)</t>
        </is>
      </c>
      <c r="R22" s="7" t="inlineStr">
        <is>
          <t>withdraws electrons: speeds nucleophilic attack at the ring carbon (SNAr, oxidative addition, metalation next to it), slows electrophilic substitution. At para induction and resonance both act.</t>
        </is>
      </c>
      <c r="S22" s="7" t="inlineStr">
        <is>
          <t>carboxy (acid, ester) (σp +0.45): an acid or ester C=O withdraws electrons from the ring</t>
        </is>
      </c>
      <c r="T22" s="7" t="n">
        <v>0.45</v>
      </c>
      <c r="U22" s="10" t="n">
        <v>0.77</v>
      </c>
      <c r="V22" s="7" t="inlineStr">
        <is>
          <t>alkyl substitution +1.56 (n=78; winner had it 64 % vs 41 % at random) · aryl halide +1.52 (n=667; winner had it 68 % vs 47 % at random) · o nucleophile +1.31 (n=52; winner had it 52 % vs 43 % at random) · deprotection +1.28 (n=68; winner had it 69 % vs 43 % at random) · acyl substitution +0.91 (n=384; winner had it 38 % vs 36 % at random) · arene ch -0.80 (n=364; winner had it 23 % vs 33 % at random)</t>
        </is>
      </c>
      <c r="W22" s="7" t="n">
        <v>1904</v>
      </c>
      <c r="X22" s="7" t="n">
        <v>1219</v>
      </c>
      <c r="Y22" s="9" t="n">
        <v>0.531</v>
      </c>
      <c r="Z22" s="9" t="n">
        <v>0.4112</v>
      </c>
      <c r="AA22" s="7" t="n"/>
      <c r="AB22" s="7" t="n"/>
      <c r="AC22" s="7" t="n"/>
      <c r="AD22" s="7" t="n"/>
      <c r="AE22" s="7" t="inlineStr">
        <is>
          <t>learned from the training patents (tools/int_train.py)</t>
        </is>
      </c>
      <c r="AF22" s="7" t="inlineStr">
        <is>
          <t>Hansch, Leo, Taft, Chem. Rev. 91, 165 (1991); Clayden, Organic Chemistry (aromatic substitution)</t>
        </is>
      </c>
    </row>
    <row r="23">
      <c r="A23" s="7" t="inlineStr">
        <is>
          <t>I022</t>
        </is>
      </c>
      <c r="B23" s="7" t="inlineStr">
        <is>
          <t>ring-ortho-carboxamide</t>
        </is>
      </c>
      <c r="C23" s="7" t="inlineStr">
        <is>
          <t>carboxamide, ortho to the reacting aromatic carbon</t>
        </is>
      </c>
      <c r="D23" s="7" t="inlineStr">
        <is>
          <t>ring substituent (position)</t>
        </is>
      </c>
      <c r="E23" s="7" t="inlineStr">
        <is>
          <t>electronic</t>
        </is>
      </c>
      <c r="F23" s="7" t="inlineStr">
        <is>
          <t>aromatic C</t>
        </is>
      </c>
      <c r="G23" s="7" t="inlineStr">
        <is>
          <t>[c;$(c:c-[CX3;!900*](=O)[NX3])]</t>
        </is>
      </c>
      <c r="H23" s="7" t="inlineStr">
        <is>
          <t>[c]-[CX3](=O)[NX3]</t>
        </is>
      </c>
      <c r="I23" s="7" t="inlineStr"/>
      <c r="J23" s="7" t="inlineStr"/>
      <c r="K23" s="7" t="inlineStr"/>
      <c r="L23" s="7" t="inlineStr"/>
      <c r="M23" s="7" t="n"/>
      <c r="N23" s="7" t="inlineStr"/>
      <c r="O23" s="7" t="inlineStr">
        <is>
          <t>yes</t>
        </is>
      </c>
      <c r="P23" s="7" t="inlineStr"/>
      <c r="Q23" s="7" t="inlineStr">
        <is>
          <t>on the ring atom next to the reacting carbon (ortho)</t>
        </is>
      </c>
      <c r="R23" s="7" t="inlineStr">
        <is>
          <t>withdraws electrons: speeds nucleophilic attack at the ring carbon (SNAr, oxidative addition, metalation next to it), slows electrophilic substitution. At ortho the electronic effect is like para, and the group also crowds the carbon.</t>
        </is>
      </c>
      <c r="S23" s="7" t="inlineStr">
        <is>
          <t>carboxamide (σp +0.36): the amide C=O withdraws, less than an ester does</t>
        </is>
      </c>
      <c r="T23" s="7" t="n">
        <v>0.36</v>
      </c>
      <c r="U23" s="10" t="n">
        <v>0.41</v>
      </c>
      <c r="V23" s="7" t="inlineStr">
        <is>
          <t>alkyl substitution +1.19 (n=73; winner had it 60 % vs 34 % at random) · carbonyl addition +0.94 (n=98; winner had it 45 % vs 32 % at random) · acyl substitution +0.59 (n=363; winner had it 28 % vs 30 % at random) · aryl halide +0.55 (n=502; winner had it 42 % vs 45 % at random) · arene ch +0.54 (n=252; winner had it 32 % vs 29 % at random) · o nucleophile -0.40 (n=41; winner had it 20 % vs 45 % at random)</t>
        </is>
      </c>
      <c r="W23" s="7" t="n">
        <v>1510</v>
      </c>
      <c r="X23" s="7" t="n">
        <v>728</v>
      </c>
      <c r="Y23" s="9" t="n">
        <v>0.3576</v>
      </c>
      <c r="Z23" s="9" t="n">
        <v>0.3505</v>
      </c>
      <c r="AA23" s="7" t="n"/>
      <c r="AB23" s="7" t="n"/>
      <c r="AC23" s="7" t="n"/>
      <c r="AD23" s="7" t="n"/>
      <c r="AE23" s="7" t="inlineStr">
        <is>
          <t>learned from the training patents (tools/int_train.py)</t>
        </is>
      </c>
      <c r="AF23" s="7" t="inlineStr">
        <is>
          <t>Hansch, Leo, Taft, Chem. Rev. 91, 165 (1991); Clayden, Organic Chemistry (aromatic substitution)</t>
        </is>
      </c>
    </row>
    <row r="24">
      <c r="A24" s="7" t="inlineStr">
        <is>
          <t>I023</t>
        </is>
      </c>
      <c r="B24" s="7" t="inlineStr">
        <is>
          <t>ring-meta-carboxamide</t>
        </is>
      </c>
      <c r="C24" s="7" t="inlineStr">
        <is>
          <t>carboxamide, meta to the reacting aromatic carbon</t>
        </is>
      </c>
      <c r="D24" s="7" t="inlineStr">
        <is>
          <t>ring substituent (position)</t>
        </is>
      </c>
      <c r="E24" s="7" t="inlineStr">
        <is>
          <t>electronic</t>
        </is>
      </c>
      <c r="F24" s="7" t="inlineStr">
        <is>
          <t>aromatic C</t>
        </is>
      </c>
      <c r="G24" s="7" t="inlineStr">
        <is>
          <t>[c;$(c1:a:c(-[CX3;!900*](=O)[NX3]):a:a:a:1),$([c;r5]:[c;r5]:[c;r5]-[CX3;!900*](=O)[NX3])]</t>
        </is>
      </c>
      <c r="H24" s="7" t="inlineStr">
        <is>
          <t>[c]-[CX3](=O)[NX3]</t>
        </is>
      </c>
      <c r="I24" s="7" t="inlineStr"/>
      <c r="J24" s="7" t="inlineStr"/>
      <c r="K24" s="7" t="inlineStr"/>
      <c r="L24" s="7" t="inlineStr"/>
      <c r="M24" s="7" t="n"/>
      <c r="N24" s="7" t="inlineStr"/>
      <c r="O24" s="7" t="inlineStr">
        <is>
          <t>yes</t>
        </is>
      </c>
      <c r="P24" s="7" t="inlineStr"/>
      <c r="Q24" s="7" t="inlineStr">
        <is>
          <t>on the ring atom two bonds from the reacting carbon, inside the same six-membered ring (meta)</t>
        </is>
      </c>
      <c r="R24" s="7" t="inlineStr">
        <is>
          <t>withdraws electrons: speeds nucleophilic attack at the ring carbon (SNAr, oxidative addition, metalation next to it), slows electrophilic substitution. At meta mostly the inductive part acts; resonance does not reach this position.</t>
        </is>
      </c>
      <c r="S24" s="7" t="inlineStr">
        <is>
          <t>carboxamide (σm +0.28): the amide C=O withdraws, less than an ester does</t>
        </is>
      </c>
      <c r="T24" s="7" t="n">
        <v>0.28</v>
      </c>
      <c r="U24" s="10" t="n">
        <v>0.19</v>
      </c>
      <c r="V24" s="7" t="inlineStr">
        <is>
          <t>carbonyl addition +0.96 (n=75; winner had it 33 % vs 27 % at random) · acyl substitution +0.89 (n=350; winner had it 45 % vs 30 % at random) · n nucleophile +0.48 (n=41; winner had it 41 % vs 26 % at random) · aryl halide -0.42 (n=320; winner had it 28 % vs 40 % at random) · other -0.30 (n=29; winner had it 14 % vs 23 % at random) · arene ch -0.12 (n=258; winner had it 38 % vs 34 % at random)</t>
        </is>
      </c>
      <c r="W24" s="7" t="n">
        <v>1238</v>
      </c>
      <c r="X24" s="7" t="n">
        <v>629</v>
      </c>
      <c r="Y24" s="9" t="n">
        <v>0.3667</v>
      </c>
      <c r="Z24" s="9" t="n">
        <v>0.3334</v>
      </c>
      <c r="AA24" s="7" t="n"/>
      <c r="AB24" s="7" t="n"/>
      <c r="AC24" s="7" t="n"/>
      <c r="AD24" s="7" t="n"/>
      <c r="AE24" s="7" t="inlineStr">
        <is>
          <t>learned from the training patents (tools/int_train.py)</t>
        </is>
      </c>
      <c r="AF24" s="7" t="inlineStr">
        <is>
          <t>Hansch, Leo, Taft, Chem. Rev. 91, 165 (1991); Clayden, Organic Chemistry (aromatic substitution)</t>
        </is>
      </c>
    </row>
    <row r="25">
      <c r="A25" s="7" t="inlineStr">
        <is>
          <t>I024</t>
        </is>
      </c>
      <c r="B25" s="7" t="inlineStr">
        <is>
          <t>ring-para-carboxamide</t>
        </is>
      </c>
      <c r="C25" s="7" t="inlineStr">
        <is>
          <t>carboxamide, para to the reacting aromatic carbon</t>
        </is>
      </c>
      <c r="D25" s="7" t="inlineStr">
        <is>
          <t>ring substituent (position)</t>
        </is>
      </c>
      <c r="E25" s="7" t="inlineStr">
        <is>
          <t>electronic</t>
        </is>
      </c>
      <c r="F25" s="7" t="inlineStr">
        <is>
          <t>aromatic C</t>
        </is>
      </c>
      <c r="G25" s="7" t="inlineStr">
        <is>
          <t>[c;$(c1:a:a:c(-[CX3;!900*](=O)[NX3]):a:a:1),$([c;r5]:[c;r5]:[c;r5]:[c;r5]-[CX3;!900*](=O)[NX3])]</t>
        </is>
      </c>
      <c r="H25" s="7" t="inlineStr">
        <is>
          <t>[c]-[CX3](=O)[NX3]</t>
        </is>
      </c>
      <c r="I25" s="7" t="inlineStr"/>
      <c r="J25" s="7" t="inlineStr"/>
      <c r="K25" s="7" t="inlineStr"/>
      <c r="L25" s="7" t="inlineStr"/>
      <c r="M25" s="7" t="n"/>
      <c r="N25" s="7" t="inlineStr"/>
      <c r="O25" s="7" t="inlineStr">
        <is>
          <t>yes</t>
        </is>
      </c>
      <c r="P25" s="7" t="inlineStr"/>
      <c r="Q25" s="7" t="inlineStr">
        <is>
          <t>on the ring atom opposite the reacting carbon, inside the same six-membered ring (para)</t>
        </is>
      </c>
      <c r="R25" s="7" t="inlineStr">
        <is>
          <t>withdraws electrons: speeds nucleophilic attack at the ring carbon (SNAr, oxidative addition, metalation next to it), slows electrophilic substitution. At para induction and resonance both act.</t>
        </is>
      </c>
      <c r="S25" s="7" t="inlineStr">
        <is>
          <t>carboxamide (σp +0.36): the amide C=O withdraws, less than an ester does</t>
        </is>
      </c>
      <c r="T25" s="7" t="n">
        <v>0.36</v>
      </c>
      <c r="U25" s="10" t="n">
        <v>0.35</v>
      </c>
      <c r="V25" s="7" t="inlineStr">
        <is>
          <t>carbonyl addition +1.29 (n=37; winner had it 65 % vs 38 % at random) · acyl substitution +1.03 (n=218; winner had it 40 % vs 28 % at random) · aryl halide +0.72 (n=455; winner had it 62 % vs 44 % at random) · arene ch -0.44 (n=167; winner had it 14 % vs 25 % at random)</t>
        </is>
      </c>
      <c r="W25" s="7" t="n">
        <v>1035</v>
      </c>
      <c r="X25" s="7" t="n">
        <v>519</v>
      </c>
      <c r="Y25" s="9" t="n">
        <v>0.4483</v>
      </c>
      <c r="Z25" s="9" t="n">
        <v>0.3561</v>
      </c>
      <c r="AA25" s="7" t="n"/>
      <c r="AB25" s="7" t="n"/>
      <c r="AC25" s="7" t="n"/>
      <c r="AD25" s="7" t="n"/>
      <c r="AE25" s="7" t="inlineStr">
        <is>
          <t>learned from the training patents (tools/int_train.py)</t>
        </is>
      </c>
      <c r="AF25" s="7" t="inlineStr">
        <is>
          <t>Hansch, Leo, Taft, Chem. Rev. 91, 165 (1991); Clayden, Organic Chemistry (aromatic substitution)</t>
        </is>
      </c>
    </row>
    <row r="26">
      <c r="A26" s="7" t="inlineStr">
        <is>
          <t>I025</t>
        </is>
      </c>
      <c r="B26" s="7" t="inlineStr">
        <is>
          <t>ring-ortho-ocf3</t>
        </is>
      </c>
      <c r="C26" s="7" t="inlineStr">
        <is>
          <t>trifluoromethoxy, ortho to the reacting aromatic carbon</t>
        </is>
      </c>
      <c r="D26" s="7" t="inlineStr">
        <is>
          <t>ring substituent (position)</t>
        </is>
      </c>
      <c r="E26" s="7" t="inlineStr">
        <is>
          <t>electronic</t>
        </is>
      </c>
      <c r="F26" s="7" t="inlineStr">
        <is>
          <t>aromatic C</t>
        </is>
      </c>
      <c r="G26" s="7" t="inlineStr">
        <is>
          <t>[c;$(c:c-[OX2;!900*]C(F)(F)F)]</t>
        </is>
      </c>
      <c r="H26" s="7" t="inlineStr">
        <is>
          <t>[c]-[OX2]C(F)(F)F</t>
        </is>
      </c>
      <c r="I26" s="7" t="inlineStr"/>
      <c r="J26" s="7" t="inlineStr"/>
      <c r="K26" s="7" t="inlineStr"/>
      <c r="L26" s="7" t="inlineStr"/>
      <c r="M26" s="7" t="n"/>
      <c r="N26" s="7" t="inlineStr"/>
      <c r="O26" s="7" t="inlineStr">
        <is>
          <t>yes</t>
        </is>
      </c>
      <c r="P26" s="7" t="inlineStr"/>
      <c r="Q26" s="7" t="inlineStr">
        <is>
          <t>on the ring atom next to the reacting carbon (ortho)</t>
        </is>
      </c>
      <c r="R26" s="7" t="inlineStr">
        <is>
          <t>withdraws electrons: speeds nucleophilic attack at the ring carbon (SNAr, oxidative addition, metalation next to it), slows electrophilic substitution. At ortho the electronic effect is like para, and the group also crowds the carbon.</t>
        </is>
      </c>
      <c r="S26" s="7" t="inlineStr">
        <is>
          <t>trifluoromethoxy (σp +0.35): withdraws by induction; the O lone pair is held back by the CF3</t>
        </is>
      </c>
      <c r="T26" s="7" t="n">
        <v>0.35</v>
      </c>
      <c r="U26" s="10" t="n">
        <v>0.31</v>
      </c>
      <c r="V26" s="7" t="inlineStr">
        <is>
          <t>arene ch -0.07 (n=59; winner had it 32 % vs 42 % at random)</t>
        </is>
      </c>
      <c r="W26" s="7" t="n">
        <v>133</v>
      </c>
      <c r="X26" s="7" t="n">
        <v>112</v>
      </c>
      <c r="Y26" s="9" t="n">
        <v>0.2632</v>
      </c>
      <c r="Z26" s="9" t="n">
        <v>0.4233</v>
      </c>
      <c r="AA26" s="7" t="n"/>
      <c r="AB26" s="7" t="n"/>
      <c r="AC26" s="7" t="n"/>
      <c r="AD26" s="7" t="n"/>
      <c r="AE26" s="7" t="inlineStr">
        <is>
          <t>learned from the training patents (tools/int_train.py)</t>
        </is>
      </c>
      <c r="AF26" s="7" t="inlineStr">
        <is>
          <t>Hansch, Leo, Taft, Chem. Rev. 91, 165 (1991); Clayden, Organic Chemistry (aromatic substitution)</t>
        </is>
      </c>
    </row>
    <row r="27">
      <c r="A27" s="7" t="inlineStr">
        <is>
          <t>I026</t>
        </is>
      </c>
      <c r="B27" s="7" t="inlineStr">
        <is>
          <t>ring-meta-ocf3</t>
        </is>
      </c>
      <c r="C27" s="7" t="inlineStr">
        <is>
          <t>trifluoromethoxy, meta to the reacting aromatic carbon</t>
        </is>
      </c>
      <c r="D27" s="7" t="inlineStr">
        <is>
          <t>ring substituent (position)</t>
        </is>
      </c>
      <c r="E27" s="7" t="inlineStr">
        <is>
          <t>electronic</t>
        </is>
      </c>
      <c r="F27" s="7" t="inlineStr">
        <is>
          <t>aromatic C</t>
        </is>
      </c>
      <c r="G27" s="7" t="inlineStr">
        <is>
          <t>[c;$(c1:a:c(-[OX2;!900*]C(F)(F)F):a:a:a:1),$([c;r5]:[c;r5]:[c;r5]-[OX2;!900*]C(F)(F)F)]</t>
        </is>
      </c>
      <c r="H27" s="7" t="inlineStr">
        <is>
          <t>[c]-[OX2]C(F)(F)F</t>
        </is>
      </c>
      <c r="I27" s="7" t="inlineStr"/>
      <c r="J27" s="7" t="inlineStr"/>
      <c r="K27" s="7" t="inlineStr"/>
      <c r="L27" s="7" t="inlineStr"/>
      <c r="M27" s="7" t="n"/>
      <c r="N27" s="7" t="inlineStr"/>
      <c r="O27" s="7" t="inlineStr">
        <is>
          <t>yes</t>
        </is>
      </c>
      <c r="P27" s="7" t="inlineStr"/>
      <c r="Q27" s="7" t="inlineStr">
        <is>
          <t>on the ring atom two bonds from the reacting carbon, inside the same six-membered ring (meta)</t>
        </is>
      </c>
      <c r="R27" s="7" t="inlineStr">
        <is>
          <t>withdraws electrons: speeds nucleophilic attack at the ring carbon (SNAr, oxidative addition, metalation next to it), slows electrophilic substitution. At meta mostly the inductive part acts; resonance does not reach this position.</t>
        </is>
      </c>
      <c r="S27" s="7" t="inlineStr">
        <is>
          <t>trifluoromethoxy (σm +0.38): withdraws by induction; the O lone pair is held back by the CF3</t>
        </is>
      </c>
      <c r="T27" s="7" t="n">
        <v>0.38</v>
      </c>
      <c r="U27" s="10" t="n">
        <v>0.38</v>
      </c>
      <c r="V27" s="7" t="inlineStr">
        <is>
          <t>acyl substitution +0.69 (n=33; winner had it 55 % vs 36 % at random) · arene ch -0.54 (n=58; winner had it 38 % vs 40 % at random)</t>
        </is>
      </c>
      <c r="W27" s="7" t="n">
        <v>118</v>
      </c>
      <c r="X27" s="7" t="n">
        <v>99</v>
      </c>
      <c r="Y27" s="9" t="n">
        <v>0.4576</v>
      </c>
      <c r="Z27" s="9" t="n">
        <v>0.3921</v>
      </c>
      <c r="AA27" s="7" t="n"/>
      <c r="AB27" s="7" t="n"/>
      <c r="AC27" s="7" t="n"/>
      <c r="AD27" s="7" t="n"/>
      <c r="AE27" s="7" t="inlineStr">
        <is>
          <t>learned from the training patents (tools/int_train.py)</t>
        </is>
      </c>
      <c r="AF27" s="7" t="inlineStr">
        <is>
          <t>Hansch, Leo, Taft, Chem. Rev. 91, 165 (1991); Clayden, Organic Chemistry (aromatic substitution)</t>
        </is>
      </c>
    </row>
    <row r="28">
      <c r="A28" s="7" t="inlineStr">
        <is>
          <t>I027</t>
        </is>
      </c>
      <c r="B28" s="7" t="inlineStr">
        <is>
          <t>ring-para-ocf3</t>
        </is>
      </c>
      <c r="C28" s="7" t="inlineStr">
        <is>
          <t>trifluoromethoxy, para to the reacting aromatic carbon</t>
        </is>
      </c>
      <c r="D28" s="7" t="inlineStr">
        <is>
          <t>ring substituent (position)</t>
        </is>
      </c>
      <c r="E28" s="7" t="inlineStr">
        <is>
          <t>electronic</t>
        </is>
      </c>
      <c r="F28" s="7" t="inlineStr">
        <is>
          <t>aromatic C</t>
        </is>
      </c>
      <c r="G28" s="7" t="inlineStr">
        <is>
          <t>[c;$(c1:a:a:c(-[OX2;!900*]C(F)(F)F):a:a:1),$([c;r5]:[c;r5]:[c;r5]:[c;r5]-[OX2;!900*]C(F)(F)F)]</t>
        </is>
      </c>
      <c r="H28" s="7" t="inlineStr">
        <is>
          <t>[c]-[OX2]C(F)(F)F</t>
        </is>
      </c>
      <c r="I28" s="7" t="inlineStr"/>
      <c r="J28" s="7" t="inlineStr"/>
      <c r="K28" s="7" t="inlineStr"/>
      <c r="L28" s="7" t="inlineStr"/>
      <c r="M28" s="7" t="n"/>
      <c r="N28" s="7" t="inlineStr"/>
      <c r="O28" s="7" t="inlineStr">
        <is>
          <t>yes</t>
        </is>
      </c>
      <c r="P28" s="7" t="inlineStr"/>
      <c r="Q28" s="7" t="inlineStr">
        <is>
          <t>on the ring atom opposite the reacting carbon, inside the same six-membered ring (para)</t>
        </is>
      </c>
      <c r="R28" s="7" t="inlineStr">
        <is>
          <t>withdraws electrons: speeds nucleophilic attack at the ring carbon (SNAr, oxidative addition, metalation next to it), slows electrophilic substitution. At para induction and resonance both act.</t>
        </is>
      </c>
      <c r="S28" s="7" t="inlineStr">
        <is>
          <t>trifluoromethoxy (σp +0.35): withdraws by induction; the O lone pair is held back by the CF3</t>
        </is>
      </c>
      <c r="T28" s="7" t="n">
        <v>0.35</v>
      </c>
      <c r="U28" s="10" t="n">
        <v>1.99</v>
      </c>
      <c r="V28" s="7" t="inlineStr">
        <is>
          <t>arene ch +1.34 (n=25; winner had it 48 % vs 28 % at random)</t>
        </is>
      </c>
      <c r="W28" s="7" t="n">
        <v>87</v>
      </c>
      <c r="X28" s="7" t="n">
        <v>74</v>
      </c>
      <c r="Y28" s="9" t="n">
        <v>0.6667</v>
      </c>
      <c r="Z28" s="9" t="n">
        <v>0.3721</v>
      </c>
      <c r="AA28" s="7" t="n"/>
      <c r="AB28" s="7" t="n"/>
      <c r="AC28" s="7" t="n"/>
      <c r="AD28" s="7" t="n"/>
      <c r="AE28" s="7" t="inlineStr">
        <is>
          <t>learned from the training patents (tools/int_train.py)</t>
        </is>
      </c>
      <c r="AF28" s="7" t="inlineStr">
        <is>
          <t>Hansch, Leo, Taft, Chem. Rev. 91, 165 (1991); Clayden, Organic Chemistry (aromatic substitution)</t>
        </is>
      </c>
    </row>
    <row r="29">
      <c r="A29" s="7" t="inlineStr">
        <is>
          <t>I028</t>
        </is>
      </c>
      <c r="B29" s="7" t="inlineStr">
        <is>
          <t>ring-ortho-osulfonyl</t>
        </is>
      </c>
      <c r="C29" s="7" t="inlineStr">
        <is>
          <t>sulfonyloxy (OMs, OTs), ortho to the reacting aromatic carbon</t>
        </is>
      </c>
      <c r="D29" s="7" t="inlineStr">
        <is>
          <t>ring substituent (position)</t>
        </is>
      </c>
      <c r="E29" s="7" t="inlineStr">
        <is>
          <t>electronic</t>
        </is>
      </c>
      <c r="F29" s="7" t="inlineStr">
        <is>
          <t>aromatic C</t>
        </is>
      </c>
      <c r="G29" s="7" t="inlineStr">
        <is>
          <t>[c;$(c:c-[OX2;!900*][SX4](=O)=O)]</t>
        </is>
      </c>
      <c r="H29" s="7" t="inlineStr">
        <is>
          <t>[c]-[OX2][SX4](=O)=O</t>
        </is>
      </c>
      <c r="I29" s="7" t="inlineStr"/>
      <c r="J29" s="7" t="inlineStr"/>
      <c r="K29" s="7" t="inlineStr"/>
      <c r="L29" s="7" t="inlineStr"/>
      <c r="M29" s="7" t="n"/>
      <c r="N29" s="7" t="inlineStr"/>
      <c r="O29" s="7" t="inlineStr">
        <is>
          <t>yes</t>
        </is>
      </c>
      <c r="P29" s="7" t="inlineStr"/>
      <c r="Q29" s="7" t="inlineStr">
        <is>
          <t>on the ring atom next to the reacting carbon (ortho)</t>
        </is>
      </c>
      <c r="R29" s="7" t="inlineStr">
        <is>
          <t>withdraws electrons: speeds nucleophilic attack at the ring carbon (SNAr, oxidative addition, metalation next to it), slows electrophilic substitution. At ortho the electronic effect is like para, and the group also crowds the carbon.</t>
        </is>
      </c>
      <c r="S29" s="7" t="inlineStr">
        <is>
          <t>sulfonyloxy (OMs, OTs) (σp +0.36): withdraws by induction; the O lone pair is held back by the sulfonyl group (triflate is stronger: σp 0.53)</t>
        </is>
      </c>
      <c r="T29" s="7" t="n">
        <v>0.36</v>
      </c>
      <c r="U29" s="10" t="n">
        <v>-0.59</v>
      </c>
      <c r="V29" s="7" t="inlineStr"/>
      <c r="W29" s="7" t="n">
        <v>35</v>
      </c>
      <c r="X29" s="7" t="n">
        <v>27</v>
      </c>
      <c r="Y29" s="9" t="n">
        <v>0.1429</v>
      </c>
      <c r="Z29" s="9" t="n">
        <v>0.3534</v>
      </c>
      <c r="AA29" s="7" t="n"/>
      <c r="AB29" s="7" t="n"/>
      <c r="AC29" s="7" t="n"/>
      <c r="AD29" s="7" t="n"/>
      <c r="AE29" s="7" t="inlineStr">
        <is>
          <t>learned from the training patents (tools/int_train.py)</t>
        </is>
      </c>
      <c r="AF29" s="7" t="inlineStr">
        <is>
          <t>Hansch, Leo, Taft, Chem. Rev. 91, 165 (1991); Clayden, Organic Chemistry (aromatic substitution)</t>
        </is>
      </c>
    </row>
    <row r="30">
      <c r="A30" s="7" t="inlineStr">
        <is>
          <t>I029</t>
        </is>
      </c>
      <c r="B30" s="7" t="inlineStr">
        <is>
          <t>ring-meta-osulfonyl</t>
        </is>
      </c>
      <c r="C30" s="7" t="inlineStr">
        <is>
          <t>sulfonyloxy (OMs, OTs), meta to the reacting aromatic carbon</t>
        </is>
      </c>
      <c r="D30" s="7" t="inlineStr">
        <is>
          <t>ring substituent (position)</t>
        </is>
      </c>
      <c r="E30" s="7" t="inlineStr">
        <is>
          <t>electronic</t>
        </is>
      </c>
      <c r="F30" s="7" t="inlineStr">
        <is>
          <t>aromatic C</t>
        </is>
      </c>
      <c r="G30" s="7" t="inlineStr">
        <is>
          <t>[c;$(c1:a:c(-[OX2;!900*][SX4](=O)=O):a:a:a:1),$([c;r5]:[c;r5]:[c;r5]-[OX2;!900*][SX4](=O)=O)]</t>
        </is>
      </c>
      <c r="H30" s="7" t="inlineStr">
        <is>
          <t>[c]-[OX2][SX4](=O)=O</t>
        </is>
      </c>
      <c r="I30" s="7" t="inlineStr"/>
      <c r="J30" s="7" t="inlineStr"/>
      <c r="K30" s="7" t="inlineStr"/>
      <c r="L30" s="7" t="inlineStr"/>
      <c r="M30" s="7" t="n"/>
      <c r="N30" s="7" t="inlineStr"/>
      <c r="O30" s="7" t="inlineStr">
        <is>
          <t>yes</t>
        </is>
      </c>
      <c r="P30" s="7" t="inlineStr"/>
      <c r="Q30" s="7" t="inlineStr">
        <is>
          <t>on the ring atom two bonds from the reacting carbon, inside the same six-membered ring (meta)</t>
        </is>
      </c>
      <c r="R30" s="7" t="inlineStr">
        <is>
          <t>withdraws electrons: speeds nucleophilic attack at the ring carbon (SNAr, oxidative addition, metalation next to it), slows electrophilic substitution. At meta mostly the inductive part acts; resonance does not reach this position.</t>
        </is>
      </c>
      <c r="S30" s="7" t="inlineStr">
        <is>
          <t>sulfonyloxy (OMs, OTs) (σm +0.39): withdraws by induction; the O lone pair is held back by the sulfonyl group (triflate is stronger: σp 0.53)</t>
        </is>
      </c>
      <c r="T30" s="7" t="n">
        <v>0.39</v>
      </c>
      <c r="U30" s="10" t="n">
        <v>-0.17</v>
      </c>
      <c r="V30" s="7" t="inlineStr"/>
      <c r="W30" s="7" t="n">
        <v>38</v>
      </c>
      <c r="X30" s="7" t="n">
        <v>29</v>
      </c>
      <c r="Y30" s="9" t="n">
        <v>0.3947</v>
      </c>
      <c r="Z30" s="9" t="n">
        <v>0.3384</v>
      </c>
      <c r="AA30" s="7" t="n"/>
      <c r="AB30" s="7" t="n"/>
      <c r="AC30" s="7" t="n"/>
      <c r="AD30" s="7" t="n"/>
      <c r="AE30" s="7" t="inlineStr">
        <is>
          <t>learned from the training patents (tools/int_train.py)</t>
        </is>
      </c>
      <c r="AF30" s="7" t="inlineStr">
        <is>
          <t>Hansch, Leo, Taft, Chem. Rev. 91, 165 (1991); Clayden, Organic Chemistry (aromatic substitution)</t>
        </is>
      </c>
    </row>
    <row r="31">
      <c r="A31" s="7" t="inlineStr">
        <is>
          <t>I030</t>
        </is>
      </c>
      <c r="B31" s="7" t="inlineStr">
        <is>
          <t>ring-para-osulfonyl</t>
        </is>
      </c>
      <c r="C31" s="7" t="inlineStr">
        <is>
          <t>sulfonyloxy (OMs, OTs), para to the reacting aromatic carbon</t>
        </is>
      </c>
      <c r="D31" s="7" t="inlineStr">
        <is>
          <t>ring substituent (position)</t>
        </is>
      </c>
      <c r="E31" s="7" t="inlineStr">
        <is>
          <t>electronic</t>
        </is>
      </c>
      <c r="F31" s="7" t="inlineStr">
        <is>
          <t>aromatic C</t>
        </is>
      </c>
      <c r="G31" s="7" t="inlineStr">
        <is>
          <t>[c;$(c1:a:a:c(-[OX2;!900*][SX4](=O)=O):a:a:1),$([c;r5]:[c;r5]:[c;r5]:[c;r5]-[OX2;!900*][SX4](=O)=O)]</t>
        </is>
      </c>
      <c r="H31" s="7" t="inlineStr">
        <is>
          <t>[c]-[OX2][SX4](=O)=O</t>
        </is>
      </c>
      <c r="I31" s="7" t="inlineStr"/>
      <c r="J31" s="7" t="inlineStr"/>
      <c r="K31" s="7" t="inlineStr"/>
      <c r="L31" s="7" t="inlineStr"/>
      <c r="M31" s="7" t="n"/>
      <c r="N31" s="7" t="inlineStr"/>
      <c r="O31" s="7" t="inlineStr">
        <is>
          <t>yes</t>
        </is>
      </c>
      <c r="P31" s="7" t="inlineStr"/>
      <c r="Q31" s="7" t="inlineStr">
        <is>
          <t>on the ring atom opposite the reacting carbon, inside the same six-membered ring (para)</t>
        </is>
      </c>
      <c r="R31" s="7" t="inlineStr">
        <is>
          <t>withdraws electrons: speeds nucleophilic attack at the ring carbon (SNAr, oxidative addition, metalation next to it), slows electrophilic substitution. At para induction and resonance both act.</t>
        </is>
      </c>
      <c r="S31" s="7" t="inlineStr">
        <is>
          <t>sulfonyloxy (OMs, OTs) (σp +0.36): withdraws by induction; the O lone pair is held back by the sulfonyl group (triflate is stronger: σp 0.53)</t>
        </is>
      </c>
      <c r="T31" s="7" t="n">
        <v>0.36</v>
      </c>
      <c r="U31" s="10" t="n">
        <v>0.71</v>
      </c>
      <c r="V31" s="7" t="inlineStr"/>
      <c r="W31" s="7" t="n">
        <v>13</v>
      </c>
      <c r="X31" s="7" t="n">
        <v>12</v>
      </c>
      <c r="Y31" s="9" t="n">
        <v>0.5385</v>
      </c>
      <c r="Z31" s="9" t="n">
        <v>0.3872</v>
      </c>
      <c r="AA31" s="7" t="n"/>
      <c r="AB31" s="7" t="n"/>
      <c r="AC31" s="7" t="n"/>
      <c r="AD31" s="7" t="n"/>
      <c r="AE31" s="7" t="inlineStr">
        <is>
          <t>too few contests in the recorded reactions to learn a weight (the weight is shrunk to about zero): the textbook effect is advisory</t>
        </is>
      </c>
      <c r="AF31" s="7" t="inlineStr">
        <is>
          <t>Hansch, Leo, Taft, Chem. Rev. 91, 165 (1991); Clayden, Organic Chemistry (aromatic substitution)</t>
        </is>
      </c>
    </row>
    <row r="32">
      <c r="A32" s="7" t="inlineStr">
        <is>
          <t>I031</t>
        </is>
      </c>
      <c r="B32" s="7" t="inlineStr">
        <is>
          <t>ring-ortho-fluoro</t>
        </is>
      </c>
      <c r="C32" s="7" t="inlineStr">
        <is>
          <t>fluoro, ortho to the reacting aromatic carbon</t>
        </is>
      </c>
      <c r="D32" s="7" t="inlineStr">
        <is>
          <t>ring substituent (position)</t>
        </is>
      </c>
      <c r="E32" s="7" t="inlineStr">
        <is>
          <t>electronic</t>
        </is>
      </c>
      <c r="F32" s="7" t="inlineStr">
        <is>
          <t>aromatic C</t>
        </is>
      </c>
      <c r="G32" s="7" t="inlineStr">
        <is>
          <t>[c;$(c:c-[F;!900*])]</t>
        </is>
      </c>
      <c r="H32" s="7" t="inlineStr">
        <is>
          <t>[c]-F</t>
        </is>
      </c>
      <c r="I32" s="7" t="inlineStr"/>
      <c r="J32" s="7" t="inlineStr"/>
      <c r="K32" s="7" t="inlineStr"/>
      <c r="L32" s="7" t="inlineStr"/>
      <c r="M32" s="7" t="n"/>
      <c r="N32" s="7" t="inlineStr"/>
      <c r="O32" s="7" t="inlineStr">
        <is>
          <t>yes</t>
        </is>
      </c>
      <c r="P32" s="7" t="inlineStr"/>
      <c r="Q32" s="7" t="inlineStr">
        <is>
          <t>on the ring atom next to the reacting carbon (ortho)</t>
        </is>
      </c>
      <c r="R32" s="7" t="inlineStr">
        <is>
          <t>withdraws by induction but donates by resonance: slows electrophilic substitution yet directs it ortho/para; speeds SNAr a little. At ortho the electronic effect is like para, and the group also crowds the carbon.</t>
        </is>
      </c>
      <c r="S32" s="7" t="inlineStr">
        <is>
          <t>fluoro (σp +0.06): strongly withdrawing by induction but a lone-pair donor: directs ortho/para in electrophilic substitution</t>
        </is>
      </c>
      <c r="T32" s="7" t="n">
        <v>0.06</v>
      </c>
      <c r="U32" s="10" t="n">
        <v>0.1</v>
      </c>
      <c r="V32" s="7" t="inlineStr">
        <is>
          <t>other +0.42 (n=59; winner had it 53 % vs 33 % at random) · o nucleophile +0.39 (n=103; winner had it 39 % vs 43 % at random) · carbonyl addition -0.19 (n=254; winner had it 46 % vs 39 % at random)</t>
        </is>
      </c>
      <c r="W32" s="7" t="n">
        <v>4045</v>
      </c>
      <c r="X32" s="7" t="n">
        <v>2256</v>
      </c>
      <c r="Y32" s="9" t="n">
        <v>0.4714</v>
      </c>
      <c r="Z32" s="9" t="n">
        <v>0.4162</v>
      </c>
      <c r="AA32" s="7" t="n"/>
      <c r="AB32" s="7" t="n"/>
      <c r="AC32" s="7" t="n"/>
      <c r="AD32" s="7" t="n"/>
      <c r="AE32" s="7" t="inlineStr">
        <is>
          <t>learned from the training patents (tools/int_train.py)</t>
        </is>
      </c>
      <c r="AF32" s="7" t="inlineStr">
        <is>
          <t>Hansch, Leo, Taft, Chem. Rev. 91, 165 (1991); Clayden, Organic Chemistry (aromatic substitution)</t>
        </is>
      </c>
    </row>
    <row r="33">
      <c r="A33" s="7" t="inlineStr">
        <is>
          <t>I032</t>
        </is>
      </c>
      <c r="B33" s="7" t="inlineStr">
        <is>
          <t>ring-meta-fluoro</t>
        </is>
      </c>
      <c r="C33" s="7" t="inlineStr">
        <is>
          <t>fluoro, meta to the reacting aromatic carbon</t>
        </is>
      </c>
      <c r="D33" s="7" t="inlineStr">
        <is>
          <t>ring substituent (position)</t>
        </is>
      </c>
      <c r="E33" s="7" t="inlineStr">
        <is>
          <t>electronic</t>
        </is>
      </c>
      <c r="F33" s="7" t="inlineStr">
        <is>
          <t>aromatic C</t>
        </is>
      </c>
      <c r="G33" s="7" t="inlineStr">
        <is>
          <t>[c;$(c1:a:c(-[F;!900*]):a:a:a:1),$([c;r5]:[c;r5]:[c;r5]-[F;!900*])]</t>
        </is>
      </c>
      <c r="H33" s="7" t="inlineStr">
        <is>
          <t>[c]-F</t>
        </is>
      </c>
      <c r="I33" s="7" t="inlineStr"/>
      <c r="J33" s="7" t="inlineStr"/>
      <c r="K33" s="7" t="inlineStr"/>
      <c r="L33" s="7" t="inlineStr"/>
      <c r="M33" s="7" t="n"/>
      <c r="N33" s="7" t="inlineStr"/>
      <c r="O33" s="7" t="inlineStr">
        <is>
          <t>yes</t>
        </is>
      </c>
      <c r="P33" s="7" t="inlineStr"/>
      <c r="Q33" s="7" t="inlineStr">
        <is>
          <t>on the ring atom two bonds from the reacting carbon, inside the same six-membered ring (meta)</t>
        </is>
      </c>
      <c r="R33" s="7" t="inlineStr">
        <is>
          <t>withdraws by induction but donates by resonance: slows electrophilic substitution yet directs it ortho/para; speeds SNAr a little. At meta mostly the inductive part acts; resonance does not reach this position.</t>
        </is>
      </c>
      <c r="S33" s="7" t="inlineStr">
        <is>
          <t>fluoro (σm +0.34): strongly withdrawing by induction but a lone-pair donor: directs ortho/para in electrophilic substitution</t>
        </is>
      </c>
      <c r="T33" s="7" t="n">
        <v>0.34</v>
      </c>
      <c r="U33" s="10" t="n">
        <v>-0.51</v>
      </c>
      <c r="V33" s="7" t="inlineStr">
        <is>
          <t>aryl halide -1.41 (n=1040; winner had it 28 % vs 56 % at random) · deprotection -1.13 (n=91; winner had it 14 % vs 35 % at random) · carbonyl addition -1.05 (n=172; winner had it 12 % vs 34 % at random) · acyl substitution -1.01 (n=958; winner had it 22 % vs 32 % at random) · arene ch -0.78 (n=1055; winner had it 25 % vs 36 % at random) · o nucleophile +0.57 (n=84; winner had it 62 % vs 47 % at random)</t>
        </is>
      </c>
      <c r="W33" s="7" t="n">
        <v>3760</v>
      </c>
      <c r="X33" s="7" t="n">
        <v>2033</v>
      </c>
      <c r="Y33" s="9" t="n">
        <v>0.2625</v>
      </c>
      <c r="Z33" s="9" t="n">
        <v>0.4055</v>
      </c>
      <c r="AA33" s="7" t="n"/>
      <c r="AB33" s="7" t="n"/>
      <c r="AC33" s="7" t="n"/>
      <c r="AD33" s="7" t="n"/>
      <c r="AE33" s="7" t="inlineStr">
        <is>
          <t>learned from the training patents (tools/int_train.py)</t>
        </is>
      </c>
      <c r="AF33" s="7" t="inlineStr">
        <is>
          <t>Hansch, Leo, Taft, Chem. Rev. 91, 165 (1991); Clayden, Organic Chemistry (aromatic substitution)</t>
        </is>
      </c>
    </row>
    <row r="34">
      <c r="A34" s="7" t="inlineStr">
        <is>
          <t>I033</t>
        </is>
      </c>
      <c r="B34" s="7" t="inlineStr">
        <is>
          <t>ring-para-fluoro</t>
        </is>
      </c>
      <c r="C34" s="7" t="inlineStr">
        <is>
          <t>fluoro, para to the reacting aromatic carbon</t>
        </is>
      </c>
      <c r="D34" s="7" t="inlineStr">
        <is>
          <t>ring substituent (position)</t>
        </is>
      </c>
      <c r="E34" s="7" t="inlineStr">
        <is>
          <t>electronic</t>
        </is>
      </c>
      <c r="F34" s="7" t="inlineStr">
        <is>
          <t>aromatic C</t>
        </is>
      </c>
      <c r="G34" s="7" t="inlineStr">
        <is>
          <t>[c;$(c1:a:a:c(-[F;!900*]):a:a:1),$([c;r5]:[c;r5]:[c;r5]:[c;r5]-[F;!900*])]</t>
        </is>
      </c>
      <c r="H34" s="7" t="inlineStr">
        <is>
          <t>[c]-F</t>
        </is>
      </c>
      <c r="I34" s="7" t="inlineStr"/>
      <c r="J34" s="7" t="inlineStr"/>
      <c r="K34" s="7" t="inlineStr"/>
      <c r="L34" s="7" t="inlineStr"/>
      <c r="M34" s="7" t="n"/>
      <c r="N34" s="7" t="inlineStr"/>
      <c r="O34" s="7" t="inlineStr">
        <is>
          <t>yes</t>
        </is>
      </c>
      <c r="P34" s="7" t="inlineStr"/>
      <c r="Q34" s="7" t="inlineStr">
        <is>
          <t>on the ring atom opposite the reacting carbon, inside the same six-membered ring (para)</t>
        </is>
      </c>
      <c r="R34" s="7" t="inlineStr">
        <is>
          <t>withdraws by induction but donates by resonance: slows electrophilic substitution yet directs it ortho/para; speeds SNAr a little. At para induction and resonance both act.</t>
        </is>
      </c>
      <c r="S34" s="7" t="inlineStr">
        <is>
          <t>fluoro (σp +0.06): strongly withdrawing by induction but a lone-pair donor: directs ortho/para in electrophilic substitution</t>
        </is>
      </c>
      <c r="T34" s="7" t="n">
        <v>0.06</v>
      </c>
      <c r="U34" s="10" t="n">
        <v>-0.11</v>
      </c>
      <c r="V34" s="7" t="inlineStr">
        <is>
          <t>aryl halide -0.99 (n=718; winner had it 27 % vs 52 % at random) · arene ch +0.84 (n=713; winner had it 38 % vs 33 % at random) · carbonyl addition -0.64 (n=136; winner had it 24 % vs 39 % at random) · acyl substitution +0.35 (n=679; winner had it 27 % vs 31 % at random) · alkyl substitution +0.17 (n=108; winner had it 29 % vs 36 % at random)</t>
        </is>
      </c>
      <c r="W34" s="7" t="n">
        <v>2688</v>
      </c>
      <c r="X34" s="7" t="n">
        <v>1675</v>
      </c>
      <c r="Y34" s="9" t="n">
        <v>0.3062</v>
      </c>
      <c r="Z34" s="9" t="n">
        <v>0.3869</v>
      </c>
      <c r="AA34" s="7" t="n"/>
      <c r="AB34" s="7" t="n"/>
      <c r="AC34" s="7" t="n"/>
      <c r="AD34" s="7" t="n"/>
      <c r="AE34" s="7" t="inlineStr">
        <is>
          <t>learned from the training patents (tools/int_train.py)</t>
        </is>
      </c>
      <c r="AF34" s="7" t="inlineStr">
        <is>
          <t>Hansch, Leo, Taft, Chem. Rev. 91, 165 (1991); Clayden, Organic Chemistry (aromatic substitution)</t>
        </is>
      </c>
    </row>
    <row r="35">
      <c r="A35" s="7" t="inlineStr">
        <is>
          <t>I034</t>
        </is>
      </c>
      <c r="B35" s="7" t="inlineStr">
        <is>
          <t>ring-ortho-chloro</t>
        </is>
      </c>
      <c r="C35" s="7" t="inlineStr">
        <is>
          <t>chloro, ortho to the reacting aromatic carbon</t>
        </is>
      </c>
      <c r="D35" s="7" t="inlineStr">
        <is>
          <t>ring substituent (position)</t>
        </is>
      </c>
      <c r="E35" s="7" t="inlineStr">
        <is>
          <t>electronic</t>
        </is>
      </c>
      <c r="F35" s="7" t="inlineStr">
        <is>
          <t>aromatic C</t>
        </is>
      </c>
      <c r="G35" s="7" t="inlineStr">
        <is>
          <t>[c;$(c:c-[Cl;!900*])]</t>
        </is>
      </c>
      <c r="H35" s="7" t="inlineStr">
        <is>
          <t>[c]-Cl</t>
        </is>
      </c>
      <c r="I35" s="7" t="inlineStr"/>
      <c r="J35" s="7" t="inlineStr"/>
      <c r="K35" s="7" t="inlineStr"/>
      <c r="L35" s="7" t="inlineStr"/>
      <c r="M35" s="7" t="n"/>
      <c r="N35" s="7" t="inlineStr"/>
      <c r="O35" s="7" t="inlineStr">
        <is>
          <t>yes</t>
        </is>
      </c>
      <c r="P35" s="7" t="inlineStr"/>
      <c r="Q35" s="7" t="inlineStr">
        <is>
          <t>on the ring atom next to the reacting carbon (ortho)</t>
        </is>
      </c>
      <c r="R35" s="7" t="inlineStr">
        <is>
          <t>withdraws by induction but donates by resonance: slows electrophilic substitution yet directs it ortho/para; speeds SNAr a little. At ortho the electronic effect is like para, and the group also crowds the carbon.</t>
        </is>
      </c>
      <c r="S35" s="7" t="inlineStr">
        <is>
          <t>chloro (σp +0.23): withdrawing by induction, a weak lone-pair donor: deactivates but directs ortho/para</t>
        </is>
      </c>
      <c r="T35" s="7" t="n">
        <v>0.23</v>
      </c>
      <c r="U35" s="10" t="n">
        <v>-0.36</v>
      </c>
      <c r="V35" s="7" t="inlineStr">
        <is>
          <t>redox other -0.75 (n=32; winner had it 41 % vs 44 % at random) · carbonyl addition -0.59 (n=233; winner had it 25 % vs 41 % at random) · aryl halide +0.33 (n=1180; winner had it 60 % vs 52 % at random) · other -0.07 (n=47; winner had it 43 % vs 32 % at random)</t>
        </is>
      </c>
      <c r="W35" s="7" t="n">
        <v>3964</v>
      </c>
      <c r="X35" s="7" t="n">
        <v>2250</v>
      </c>
      <c r="Y35" s="9" t="n">
        <v>0.3779</v>
      </c>
      <c r="Z35" s="9" t="n">
        <v>0.4227</v>
      </c>
      <c r="AA35" s="7" t="n"/>
      <c r="AB35" s="7" t="n"/>
      <c r="AC35" s="7" t="n"/>
      <c r="AD35" s="7" t="n"/>
      <c r="AE35" s="7" t="inlineStr">
        <is>
          <t>learned from the training patents (tools/int_train.py)</t>
        </is>
      </c>
      <c r="AF35" s="7" t="inlineStr">
        <is>
          <t>Hansch, Leo, Taft, Chem. Rev. 91, 165 (1991); Clayden, Organic Chemistry (aromatic substitution)</t>
        </is>
      </c>
    </row>
    <row r="36">
      <c r="A36" s="7" t="inlineStr">
        <is>
          <t>I035</t>
        </is>
      </c>
      <c r="B36" s="7" t="inlineStr">
        <is>
          <t>ring-meta-chloro</t>
        </is>
      </c>
      <c r="C36" s="7" t="inlineStr">
        <is>
          <t>chloro, meta to the reacting aromatic carbon</t>
        </is>
      </c>
      <c r="D36" s="7" t="inlineStr">
        <is>
          <t>ring substituent (position)</t>
        </is>
      </c>
      <c r="E36" s="7" t="inlineStr">
        <is>
          <t>electronic</t>
        </is>
      </c>
      <c r="F36" s="7" t="inlineStr">
        <is>
          <t>aromatic C</t>
        </is>
      </c>
      <c r="G36" s="7" t="inlineStr">
        <is>
          <t>[c;$(c1:a:c(-[Cl;!900*]):a:a:a:1),$([c;r5]:[c;r5]:[c;r5]-[Cl;!900*])]</t>
        </is>
      </c>
      <c r="H36" s="7" t="inlineStr">
        <is>
          <t>[c]-Cl</t>
        </is>
      </c>
      <c r="I36" s="7" t="inlineStr"/>
      <c r="J36" s="7" t="inlineStr"/>
      <c r="K36" s="7" t="inlineStr"/>
      <c r="L36" s="7" t="inlineStr"/>
      <c r="M36" s="7" t="n"/>
      <c r="N36" s="7" t="inlineStr"/>
      <c r="O36" s="7" t="inlineStr">
        <is>
          <t>yes</t>
        </is>
      </c>
      <c r="P36" s="7" t="inlineStr"/>
      <c r="Q36" s="7" t="inlineStr">
        <is>
          <t>on the ring atom two bonds from the reacting carbon, inside the same six-membered ring (meta)</t>
        </is>
      </c>
      <c r="R36" s="7" t="inlineStr">
        <is>
          <t>withdraws by induction but donates by resonance: slows electrophilic substitution yet directs it ortho/para; speeds SNAr a little. At meta mostly the inductive part acts; resonance does not reach this position.</t>
        </is>
      </c>
      <c r="S36" s="7" t="inlineStr">
        <is>
          <t>chloro (σm +0.37): withdrawing by induction, a weak lone-pair donor: deactivates but directs ortho/para</t>
        </is>
      </c>
      <c r="T36" s="7" t="n">
        <v>0.37</v>
      </c>
      <c r="U36" s="10" t="n">
        <v>-0.46</v>
      </c>
      <c r="V36" s="7" t="inlineStr">
        <is>
          <t>o nucleophile -1.11 (n=69; winner had it 19 % vs 37 % at random) · carbonyl addition -0.86 (n=201; winner had it 35 % vs 33 % at random) · deprotection -0.72 (n=81; winner had it 27 % vs 35 % at random) · acyl substitution -0.71 (n=886; winner had it 24 % vs 32 % at random) · arene ch -0.51 (n=1014; winner had it 30 % vs 34 % at random) · redox other -0.09 (n=26; winner had it 46 % vs 36 % at random)</t>
        </is>
      </c>
      <c r="W36" s="7" t="n">
        <v>3670</v>
      </c>
      <c r="X36" s="7" t="n">
        <v>2153</v>
      </c>
      <c r="Y36" s="9" t="n">
        <v>0.3428</v>
      </c>
      <c r="Z36" s="9" t="n">
        <v>0.3934</v>
      </c>
      <c r="AA36" s="7" t="n"/>
      <c r="AB36" s="7" t="n"/>
      <c r="AC36" s="7" t="n"/>
      <c r="AD36" s="7" t="n"/>
      <c r="AE36" s="7" t="inlineStr">
        <is>
          <t>learned from the training patents (tools/int_train.py)</t>
        </is>
      </c>
      <c r="AF36" s="7" t="inlineStr">
        <is>
          <t>Hansch, Leo, Taft, Chem. Rev. 91, 165 (1991); Clayden, Organic Chemistry (aromatic substitution)</t>
        </is>
      </c>
    </row>
    <row r="37">
      <c r="A37" s="7" t="inlineStr">
        <is>
          <t>I036</t>
        </is>
      </c>
      <c r="B37" s="7" t="inlineStr">
        <is>
          <t>ring-para-chloro</t>
        </is>
      </c>
      <c r="C37" s="7" t="inlineStr">
        <is>
          <t>chloro, para to the reacting aromatic carbon</t>
        </is>
      </c>
      <c r="D37" s="7" t="inlineStr">
        <is>
          <t>ring substituent (position)</t>
        </is>
      </c>
      <c r="E37" s="7" t="inlineStr">
        <is>
          <t>electronic</t>
        </is>
      </c>
      <c r="F37" s="7" t="inlineStr">
        <is>
          <t>aromatic C</t>
        </is>
      </c>
      <c r="G37" s="7" t="inlineStr">
        <is>
          <t>[c;$(c1:a:a:c(-[Cl;!900*]):a:a:1),$([c;r5]:[c;r5]:[c;r5]:[c;r5]-[Cl;!900*])]</t>
        </is>
      </c>
      <c r="H37" s="7" t="inlineStr">
        <is>
          <t>[c]-Cl</t>
        </is>
      </c>
      <c r="I37" s="7" t="inlineStr"/>
      <c r="J37" s="7" t="inlineStr"/>
      <c r="K37" s="7" t="inlineStr"/>
      <c r="L37" s="7" t="inlineStr"/>
      <c r="M37" s="7" t="n"/>
      <c r="N37" s="7" t="inlineStr"/>
      <c r="O37" s="7" t="inlineStr">
        <is>
          <t>yes</t>
        </is>
      </c>
      <c r="P37" s="7" t="inlineStr"/>
      <c r="Q37" s="7" t="inlineStr">
        <is>
          <t>on the ring atom opposite the reacting carbon, inside the same six-membered ring (para)</t>
        </is>
      </c>
      <c r="R37" s="7" t="inlineStr">
        <is>
          <t>withdraws by induction but donates by resonance: slows electrophilic substitution yet directs it ortho/para; speeds SNAr a little. At para induction and resonance both act.</t>
        </is>
      </c>
      <c r="S37" s="7" t="inlineStr">
        <is>
          <t>chloro (σp +0.23): withdrawing by induction, a weak lone-pair donor: deactivates but directs ortho/para</t>
        </is>
      </c>
      <c r="T37" s="7" t="n">
        <v>0.23</v>
      </c>
      <c r="U37" s="10" t="n">
        <v>0.17</v>
      </c>
      <c r="V37" s="7" t="inlineStr">
        <is>
          <t>redox other -0.63 (n=33; winner had it 21 % vs 44 % at random) · alkyl substitution +0.54 (n=88; winner had it 43 % vs 37 % at random) · arene ch +0.48 (n=562; winner had it 34 % vs 31 % at random) · aryl halide -0.33 (n=776; winner had it 35 % vs 55 % at random)</t>
        </is>
      </c>
      <c r="W37" s="7" t="n">
        <v>2431</v>
      </c>
      <c r="X37" s="7" t="n">
        <v>1478</v>
      </c>
      <c r="Y37" s="9" t="n">
        <v>0.3447</v>
      </c>
      <c r="Z37" s="9" t="n">
        <v>0.3992</v>
      </c>
      <c r="AA37" s="7" t="n"/>
      <c r="AB37" s="7" t="n"/>
      <c r="AC37" s="7" t="n"/>
      <c r="AD37" s="7" t="n"/>
      <c r="AE37" s="7" t="inlineStr">
        <is>
          <t>learned from the training patents (tools/int_train.py)</t>
        </is>
      </c>
      <c r="AF37" s="7" t="inlineStr">
        <is>
          <t>Hansch, Leo, Taft, Chem. Rev. 91, 165 (1991); Clayden, Organic Chemistry (aromatic substitution)</t>
        </is>
      </c>
    </row>
    <row r="38">
      <c r="A38" s="7" t="inlineStr">
        <is>
          <t>I037</t>
        </is>
      </c>
      <c r="B38" s="7" t="inlineStr">
        <is>
          <t>ring-ortho-bromo</t>
        </is>
      </c>
      <c r="C38" s="7" t="inlineStr">
        <is>
          <t>bromo, ortho to the reacting aromatic carbon</t>
        </is>
      </c>
      <c r="D38" s="7" t="inlineStr">
        <is>
          <t>ring substituent (position)</t>
        </is>
      </c>
      <c r="E38" s="7" t="inlineStr">
        <is>
          <t>electronic</t>
        </is>
      </c>
      <c r="F38" s="7" t="inlineStr">
        <is>
          <t>aromatic C</t>
        </is>
      </c>
      <c r="G38" s="7" t="inlineStr">
        <is>
          <t>[c;$(c:c-[Br;!900*])]</t>
        </is>
      </c>
      <c r="H38" s="7" t="inlineStr">
        <is>
          <t>[c]-Br</t>
        </is>
      </c>
      <c r="I38" s="7" t="inlineStr"/>
      <c r="J38" s="7" t="inlineStr"/>
      <c r="K38" s="7" t="inlineStr"/>
      <c r="L38" s="7" t="inlineStr"/>
      <c r="M38" s="7" t="n"/>
      <c r="N38" s="7" t="inlineStr"/>
      <c r="O38" s="7" t="inlineStr">
        <is>
          <t>yes</t>
        </is>
      </c>
      <c r="P38" s="7" t="inlineStr"/>
      <c r="Q38" s="7" t="inlineStr">
        <is>
          <t>on the ring atom next to the reacting carbon (ortho)</t>
        </is>
      </c>
      <c r="R38" s="7" t="inlineStr">
        <is>
          <t>withdraws by induction but donates by resonance: slows electrophilic substitution yet directs it ortho/para; speeds SNAr a little. At ortho the electronic effect is like para, and the group also crowds the carbon.</t>
        </is>
      </c>
      <c r="S38" s="7" t="inlineStr">
        <is>
          <t>bromo (σp +0.23): withdrawing by induction, a weak lone-pair donor: deactivates but directs ortho/para</t>
        </is>
      </c>
      <c r="T38" s="7" t="n">
        <v>0.23</v>
      </c>
      <c r="U38" s="10" t="n">
        <v>-0.25</v>
      </c>
      <c r="V38" s="7" t="inlineStr">
        <is>
          <t>acyl substitution -0.96 (n=421; winner had it 22 % vs 41 % at random) · aryl halide +0.68 (n=358; winner had it 59 % vs 48 % at random) · arene ch -0.67 (n=493; winner had it 27 % vs 43 % at random) · n nucleophile +0.29 (n=53; winner had it 47 % vs 45 % at random)</t>
        </is>
      </c>
      <c r="W38" s="7" t="n">
        <v>1694</v>
      </c>
      <c r="X38" s="7" t="n">
        <v>1201</v>
      </c>
      <c r="Y38" s="9" t="n">
        <v>0.3241</v>
      </c>
      <c r="Z38" s="9" t="n">
        <v>0.4355</v>
      </c>
      <c r="AA38" s="7" t="n"/>
      <c r="AB38" s="7" t="n"/>
      <c r="AC38" s="7" t="n"/>
      <c r="AD38" s="7" t="n"/>
      <c r="AE38" s="7" t="inlineStr">
        <is>
          <t>learned from the training patents (tools/int_train.py)</t>
        </is>
      </c>
      <c r="AF38" s="7" t="inlineStr">
        <is>
          <t>Hansch, Leo, Taft, Chem. Rev. 91, 165 (1991); Clayden, Organic Chemistry (aromatic substitution)</t>
        </is>
      </c>
    </row>
    <row r="39">
      <c r="A39" s="7" t="inlineStr">
        <is>
          <t>I038</t>
        </is>
      </c>
      <c r="B39" s="7" t="inlineStr">
        <is>
          <t>ring-meta-bromo</t>
        </is>
      </c>
      <c r="C39" s="7" t="inlineStr">
        <is>
          <t>bromo, meta to the reacting aromatic carbon</t>
        </is>
      </c>
      <c r="D39" s="7" t="inlineStr">
        <is>
          <t>ring substituent (position)</t>
        </is>
      </c>
      <c r="E39" s="7" t="inlineStr">
        <is>
          <t>electronic</t>
        </is>
      </c>
      <c r="F39" s="7" t="inlineStr">
        <is>
          <t>aromatic C</t>
        </is>
      </c>
      <c r="G39" s="7" t="inlineStr">
        <is>
          <t>[c;$(c1:a:c(-[Br;!900*]):a:a:a:1),$([c;r5]:[c;r5]:[c;r5]-[Br;!900*])]</t>
        </is>
      </c>
      <c r="H39" s="7" t="inlineStr">
        <is>
          <t>[c]-Br</t>
        </is>
      </c>
      <c r="I39" s="7" t="inlineStr"/>
      <c r="J39" s="7" t="inlineStr"/>
      <c r="K39" s="7" t="inlineStr"/>
      <c r="L39" s="7" t="inlineStr"/>
      <c r="M39" s="7" t="n"/>
      <c r="N39" s="7" t="inlineStr"/>
      <c r="O39" s="7" t="inlineStr">
        <is>
          <t>yes</t>
        </is>
      </c>
      <c r="P39" s="7" t="inlineStr"/>
      <c r="Q39" s="7" t="inlineStr">
        <is>
          <t>on the ring atom two bonds from the reacting carbon, inside the same six-membered ring (meta)</t>
        </is>
      </c>
      <c r="R39" s="7" t="inlineStr">
        <is>
          <t>withdraws by induction but donates by resonance: slows electrophilic substitution yet directs it ortho/para; speeds SNAr a little. At meta mostly the inductive part acts; resonance does not reach this position.</t>
        </is>
      </c>
      <c r="S39" s="7" t="inlineStr">
        <is>
          <t>bromo (σm +0.39): withdrawing by induction, a weak lone-pair donor: deactivates but directs ortho/para</t>
        </is>
      </c>
      <c r="T39" s="7" t="n">
        <v>0.39</v>
      </c>
      <c r="U39" s="10" t="n">
        <v>0.11</v>
      </c>
      <c r="V39" s="7" t="inlineStr">
        <is>
          <t>carbonyl addition +0.65 (n=92; winner had it 39 % vs 39 % at random) · acyl substitution -0.56 (n=375; winner had it 36 % vs 34 % at random) · aryl halide +0.46 (n=212; winner had it 42 % vs 43 % at random) · arene ch -0.44 (n=454; winner had it 43 % vs 37 % at random) · n nucleophile +0.39 (n=58; winner had it 28 % vs 41 % at random) · alkyl substitution +0.37 (n=54; winner had it 44 % vs 39 % at random)</t>
        </is>
      </c>
      <c r="W39" s="7" t="n">
        <v>1382</v>
      </c>
      <c r="X39" s="7" t="n">
        <v>1007</v>
      </c>
      <c r="Y39" s="9" t="n">
        <v>0.4059</v>
      </c>
      <c r="Z39" s="9" t="n">
        <v>0.378</v>
      </c>
      <c r="AA39" s="7" t="n"/>
      <c r="AB39" s="7" t="n"/>
      <c r="AC39" s="7" t="n"/>
      <c r="AD39" s="7" t="n"/>
      <c r="AE39" s="7" t="inlineStr">
        <is>
          <t>learned from the training patents (tools/int_train.py)</t>
        </is>
      </c>
      <c r="AF39" s="7" t="inlineStr">
        <is>
          <t>Hansch, Leo, Taft, Chem. Rev. 91, 165 (1991); Clayden, Organic Chemistry (aromatic substitution)</t>
        </is>
      </c>
    </row>
    <row r="40">
      <c r="A40" s="7" t="inlineStr">
        <is>
          <t>I039</t>
        </is>
      </c>
      <c r="B40" s="7" t="inlineStr">
        <is>
          <t>ring-para-bromo</t>
        </is>
      </c>
      <c r="C40" s="7" t="inlineStr">
        <is>
          <t>bromo, para to the reacting aromatic carbon</t>
        </is>
      </c>
      <c r="D40" s="7" t="inlineStr">
        <is>
          <t>ring substituent (position)</t>
        </is>
      </c>
      <c r="E40" s="7" t="inlineStr">
        <is>
          <t>electronic</t>
        </is>
      </c>
      <c r="F40" s="7" t="inlineStr">
        <is>
          <t>aromatic C</t>
        </is>
      </c>
      <c r="G40" s="7" t="inlineStr">
        <is>
          <t>[c;$(c1:a:a:c(-[Br;!900*]):a:a:1),$([c;r5]:[c;r5]:[c;r5]:[c;r5]-[Br;!900*])]</t>
        </is>
      </c>
      <c r="H40" s="7" t="inlineStr">
        <is>
          <t>[c]-Br</t>
        </is>
      </c>
      <c r="I40" s="7" t="inlineStr"/>
      <c r="J40" s="7" t="inlineStr"/>
      <c r="K40" s="7" t="inlineStr"/>
      <c r="L40" s="7" t="inlineStr"/>
      <c r="M40" s="7" t="n"/>
      <c r="N40" s="7" t="inlineStr"/>
      <c r="O40" s="7" t="inlineStr">
        <is>
          <t>yes</t>
        </is>
      </c>
      <c r="P40" s="7" t="inlineStr"/>
      <c r="Q40" s="7" t="inlineStr">
        <is>
          <t>on the ring atom opposite the reacting carbon, inside the same six-membered ring (para)</t>
        </is>
      </c>
      <c r="R40" s="7" t="inlineStr">
        <is>
          <t>withdraws by induction but donates by resonance: slows electrophilic substitution yet directs it ortho/para; speeds SNAr a little. At para induction and resonance both act.</t>
        </is>
      </c>
      <c r="S40" s="7" t="inlineStr">
        <is>
          <t>bromo (σp +0.23): withdrawing by induction, a weak lone-pair donor: deactivates but directs ortho/para</t>
        </is>
      </c>
      <c r="T40" s="7" t="n">
        <v>0.23</v>
      </c>
      <c r="U40" s="10" t="n">
        <v>0.59</v>
      </c>
      <c r="V40" s="7" t="inlineStr">
        <is>
          <t>n nucleophile +1.12 (n=32; winner had it 66 % vs 41 % at random) · o nucleophile +0.90 (n=31; winner had it 45 % vs 37 % at random) · alkyl substitution +0.84 (n=32; winner had it 53 % vs 40 % at random) · carbonyl addition +0.70 (n=71; winner had it 58 % vs 41 % at random) · arene ch +0.67 (n=192; winner had it 45 % vs 32 % at random) · aryl halide +0.16 (n=283; winner had it 32 % vs 48 % at random)</t>
        </is>
      </c>
      <c r="W40" s="7" t="n">
        <v>933</v>
      </c>
      <c r="X40" s="7" t="n">
        <v>708</v>
      </c>
      <c r="Y40" s="9" t="n">
        <v>0.4523</v>
      </c>
      <c r="Z40" s="9" t="n">
        <v>0.4004</v>
      </c>
      <c r="AA40" s="7" t="n"/>
      <c r="AB40" s="7" t="n"/>
      <c r="AC40" s="7" t="n"/>
      <c r="AD40" s="7" t="n"/>
      <c r="AE40" s="7" t="inlineStr">
        <is>
          <t>learned from the training patents (tools/int_train.py)</t>
        </is>
      </c>
      <c r="AF40" s="7" t="inlineStr">
        <is>
          <t>Hansch, Leo, Taft, Chem. Rev. 91, 165 (1991); Clayden, Organic Chemistry (aromatic substitution)</t>
        </is>
      </c>
    </row>
    <row r="41">
      <c r="A41" s="7" t="inlineStr">
        <is>
          <t>I040</t>
        </is>
      </c>
      <c r="B41" s="7" t="inlineStr">
        <is>
          <t>ring-ortho-iodo</t>
        </is>
      </c>
      <c r="C41" s="7" t="inlineStr">
        <is>
          <t>iodo, ortho to the reacting aromatic carbon</t>
        </is>
      </c>
      <c r="D41" s="7" t="inlineStr">
        <is>
          <t>ring substituent (position)</t>
        </is>
      </c>
      <c r="E41" s="7" t="inlineStr">
        <is>
          <t>electronic</t>
        </is>
      </c>
      <c r="F41" s="7" t="inlineStr">
        <is>
          <t>aromatic C</t>
        </is>
      </c>
      <c r="G41" s="7" t="inlineStr">
        <is>
          <t>[c;$(c:c-[I;!900*])]</t>
        </is>
      </c>
      <c r="H41" s="7" t="inlineStr">
        <is>
          <t>[c]-I</t>
        </is>
      </c>
      <c r="I41" s="7" t="inlineStr"/>
      <c r="J41" s="7" t="inlineStr"/>
      <c r="K41" s="7" t="inlineStr"/>
      <c r="L41" s="7" t="inlineStr"/>
      <c r="M41" s="7" t="n"/>
      <c r="N41" s="7" t="inlineStr"/>
      <c r="O41" s="7" t="inlineStr">
        <is>
          <t>yes</t>
        </is>
      </c>
      <c r="P41" s="7" t="inlineStr"/>
      <c r="Q41" s="7" t="inlineStr">
        <is>
          <t>on the ring atom next to the reacting carbon (ortho)</t>
        </is>
      </c>
      <c r="R41" s="7" t="inlineStr">
        <is>
          <t>withdraws by induction but donates by resonance: slows electrophilic substitution yet directs it ortho/para; speeds SNAr a little. At ortho the electronic effect is like para, and the group also crowds the carbon.</t>
        </is>
      </c>
      <c r="S41" s="7" t="inlineStr">
        <is>
          <t>iodo (σp +0.18): withdrawing by induction, a weak lone-pair donor: deactivates but directs ortho/para</t>
        </is>
      </c>
      <c r="T41" s="7" t="n">
        <v>0.18</v>
      </c>
      <c r="U41" s="10" t="n">
        <v>-0.13</v>
      </c>
      <c r="V41" s="7" t="inlineStr">
        <is>
          <t>acyl substitution -0.54 (n=54; winner had it 24 % vs 39 % at random) · arene ch -0.39 (n=48; winner had it 42 % vs 41 % at random)</t>
        </is>
      </c>
      <c r="W41" s="7" t="n">
        <v>195</v>
      </c>
      <c r="X41" s="7" t="n">
        <v>163</v>
      </c>
      <c r="Y41" s="9" t="n">
        <v>0.3949</v>
      </c>
      <c r="Z41" s="9" t="n">
        <v>0.4274</v>
      </c>
      <c r="AA41" s="7" t="n"/>
      <c r="AB41" s="7" t="n"/>
      <c r="AC41" s="7" t="n"/>
      <c r="AD41" s="7" t="n"/>
      <c r="AE41" s="7" t="inlineStr">
        <is>
          <t>learned from the training patents (tools/int_train.py)</t>
        </is>
      </c>
      <c r="AF41" s="7" t="inlineStr">
        <is>
          <t>Hansch, Leo, Taft, Chem. Rev. 91, 165 (1991); Clayden, Organic Chemistry (aromatic substitution)</t>
        </is>
      </c>
    </row>
    <row r="42">
      <c r="A42" s="7" t="inlineStr">
        <is>
          <t>I041</t>
        </is>
      </c>
      <c r="B42" s="7" t="inlineStr">
        <is>
          <t>ring-meta-iodo</t>
        </is>
      </c>
      <c r="C42" s="7" t="inlineStr">
        <is>
          <t>iodo, meta to the reacting aromatic carbon</t>
        </is>
      </c>
      <c r="D42" s="7" t="inlineStr">
        <is>
          <t>ring substituent (position)</t>
        </is>
      </c>
      <c r="E42" s="7" t="inlineStr">
        <is>
          <t>electronic</t>
        </is>
      </c>
      <c r="F42" s="7" t="inlineStr">
        <is>
          <t>aromatic C</t>
        </is>
      </c>
      <c r="G42" s="7" t="inlineStr">
        <is>
          <t>[c;$(c1:a:c(-[I;!900*]):a:a:a:1),$([c;r5]:[c;r5]:[c;r5]-[I;!900*])]</t>
        </is>
      </c>
      <c r="H42" s="7" t="inlineStr">
        <is>
          <t>[c]-I</t>
        </is>
      </c>
      <c r="I42" s="7" t="inlineStr"/>
      <c r="J42" s="7" t="inlineStr"/>
      <c r="K42" s="7" t="inlineStr"/>
      <c r="L42" s="7" t="inlineStr"/>
      <c r="M42" s="7" t="n"/>
      <c r="N42" s="7" t="inlineStr"/>
      <c r="O42" s="7" t="inlineStr">
        <is>
          <t>yes</t>
        </is>
      </c>
      <c r="P42" s="7" t="inlineStr"/>
      <c r="Q42" s="7" t="inlineStr">
        <is>
          <t>on the ring atom two bonds from the reacting carbon, inside the same six-membered ring (meta)</t>
        </is>
      </c>
      <c r="R42" s="7" t="inlineStr">
        <is>
          <t>withdraws by induction but donates by resonance: slows electrophilic substitution yet directs it ortho/para; speeds SNAr a little. At meta mostly the inductive part acts; resonance does not reach this position.</t>
        </is>
      </c>
      <c r="S42" s="7" t="inlineStr">
        <is>
          <t>iodo (σm +0.35): withdrawing by induction, a weak lone-pair donor: deactivates but directs ortho/para</t>
        </is>
      </c>
      <c r="T42" s="7" t="n">
        <v>0.35</v>
      </c>
      <c r="U42" s="10" t="n">
        <v>-0.18</v>
      </c>
      <c r="V42" s="7" t="inlineStr">
        <is>
          <t>arene ch -1.10 (n=47; winner had it 23 % vs 36 % at random)</t>
        </is>
      </c>
      <c r="W42" s="7" t="n">
        <v>172</v>
      </c>
      <c r="X42" s="7" t="n">
        <v>144</v>
      </c>
      <c r="Y42" s="9" t="n">
        <v>0.3488</v>
      </c>
      <c r="Z42" s="9" t="n">
        <v>0.3847</v>
      </c>
      <c r="AA42" s="7" t="n"/>
      <c r="AB42" s="7" t="n"/>
      <c r="AC42" s="7" t="n"/>
      <c r="AD42" s="7" t="n"/>
      <c r="AE42" s="7" t="inlineStr">
        <is>
          <t>learned from the training patents (tools/int_train.py)</t>
        </is>
      </c>
      <c r="AF42" s="7" t="inlineStr">
        <is>
          <t>Hansch, Leo, Taft, Chem. Rev. 91, 165 (1991); Clayden, Organic Chemistry (aromatic substitution)</t>
        </is>
      </c>
    </row>
    <row r="43">
      <c r="A43" s="7" t="inlineStr">
        <is>
          <t>I042</t>
        </is>
      </c>
      <c r="B43" s="7" t="inlineStr">
        <is>
          <t>ring-para-iodo</t>
        </is>
      </c>
      <c r="C43" s="7" t="inlineStr">
        <is>
          <t>iodo, para to the reacting aromatic carbon</t>
        </is>
      </c>
      <c r="D43" s="7" t="inlineStr">
        <is>
          <t>ring substituent (position)</t>
        </is>
      </c>
      <c r="E43" s="7" t="inlineStr">
        <is>
          <t>electronic</t>
        </is>
      </c>
      <c r="F43" s="7" t="inlineStr">
        <is>
          <t>aromatic C</t>
        </is>
      </c>
      <c r="G43" s="7" t="inlineStr">
        <is>
          <t>[c;$(c1:a:a:c(-[I;!900*]):a:a:1),$([c;r5]:[c;r5]:[c;r5]:[c;r5]-[I;!900*])]</t>
        </is>
      </c>
      <c r="H43" s="7" t="inlineStr">
        <is>
          <t>[c]-I</t>
        </is>
      </c>
      <c r="I43" s="7" t="inlineStr"/>
      <c r="J43" s="7" t="inlineStr"/>
      <c r="K43" s="7" t="inlineStr"/>
      <c r="L43" s="7" t="inlineStr"/>
      <c r="M43" s="7" t="n"/>
      <c r="N43" s="7" t="inlineStr"/>
      <c r="O43" s="7" t="inlineStr">
        <is>
          <t>yes</t>
        </is>
      </c>
      <c r="P43" s="7" t="inlineStr"/>
      <c r="Q43" s="7" t="inlineStr">
        <is>
          <t>on the ring atom opposite the reacting carbon, inside the same six-membered ring (para)</t>
        </is>
      </c>
      <c r="R43" s="7" t="inlineStr">
        <is>
          <t>withdraws by induction but donates by resonance: slows electrophilic substitution yet directs it ortho/para; speeds SNAr a little. At para induction and resonance both act.</t>
        </is>
      </c>
      <c r="S43" s="7" t="inlineStr">
        <is>
          <t>iodo (σp +0.18): withdrawing by induction, a weak lone-pair donor: deactivates but directs ortho/para</t>
        </is>
      </c>
      <c r="T43" s="7" t="n">
        <v>0.18</v>
      </c>
      <c r="U43" s="10" t="n">
        <v>0.47</v>
      </c>
      <c r="V43" s="7" t="inlineStr">
        <is>
          <t>acyl substitution +0.53 (n=29; winner had it 45 % vs 35 % at random) · aryl halide +0.06 (n=45; winner had it 33 % vs 48 % at random)</t>
        </is>
      </c>
      <c r="W43" s="7" t="n">
        <v>118</v>
      </c>
      <c r="X43" s="7" t="n">
        <v>96</v>
      </c>
      <c r="Y43" s="9" t="n">
        <v>0.4407</v>
      </c>
      <c r="Z43" s="9" t="n">
        <v>0.4195</v>
      </c>
      <c r="AA43" s="7" t="n"/>
      <c r="AB43" s="7" t="n"/>
      <c r="AC43" s="7" t="n"/>
      <c r="AD43" s="7" t="n"/>
      <c r="AE43" s="7" t="inlineStr">
        <is>
          <t>learned from the training patents (tools/int_train.py)</t>
        </is>
      </c>
      <c r="AF43" s="7" t="inlineStr">
        <is>
          <t>Hansch, Leo, Taft, Chem. Rev. 91, 165 (1991); Clayden, Organic Chemistry (aromatic substitution)</t>
        </is>
      </c>
    </row>
    <row r="44">
      <c r="A44" s="7" t="inlineStr">
        <is>
          <t>I043</t>
        </is>
      </c>
      <c r="B44" s="7" t="inlineStr">
        <is>
          <t>ring-ortho-sr</t>
        </is>
      </c>
      <c r="C44" s="7" t="inlineStr">
        <is>
          <t>thioether, ortho to the reacting aromatic carbon</t>
        </is>
      </c>
      <c r="D44" s="7" t="inlineStr">
        <is>
          <t>ring substituent (position)</t>
        </is>
      </c>
      <c r="E44" s="7" t="inlineStr">
        <is>
          <t>electronic</t>
        </is>
      </c>
      <c r="F44" s="7" t="inlineStr">
        <is>
          <t>aromatic C</t>
        </is>
      </c>
      <c r="G44" s="7" t="inlineStr">
        <is>
          <t>[c;$(c:c-[SX2;!$(S-C(F)(F)F);!$(S-C#N);!900*][#6])]</t>
        </is>
      </c>
      <c r="H44" s="7" t="inlineStr">
        <is>
          <t>[c]-[SX2;!$(S-C(F)(F)F);!$(S-C#N)][#6]</t>
        </is>
      </c>
      <c r="I44" s="7" t="inlineStr"/>
      <c r="J44" s="7" t="inlineStr"/>
      <c r="K44" s="7" t="inlineStr"/>
      <c r="L44" s="7" t="inlineStr"/>
      <c r="M44" s="7" t="n"/>
      <c r="N44" s="7" t="inlineStr"/>
      <c r="O44" s="7" t="inlineStr">
        <is>
          <t>yes</t>
        </is>
      </c>
      <c r="P44" s="7" t="inlineStr"/>
      <c r="Q44" s="7" t="inlineStr">
        <is>
          <t>on the ring atom next to the reacting carbon (ortho)</t>
        </is>
      </c>
      <c r="R44" s="7" t="inlineStr">
        <is>
          <t>donates electrons: speeds electrophilic substitution at the ring carbon, slows nucleophilic attack (SNAr, oxidative addition). At ortho the electronic effect is like para, and the group also crowds the carbon.</t>
        </is>
      </c>
      <c r="S44" s="7" t="inlineStr">
        <is>
          <t>thioether (σp +0.00): a weak donor by resonance, a weak withdrawer by induction</t>
        </is>
      </c>
      <c r="T44" s="7" t="n">
        <v>0</v>
      </c>
      <c r="U44" s="10" t="n">
        <v>0.16</v>
      </c>
      <c r="V44" s="7" t="inlineStr">
        <is>
          <t>carbonyl addition +1.21 (n=52; winner had it 65 % vs 41 % at random)</t>
        </is>
      </c>
      <c r="W44" s="7" t="n">
        <v>394</v>
      </c>
      <c r="X44" s="7" t="n">
        <v>255</v>
      </c>
      <c r="Y44" s="9" t="n">
        <v>0.3046</v>
      </c>
      <c r="Z44" s="9" t="n">
        <v>0.3554</v>
      </c>
      <c r="AA44" s="7" t="n"/>
      <c r="AB44" s="7" t="n"/>
      <c r="AC44" s="7" t="n"/>
      <c r="AD44" s="7" t="n"/>
      <c r="AE44" s="7" t="inlineStr">
        <is>
          <t>learned from the training patents (tools/int_train.py)</t>
        </is>
      </c>
      <c r="AF44" s="7" t="inlineStr">
        <is>
          <t>Hansch, Leo, Taft, Chem. Rev. 91, 165 (1991); Clayden, Organic Chemistry (aromatic substitution)</t>
        </is>
      </c>
    </row>
    <row r="45">
      <c r="A45" s="7" t="inlineStr">
        <is>
          <t>I044</t>
        </is>
      </c>
      <c r="B45" s="7" t="inlineStr">
        <is>
          <t>ring-meta-sr</t>
        </is>
      </c>
      <c r="C45" s="7" t="inlineStr">
        <is>
          <t>thioether, meta to the reacting aromatic carbon</t>
        </is>
      </c>
      <c r="D45" s="7" t="inlineStr">
        <is>
          <t>ring substituent (position)</t>
        </is>
      </c>
      <c r="E45" s="7" t="inlineStr">
        <is>
          <t>electronic</t>
        </is>
      </c>
      <c r="F45" s="7" t="inlineStr">
        <is>
          <t>aromatic C</t>
        </is>
      </c>
      <c r="G45" s="7" t="inlineStr">
        <is>
          <t>[c;$(c1:a:c(-[SX2;!$(S-C(F)(F)F);!$(S-C#N);!900*][#6]):a:a:a:1),$([c;r5]:[c;r5]:[c;r5]-[SX2;!$(S-C(F)(F)F);!$(S-C#N);!900*][#6])]</t>
        </is>
      </c>
      <c r="H45" s="7" t="inlineStr">
        <is>
          <t>[c]-[SX2;!$(S-C(F)(F)F);!$(S-C#N)][#6]</t>
        </is>
      </c>
      <c r="I45" s="7" t="inlineStr"/>
      <c r="J45" s="7" t="inlineStr"/>
      <c r="K45" s="7" t="inlineStr"/>
      <c r="L45" s="7" t="inlineStr"/>
      <c r="M45" s="7" t="n"/>
      <c r="N45" s="7" t="inlineStr"/>
      <c r="O45" s="7" t="inlineStr">
        <is>
          <t>yes</t>
        </is>
      </c>
      <c r="P45" s="7" t="inlineStr"/>
      <c r="Q45" s="7" t="inlineStr">
        <is>
          <t>on the ring atom two bonds from the reacting carbon, inside the same six-membered ring (meta)</t>
        </is>
      </c>
      <c r="R45" s="7" t="inlineStr">
        <is>
          <t>donates electrons: speeds electrophilic substitution at the ring carbon, slows nucleophilic attack (SNAr, oxidative addition). At meta mostly the inductive part acts; resonance does not reach this position.</t>
        </is>
      </c>
      <c r="S45" s="7" t="inlineStr">
        <is>
          <t>thioether (σm +0.15): a weak donor by resonance, a weak withdrawer by induction</t>
        </is>
      </c>
      <c r="T45" s="7" t="n">
        <v>0.15</v>
      </c>
      <c r="U45" s="10" t="n">
        <v>0.29</v>
      </c>
      <c r="V45" s="7" t="inlineStr">
        <is>
          <t>carbonyl addition +0.92 (n=48; winner had it 65 % vs 41 % at random) · acyl substitution -0.53 (n=147; winner had it 12 % vs 36 % at random) · arene ch -0.24 (n=89; winner had it 25 % vs 38 % at random)</t>
        </is>
      </c>
      <c r="W45" s="7" t="n">
        <v>469</v>
      </c>
      <c r="X45" s="7" t="n">
        <v>295</v>
      </c>
      <c r="Y45" s="9" t="n">
        <v>0.3945</v>
      </c>
      <c r="Z45" s="9" t="n">
        <v>0.3928</v>
      </c>
      <c r="AA45" s="7" t="n"/>
      <c r="AB45" s="7" t="n"/>
      <c r="AC45" s="7" t="n"/>
      <c r="AD45" s="7" t="n"/>
      <c r="AE45" s="7" t="inlineStr">
        <is>
          <t>learned from the training patents (tools/int_train.py)</t>
        </is>
      </c>
      <c r="AF45" s="7" t="inlineStr">
        <is>
          <t>Hansch, Leo, Taft, Chem. Rev. 91, 165 (1991); Clayden, Organic Chemistry (aromatic substitution)</t>
        </is>
      </c>
    </row>
    <row r="46">
      <c r="A46" s="7" t="inlineStr">
        <is>
          <t>I045</t>
        </is>
      </c>
      <c r="B46" s="7" t="inlineStr">
        <is>
          <t>ring-para-sr</t>
        </is>
      </c>
      <c r="C46" s="7" t="inlineStr">
        <is>
          <t>thioether, para to the reacting aromatic carbon</t>
        </is>
      </c>
      <c r="D46" s="7" t="inlineStr">
        <is>
          <t>ring substituent (position)</t>
        </is>
      </c>
      <c r="E46" s="7" t="inlineStr">
        <is>
          <t>electronic</t>
        </is>
      </c>
      <c r="F46" s="7" t="inlineStr">
        <is>
          <t>aromatic C</t>
        </is>
      </c>
      <c r="G46" s="7" t="inlineStr">
        <is>
          <t>[c;$(c1:a:a:c(-[SX2;!$(S-C(F)(F)F);!$(S-C#N);!900*][#6]):a:a:1),$([c;r5]:[c;r5]:[c;r5]:[c;r5]-[SX2;!$(S-C(F)(F)F);!$(S-C#N);!900*][#6])]</t>
        </is>
      </c>
      <c r="H46" s="7" t="inlineStr">
        <is>
          <t>[c]-[SX2;!$(S-C(F)(F)F);!$(S-C#N)][#6]</t>
        </is>
      </c>
      <c r="I46" s="7" t="inlineStr"/>
      <c r="J46" s="7" t="inlineStr"/>
      <c r="K46" s="7" t="inlineStr"/>
      <c r="L46" s="7" t="inlineStr"/>
      <c r="M46" s="7" t="n"/>
      <c r="N46" s="7" t="inlineStr"/>
      <c r="O46" s="7" t="inlineStr">
        <is>
          <t>yes</t>
        </is>
      </c>
      <c r="P46" s="7" t="inlineStr"/>
      <c r="Q46" s="7" t="inlineStr">
        <is>
          <t>on the ring atom opposite the reacting carbon, inside the same six-membered ring (para)</t>
        </is>
      </c>
      <c r="R46" s="7" t="inlineStr">
        <is>
          <t>donates electrons: speeds electrophilic substitution at the ring carbon, slows nucleophilic attack (SNAr, oxidative addition). At para induction and resonance both act.</t>
        </is>
      </c>
      <c r="S46" s="7" t="inlineStr">
        <is>
          <t>thioether (σp +0.00): a weak donor by resonance, a weak withdrawer by induction</t>
        </is>
      </c>
      <c r="T46" s="7" t="n">
        <v>0</v>
      </c>
      <c r="U46" s="10" t="n">
        <v>1.36</v>
      </c>
      <c r="V46" s="7" t="inlineStr">
        <is>
          <t>arene ch +2.06 (n=84; winner had it 68 % vs 31 % at random) · acyl substitution +1.99 (n=121; winner had it 68 % vs 30 % at random) · aryl halide +0.73 (n=60; winner had it 25 % vs 43 % at random)</t>
        </is>
      </c>
      <c r="W46" s="7" t="n">
        <v>359</v>
      </c>
      <c r="X46" s="7" t="n">
        <v>247</v>
      </c>
      <c r="Y46" s="9" t="n">
        <v>0.5571</v>
      </c>
      <c r="Z46" s="9" t="n">
        <v>0.3408</v>
      </c>
      <c r="AA46" s="7" t="n"/>
      <c r="AB46" s="7" t="n"/>
      <c r="AC46" s="7" t="n"/>
      <c r="AD46" s="7" t="n"/>
      <c r="AE46" s="7" t="inlineStr">
        <is>
          <t>learned from the training patents (tools/int_train.py)</t>
        </is>
      </c>
      <c r="AF46" s="7" t="inlineStr">
        <is>
          <t>Hansch, Leo, Taft, Chem. Rev. 91, 165 (1991); Clayden, Organic Chemistry (aromatic substitution)</t>
        </is>
      </c>
    </row>
    <row r="47">
      <c r="A47" s="7" t="inlineStr">
        <is>
          <t>I046</t>
        </is>
      </c>
      <c r="B47" s="7" t="inlineStr">
        <is>
          <t>ring-ortho-nhcor</t>
        </is>
      </c>
      <c r="C47" s="7" t="inlineStr">
        <is>
          <t>acylamino (amide N–H), ortho to the reacting aromatic carbon</t>
        </is>
      </c>
      <c r="D47" s="7" t="inlineStr">
        <is>
          <t>ring substituent (position)</t>
        </is>
      </c>
      <c r="E47" s="7" t="inlineStr">
        <is>
          <t>electronic</t>
        </is>
      </c>
      <c r="F47" s="7" t="inlineStr">
        <is>
          <t>aromatic C</t>
        </is>
      </c>
      <c r="G47" s="7" t="inlineStr">
        <is>
          <t>[c;$(c:c-[NX3;H1;!900*]C(=O))]</t>
        </is>
      </c>
      <c r="H47" s="7" t="inlineStr">
        <is>
          <t>[c]-[NX3;H1]C(=O)</t>
        </is>
      </c>
      <c r="I47" s="7" t="inlineStr"/>
      <c r="J47" s="7" t="inlineStr"/>
      <c r="K47" s="7" t="inlineStr"/>
      <c r="L47" s="7" t="inlineStr"/>
      <c r="M47" s="7" t="n"/>
      <c r="N47" s="7" t="inlineStr"/>
      <c r="O47" s="7" t="inlineStr">
        <is>
          <t>yes</t>
        </is>
      </c>
      <c r="P47" s="7" t="inlineStr"/>
      <c r="Q47" s="7" t="inlineStr">
        <is>
          <t>on the ring atom next to the reacting carbon (ortho)</t>
        </is>
      </c>
      <c r="R47" s="7" t="inlineStr">
        <is>
          <t>donates electrons: speeds electrophilic substitution at the ring carbon, slows nucleophilic attack (SNAr, oxidative addition). At ortho the electronic effect is like para, and the group also crowds the carbon.</t>
        </is>
      </c>
      <c r="S47" s="7" t="inlineStr">
        <is>
          <t>acylamino (amide N–H) (σp +0.00): the N lone pair is shared with the C=O: a moderate donor</t>
        </is>
      </c>
      <c r="T47" s="7" t="n">
        <v>0</v>
      </c>
      <c r="U47" s="10" t="n">
        <v>0.66</v>
      </c>
      <c r="V47" s="7" t="inlineStr">
        <is>
          <t>arene ch +1.43 (n=478; winner had it 54 % vs 39 % at random) · acyl substitution +1.34 (n=366; winner had it 35 % vs 31 % at random) · alkyl substitution +0.83 (n=55; winner had it 44 % vs 35 % at random) · n nucleophile +0.72 (n=38; winner had it 47 % vs 36 % at random) · deprotection +0.70 (n=54; winner had it 43 % vs 36 % at random) · carbonyl addition +0.64 (n=51; winner had it 47 % vs 41 % at random)</t>
        </is>
      </c>
      <c r="W47" s="7" t="n">
        <v>1279</v>
      </c>
      <c r="X47" s="7" t="n">
        <v>824</v>
      </c>
      <c r="Y47" s="9" t="n">
        <v>0.4097</v>
      </c>
      <c r="Z47" s="9" t="n">
        <v>0.3646</v>
      </c>
      <c r="AA47" s="7" t="n"/>
      <c r="AB47" s="7" t="n"/>
      <c r="AC47" s="7" t="n"/>
      <c r="AD47" s="7" t="n"/>
      <c r="AE47" s="7" t="inlineStr">
        <is>
          <t>learned from the training patents (tools/int_train.py)</t>
        </is>
      </c>
      <c r="AF47" s="7" t="inlineStr">
        <is>
          <t>Hansch, Leo, Taft, Chem. Rev. 91, 165 (1991); Clayden, Organic Chemistry (aromatic substitution)</t>
        </is>
      </c>
    </row>
    <row r="48">
      <c r="A48" s="7" t="inlineStr">
        <is>
          <t>I047</t>
        </is>
      </c>
      <c r="B48" s="7" t="inlineStr">
        <is>
          <t>ring-meta-nhcor</t>
        </is>
      </c>
      <c r="C48" s="7" t="inlineStr">
        <is>
          <t>acylamino (amide N–H), meta to the reacting aromatic carbon</t>
        </is>
      </c>
      <c r="D48" s="7" t="inlineStr">
        <is>
          <t>ring substituent (position)</t>
        </is>
      </c>
      <c r="E48" s="7" t="inlineStr">
        <is>
          <t>electronic</t>
        </is>
      </c>
      <c r="F48" s="7" t="inlineStr">
        <is>
          <t>aromatic C</t>
        </is>
      </c>
      <c r="G48" s="7" t="inlineStr">
        <is>
          <t>[c;$(c1:a:c(-[NX3;H1;!900*]C(=O)):a:a:a:1),$([c;r5]:[c;r5]:[c;r5]-[NX3;H1;!900*]C(=O))]</t>
        </is>
      </c>
      <c r="H48" s="7" t="inlineStr">
        <is>
          <t>[c]-[NX3;H1]C(=O)</t>
        </is>
      </c>
      <c r="I48" s="7" t="inlineStr"/>
      <c r="J48" s="7" t="inlineStr"/>
      <c r="K48" s="7" t="inlineStr"/>
      <c r="L48" s="7" t="inlineStr"/>
      <c r="M48" s="7" t="n"/>
      <c r="N48" s="7" t="inlineStr"/>
      <c r="O48" s="7" t="inlineStr">
        <is>
          <t>yes</t>
        </is>
      </c>
      <c r="P48" s="7" t="inlineStr"/>
      <c r="Q48" s="7" t="inlineStr">
        <is>
          <t>on the ring atom two bonds from the reacting carbon, inside the same six-membered ring (meta)</t>
        </is>
      </c>
      <c r="R48" s="7" t="inlineStr">
        <is>
          <t>donates electrons: speeds electrophilic substitution at the ring carbon, slows nucleophilic attack (SNAr, oxidative addition). At meta mostly the inductive part acts; resonance does not reach this position.</t>
        </is>
      </c>
      <c r="S48" s="7" t="inlineStr">
        <is>
          <t>acylamino (amide N–H) (σm +0.21): the N lone pair is shared with the C=O: a moderate donor</t>
        </is>
      </c>
      <c r="T48" s="7" t="n">
        <v>0.21</v>
      </c>
      <c r="U48" s="10" t="n">
        <v>-0.44</v>
      </c>
      <c r="V48" s="7" t="inlineStr">
        <is>
          <t>deprotection -1.40 (n=67; winner had it 12 % vs 31 % at random) · arene ch -0.91 (n=501; winner had it 10 % vs 40 % at random) · carbonyl addition -0.91 (n=53; winner had it 19 % vs 44 % at random) · n nucleophile +0.71 (n=53; winner had it 62 % vs 38 % at random) · aryl halide -0.68 (n=144; winner had it 44 % vs 42 % at random) · other +0.19 (n=33; winner had it 33 % vs 30 % at random)</t>
        </is>
      </c>
      <c r="W48" s="7" t="n">
        <v>1317</v>
      </c>
      <c r="X48" s="7" t="n">
        <v>831</v>
      </c>
      <c r="Y48" s="9" t="n">
        <v>0.1997</v>
      </c>
      <c r="Z48" s="9" t="n">
        <v>0.3812</v>
      </c>
      <c r="AA48" s="7" t="n"/>
      <c r="AB48" s="7" t="n"/>
      <c r="AC48" s="7" t="n"/>
      <c r="AD48" s="7" t="n"/>
      <c r="AE48" s="7" t="inlineStr">
        <is>
          <t>learned from the training patents (tools/int_train.py)</t>
        </is>
      </c>
      <c r="AF48" s="7" t="inlineStr">
        <is>
          <t>Hansch, Leo, Taft, Chem. Rev. 91, 165 (1991); Clayden, Organic Chemistry (aromatic substitution)</t>
        </is>
      </c>
    </row>
    <row r="49">
      <c r="A49" s="7" t="inlineStr">
        <is>
          <t>I048</t>
        </is>
      </c>
      <c r="B49" s="7" t="inlineStr">
        <is>
          <t>ring-para-nhcor</t>
        </is>
      </c>
      <c r="C49" s="7" t="inlineStr">
        <is>
          <t>acylamino (amide N–H), para to the reacting aromatic carbon</t>
        </is>
      </c>
      <c r="D49" s="7" t="inlineStr">
        <is>
          <t>ring substituent (position)</t>
        </is>
      </c>
      <c r="E49" s="7" t="inlineStr">
        <is>
          <t>electronic</t>
        </is>
      </c>
      <c r="F49" s="7" t="inlineStr">
        <is>
          <t>aromatic C</t>
        </is>
      </c>
      <c r="G49" s="7" t="inlineStr">
        <is>
          <t>[c;$(c1:a:a:c(-[NX3;H1;!900*]C(=O)):a:a:1),$([c;r5]:[c;r5]:[c;r5]:[c;r5]-[NX3;H1;!900*]C(=O))]</t>
        </is>
      </c>
      <c r="H49" s="7" t="inlineStr">
        <is>
          <t>[c]-[NX3;H1]C(=O)</t>
        </is>
      </c>
      <c r="I49" s="7" t="inlineStr"/>
      <c r="J49" s="7" t="inlineStr"/>
      <c r="K49" s="7" t="inlineStr"/>
      <c r="L49" s="7" t="inlineStr"/>
      <c r="M49" s="7" t="n"/>
      <c r="N49" s="7" t="inlineStr"/>
      <c r="O49" s="7" t="inlineStr">
        <is>
          <t>yes</t>
        </is>
      </c>
      <c r="P49" s="7" t="inlineStr"/>
      <c r="Q49" s="7" t="inlineStr">
        <is>
          <t>on the ring atom opposite the reacting carbon, inside the same six-membered ring (para)</t>
        </is>
      </c>
      <c r="R49" s="7" t="inlineStr">
        <is>
          <t>donates electrons: speeds electrophilic substitution at the ring carbon, slows nucleophilic attack (SNAr, oxidative addition). At para induction and resonance both act.</t>
        </is>
      </c>
      <c r="S49" s="7" t="inlineStr">
        <is>
          <t>acylamino (amide N–H) (σp +0.00): the N lone pair is shared with the C=O: a moderate donor</t>
        </is>
      </c>
      <c r="T49" s="7" t="n">
        <v>0</v>
      </c>
      <c r="U49" s="10" t="n">
        <v>1.57</v>
      </c>
      <c r="V49" s="7" t="inlineStr">
        <is>
          <t>acyl substitution +2.84 (n=275; winner had it 64 % vs 29 % at random) · arene ch +2.76 (n=268; winner had it 68 % vs 29 % at random) · n nucleophile +2.17 (n=38; winner had it 68 % vs 34 % at random) · alkyl substitution +1.97 (n=40; winner had it 52 % vs 29 % at random) · carbonyl addition +1.59 (n=33; winner had it 45 % vs 39 % at random) · deprotection +1.27 (n=48; winner had it 50 % vs 33 % at random)</t>
        </is>
      </c>
      <c r="W49" s="7" t="n">
        <v>880</v>
      </c>
      <c r="X49" s="7" t="n">
        <v>595</v>
      </c>
      <c r="Y49" s="9" t="n">
        <v>0.5523</v>
      </c>
      <c r="Z49" s="9" t="n">
        <v>0.3258</v>
      </c>
      <c r="AA49" s="7" t="n"/>
      <c r="AB49" s="7" t="n"/>
      <c r="AC49" s="7" t="n"/>
      <c r="AD49" s="7" t="n"/>
      <c r="AE49" s="7" t="inlineStr">
        <is>
          <t>learned from the training patents (tools/int_train.py)</t>
        </is>
      </c>
      <c r="AF49" s="7" t="inlineStr">
        <is>
          <t>Hansch, Leo, Taft, Chem. Rev. 91, 165 (1991); Clayden, Organic Chemistry (aromatic substitution)</t>
        </is>
      </c>
    </row>
    <row r="50">
      <c r="A50" s="7" t="inlineStr">
        <is>
          <t>I049</t>
        </is>
      </c>
      <c r="B50" s="7" t="inlineStr">
        <is>
          <t>ring-ortho-nhso2</t>
        </is>
      </c>
      <c r="C50" s="7" t="inlineStr">
        <is>
          <t>sulfonylamino (N–H sulfonamide), ortho to the reacting aromatic carbon</t>
        </is>
      </c>
      <c r="D50" s="7" t="inlineStr">
        <is>
          <t>ring substituent (position)</t>
        </is>
      </c>
      <c r="E50" s="7" t="inlineStr">
        <is>
          <t>electronic</t>
        </is>
      </c>
      <c r="F50" s="7" t="inlineStr">
        <is>
          <t>aromatic C</t>
        </is>
      </c>
      <c r="G50" s="7" t="inlineStr">
        <is>
          <t>[c;$(c:c-[NX3;H1;!900*][SX4](=O)=O)]</t>
        </is>
      </c>
      <c r="H50" s="7" t="inlineStr">
        <is>
          <t>[c]-[NX3;H1][SX4](=O)=O</t>
        </is>
      </c>
      <c r="I50" s="7" t="inlineStr"/>
      <c r="J50" s="7" t="inlineStr"/>
      <c r="K50" s="7" t="inlineStr"/>
      <c r="L50" s="7" t="inlineStr"/>
      <c r="M50" s="7" t="n"/>
      <c r="N50" s="7" t="inlineStr"/>
      <c r="O50" s="7" t="inlineStr">
        <is>
          <t>yes</t>
        </is>
      </c>
      <c r="P50" s="7" t="inlineStr"/>
      <c r="Q50" s="7" t="inlineStr">
        <is>
          <t>on the ring atom next to the reacting carbon (ortho)</t>
        </is>
      </c>
      <c r="R50" s="7" t="inlineStr">
        <is>
          <t>donates electrons: speeds electrophilic substitution at the ring carbon, slows nucleophilic attack (SNAr, oxidative addition). At ortho the electronic effect is like para, and the group also crowds the carbon.</t>
        </is>
      </c>
      <c r="S50" s="7" t="inlineStr">
        <is>
          <t>sulfonylamino (N–H sulfonamide) (σp +0.03): the N lone pair is shared with the sulfonyl group: about neutral, a weak ortho/para director</t>
        </is>
      </c>
      <c r="T50" s="7" t="n">
        <v>0.03</v>
      </c>
      <c r="U50" s="10" t="n">
        <v>0.1</v>
      </c>
      <c r="V50" s="7" t="inlineStr">
        <is>
          <t>arene ch +0.58 (n=36; winner had it 58 % vs 32 % at random) · acyl substitution -0.17 (n=34; winner had it 26 % vs 29 % at random)</t>
        </is>
      </c>
      <c r="W50" s="7" t="n">
        <v>139</v>
      </c>
      <c r="X50" s="7" t="n">
        <v>74</v>
      </c>
      <c r="Y50" s="9" t="n">
        <v>0.3453</v>
      </c>
      <c r="Z50" s="9" t="n">
        <v>0.3313</v>
      </c>
      <c r="AA50" s="7" t="n"/>
      <c r="AB50" s="7" t="n"/>
      <c r="AC50" s="7" t="n"/>
      <c r="AD50" s="7" t="n"/>
      <c r="AE50" s="7" t="inlineStr">
        <is>
          <t>learned from the training patents (tools/int_train.py)</t>
        </is>
      </c>
      <c r="AF50" s="7" t="inlineStr">
        <is>
          <t>Hansch, Leo, Taft, Chem. Rev. 91, 165 (1991); Clayden, Organic Chemistry (aromatic substitution)</t>
        </is>
      </c>
    </row>
    <row r="51">
      <c r="A51" s="7" t="inlineStr">
        <is>
          <t>I050</t>
        </is>
      </c>
      <c r="B51" s="7" t="inlineStr">
        <is>
          <t>ring-meta-nhso2</t>
        </is>
      </c>
      <c r="C51" s="7" t="inlineStr">
        <is>
          <t>sulfonylamino (N–H sulfonamide), meta to the reacting aromatic carbon</t>
        </is>
      </c>
      <c r="D51" s="7" t="inlineStr">
        <is>
          <t>ring substituent (position)</t>
        </is>
      </c>
      <c r="E51" s="7" t="inlineStr">
        <is>
          <t>electronic</t>
        </is>
      </c>
      <c r="F51" s="7" t="inlineStr">
        <is>
          <t>aromatic C</t>
        </is>
      </c>
      <c r="G51" s="7" t="inlineStr">
        <is>
          <t>[c;$(c1:a:c(-[NX3;H1;!900*][SX4](=O)=O):a:a:a:1),$([c;r5]:[c;r5]:[c;r5]-[NX3;H1;!900*][SX4](=O)=O)]</t>
        </is>
      </c>
      <c r="H51" s="7" t="inlineStr">
        <is>
          <t>[c]-[NX3;H1][SX4](=O)=O</t>
        </is>
      </c>
      <c r="I51" s="7" t="inlineStr"/>
      <c r="J51" s="7" t="inlineStr"/>
      <c r="K51" s="7" t="inlineStr"/>
      <c r="L51" s="7" t="inlineStr"/>
      <c r="M51" s="7" t="n"/>
      <c r="N51" s="7" t="inlineStr"/>
      <c r="O51" s="7" t="inlineStr">
        <is>
          <t>yes</t>
        </is>
      </c>
      <c r="P51" s="7" t="inlineStr"/>
      <c r="Q51" s="7" t="inlineStr">
        <is>
          <t>on the ring atom two bonds from the reacting carbon, inside the same six-membered ring (meta)</t>
        </is>
      </c>
      <c r="R51" s="7" t="inlineStr">
        <is>
          <t>donates electrons: speeds electrophilic substitution at the ring carbon, slows nucleophilic attack (SNAr, oxidative addition). At meta mostly the inductive part acts; resonance does not reach this position.</t>
        </is>
      </c>
      <c r="S51" s="7" t="inlineStr">
        <is>
          <t>sulfonylamino (N–H sulfonamide) (σm +0.20): the N lone pair is shared with the sulfonyl group: about neutral, a weak ortho/para director</t>
        </is>
      </c>
      <c r="T51" s="7" t="n">
        <v>0.2</v>
      </c>
      <c r="U51" s="10" t="n">
        <v>-0.68</v>
      </c>
      <c r="V51" s="7" t="inlineStr">
        <is>
          <t>arene ch -1.69 (n=41; winner had it 15 % vs 33 % at random) · aryl halide -1.40 (n=26; winner had it 38 % vs 44 % at random) · acyl substitution -0.57 (n=31; winner had it 26 % vs 34 % at random)</t>
        </is>
      </c>
      <c r="W51" s="7" t="n">
        <v>132</v>
      </c>
      <c r="X51" s="7" t="n">
        <v>83</v>
      </c>
      <c r="Y51" s="9" t="n">
        <v>0.2803</v>
      </c>
      <c r="Z51" s="9" t="n">
        <v>0.3452</v>
      </c>
      <c r="AA51" s="7" t="n"/>
      <c r="AB51" s="7" t="n"/>
      <c r="AC51" s="7" t="n"/>
      <c r="AD51" s="7" t="n"/>
      <c r="AE51" s="7" t="inlineStr">
        <is>
          <t>learned from the training patents (tools/int_train.py)</t>
        </is>
      </c>
      <c r="AF51" s="7" t="inlineStr">
        <is>
          <t>Hansch, Leo, Taft, Chem. Rev. 91, 165 (1991); Clayden, Organic Chemistry (aromatic substitution)</t>
        </is>
      </c>
    </row>
    <row r="52">
      <c r="A52" s="7" t="inlineStr">
        <is>
          <t>I051</t>
        </is>
      </c>
      <c r="B52" s="7" t="inlineStr">
        <is>
          <t>ring-para-nhso2</t>
        </is>
      </c>
      <c r="C52" s="7" t="inlineStr">
        <is>
          <t>sulfonylamino (N–H sulfonamide), para to the reacting aromatic carbon</t>
        </is>
      </c>
      <c r="D52" s="7" t="inlineStr">
        <is>
          <t>ring substituent (position)</t>
        </is>
      </c>
      <c r="E52" s="7" t="inlineStr">
        <is>
          <t>electronic</t>
        </is>
      </c>
      <c r="F52" s="7" t="inlineStr">
        <is>
          <t>aromatic C</t>
        </is>
      </c>
      <c r="G52" s="7" t="inlineStr">
        <is>
          <t>[c;$(c1:a:a:c(-[NX3;H1;!900*][SX4](=O)=O):a:a:1),$([c;r5]:[c;r5]:[c;r5]:[c;r5]-[NX3;H1;!900*][SX4](=O)=O)]</t>
        </is>
      </c>
      <c r="H52" s="7" t="inlineStr">
        <is>
          <t>[c]-[NX3;H1][SX4](=O)=O</t>
        </is>
      </c>
      <c r="I52" s="7" t="inlineStr"/>
      <c r="J52" s="7" t="inlineStr"/>
      <c r="K52" s="7" t="inlineStr"/>
      <c r="L52" s="7" t="inlineStr"/>
      <c r="M52" s="7" t="n"/>
      <c r="N52" s="7" t="inlineStr"/>
      <c r="O52" s="7" t="inlineStr">
        <is>
          <t>yes</t>
        </is>
      </c>
      <c r="P52" s="7" t="inlineStr"/>
      <c r="Q52" s="7" t="inlineStr">
        <is>
          <t>on the ring atom opposite the reacting carbon, inside the same six-membered ring (para)</t>
        </is>
      </c>
      <c r="R52" s="7" t="inlineStr">
        <is>
          <t>donates electrons: speeds electrophilic substitution at the ring carbon, slows nucleophilic attack (SNAr, oxidative addition). At para induction and resonance both act.</t>
        </is>
      </c>
      <c r="S52" s="7" t="inlineStr">
        <is>
          <t>sulfonylamino (N–H sulfonamide) (σp +0.03): the N lone pair is shared with the sulfonyl group: about neutral, a weak ortho/para director</t>
        </is>
      </c>
      <c r="T52" s="7" t="n">
        <v>0.03</v>
      </c>
      <c r="U52" s="10" t="n">
        <v>0.86</v>
      </c>
      <c r="V52" s="7" t="inlineStr">
        <is>
          <t>aryl halide -0.45 (n=33; winner had it 15 % vs 44 % at random)</t>
        </is>
      </c>
      <c r="W52" s="7" t="n">
        <v>98</v>
      </c>
      <c r="X52" s="7" t="n">
        <v>47</v>
      </c>
      <c r="Y52" s="9" t="n">
        <v>0.4388</v>
      </c>
      <c r="Z52" s="9" t="n">
        <v>0.3097</v>
      </c>
      <c r="AA52" s="7" t="n"/>
      <c r="AB52" s="7" t="n"/>
      <c r="AC52" s="7" t="n"/>
      <c r="AD52" s="7" t="n"/>
      <c r="AE52" s="7" t="inlineStr">
        <is>
          <t>learned from the training patents (tools/int_train.py)</t>
        </is>
      </c>
      <c r="AF52" s="7" t="inlineStr">
        <is>
          <t>Hansch, Leo, Taft, Chem. Rev. 91, 165 (1991); Clayden, Organic Chemistry (aromatic substitution)</t>
        </is>
      </c>
    </row>
    <row r="53">
      <c r="A53" s="7" t="inlineStr">
        <is>
          <t>I052</t>
        </is>
      </c>
      <c r="B53" s="7" t="inlineStr">
        <is>
          <t>ring-ortho-nr2</t>
        </is>
      </c>
      <c r="C53" s="7" t="inlineStr">
        <is>
          <t>dialkylamino, ortho to the reacting aromatic carbon</t>
        </is>
      </c>
      <c r="D53" s="7" t="inlineStr">
        <is>
          <t>ring substituent (position)</t>
        </is>
      </c>
      <c r="E53" s="7" t="inlineStr">
        <is>
          <t>electronic</t>
        </is>
      </c>
      <c r="F53" s="7" t="inlineStr">
        <is>
          <t>aromatic C</t>
        </is>
      </c>
      <c r="G53" s="7" t="inlineStr">
        <is>
          <t>[c;$(c:c-[NX3;H0;+0;!$(N-C=O);!$(N-S=O);!$(N(-c)-c);!900*]([#6])[#6])]</t>
        </is>
      </c>
      <c r="H53" s="7" t="inlineStr">
        <is>
          <t>[c]-[NX3;H0;+0;!$(N-C=O);!$(N-S=O);!$(N(-c)-c)]([#6])[#6]</t>
        </is>
      </c>
      <c r="I53" s="7" t="inlineStr"/>
      <c r="J53" s="7" t="inlineStr"/>
      <c r="K53" s="7" t="inlineStr"/>
      <c r="L53" s="7" t="inlineStr"/>
      <c r="M53" s="7" t="n"/>
      <c r="N53" s="7" t="inlineStr"/>
      <c r="O53" s="7" t="inlineStr">
        <is>
          <t>yes</t>
        </is>
      </c>
      <c r="P53" s="7" t="inlineStr"/>
      <c r="Q53" s="7" t="inlineStr">
        <is>
          <t>on the ring atom next to the reacting carbon (ortho)</t>
        </is>
      </c>
      <c r="R53" s="7" t="inlineStr">
        <is>
          <t>donates electrons: speeds electrophilic substitution at the ring carbon, slows nucleophilic attack (SNAr, oxidative addition). At ortho the electronic effect is like para, and the group also crowds the carbon.</t>
        </is>
      </c>
      <c r="S53" s="7" t="inlineStr">
        <is>
          <t>dialkylamino (σp -0.83): the N lone pair donates strongly into the ring (resonance)</t>
        </is>
      </c>
      <c r="T53" s="7" t="n">
        <v>-0.83</v>
      </c>
      <c r="U53" s="10" t="n">
        <v>0.17</v>
      </c>
      <c r="V53" s="7" t="inlineStr">
        <is>
          <t>acyl substitution +1.68 (n=351; winner had it 36 % vs 33 % at random) · arene ch +0.97 (n=208; winner had it 26 % vs 34 % at random) · alkyl substitution -0.60 (n=30; winner had it 20 % vs 35 % at random) · deprotection +0.47 (n=38; winner had it 32 % vs 33 % at random) · carbonyl addition -0.30 (n=40; winner had it 20 % vs 38 % at random)</t>
        </is>
      </c>
      <c r="W53" s="7" t="n">
        <v>990</v>
      </c>
      <c r="X53" s="7" t="n">
        <v>560</v>
      </c>
      <c r="Y53" s="9" t="n">
        <v>0.3141</v>
      </c>
      <c r="Z53" s="9" t="n">
        <v>0.3612</v>
      </c>
      <c r="AA53" s="7" t="n"/>
      <c r="AB53" s="7" t="n"/>
      <c r="AC53" s="7" t="n"/>
      <c r="AD53" s="7" t="n"/>
      <c r="AE53" s="7" t="inlineStr">
        <is>
          <t>learned from the training patents (tools/int_train.py)</t>
        </is>
      </c>
      <c r="AF53" s="7" t="inlineStr">
        <is>
          <t>Hansch, Leo, Taft, Chem. Rev. 91, 165 (1991); Clayden, Organic Chemistry (aromatic substitution)</t>
        </is>
      </c>
    </row>
    <row r="54">
      <c r="A54" s="7" t="inlineStr">
        <is>
          <t>I053</t>
        </is>
      </c>
      <c r="B54" s="7" t="inlineStr">
        <is>
          <t>ring-meta-nr2</t>
        </is>
      </c>
      <c r="C54" s="7" t="inlineStr">
        <is>
          <t>dialkylamino, meta to the reacting aromatic carbon</t>
        </is>
      </c>
      <c r="D54" s="7" t="inlineStr">
        <is>
          <t>ring substituent (position)</t>
        </is>
      </c>
      <c r="E54" s="7" t="inlineStr">
        <is>
          <t>electronic</t>
        </is>
      </c>
      <c r="F54" s="7" t="inlineStr">
        <is>
          <t>aromatic C</t>
        </is>
      </c>
      <c r="G54" s="7" t="inlineStr">
        <is>
          <t>[c;$(c1:a:c(-[NX3;H0;+0;!$(N-C=O);!$(N-S=O);!$(N(-c)-c);!900*]([#6])[#6]):a:a:a:1),$([c;r5]:[c;r5]:[c;r5]-[NX3;H0;+0;!$(N-C=O);!$(N-S=O);!$(N(-c)-c);!900*]([#6])[#6])]</t>
        </is>
      </c>
      <c r="H54" s="7" t="inlineStr">
        <is>
          <t>[c]-[NX3;H0;+0;!$(N-C=O);!$(N-S=O);!$(N(-c)-c)]([#6])[#6]</t>
        </is>
      </c>
      <c r="I54" s="7" t="inlineStr"/>
      <c r="J54" s="7" t="inlineStr"/>
      <c r="K54" s="7" t="inlineStr"/>
      <c r="L54" s="7" t="inlineStr"/>
      <c r="M54" s="7" t="n"/>
      <c r="N54" s="7" t="inlineStr"/>
      <c r="O54" s="7" t="inlineStr">
        <is>
          <t>yes</t>
        </is>
      </c>
      <c r="P54" s="7" t="inlineStr"/>
      <c r="Q54" s="7" t="inlineStr">
        <is>
          <t>on the ring atom two bonds from the reacting carbon, inside the same six-membered ring (meta)</t>
        </is>
      </c>
      <c r="R54" s="7" t="inlineStr">
        <is>
          <t>donates electrons: speeds electrophilic substitution at the ring carbon, slows nucleophilic attack (SNAr, oxidative addition). At meta mostly the inductive part acts; resonance does not reach this position.</t>
        </is>
      </c>
      <c r="S54" s="7" t="inlineStr">
        <is>
          <t>dialkylamino (σm -0.16): the N lone pair donates strongly into the ring (resonance)</t>
        </is>
      </c>
      <c r="T54" s="7" t="n">
        <v>-0.16</v>
      </c>
      <c r="U54" s="10" t="n">
        <v>0.12</v>
      </c>
      <c r="V54" s="7" t="inlineStr">
        <is>
          <t>aryl halide +0.80 (n=248; winner had it 67 % vs 43 % at random) · acyl substitution -0.79 (n=365; winner had it 8 % vs 33 % at random) · deprotection -0.47 (n=27; winner had it 26 % vs 41 % at random) · alkyl substitution +0.46 (n=27; winner had it 52 % vs 38 % at random) · carbonyl addition -0.31 (n=48; winner had it 23 % vs 34 % at random)</t>
        </is>
      </c>
      <c r="W54" s="7" t="n">
        <v>1034</v>
      </c>
      <c r="X54" s="7" t="n">
        <v>578</v>
      </c>
      <c r="Y54" s="9" t="n">
        <v>0.3027</v>
      </c>
      <c r="Z54" s="9" t="n">
        <v>0.3662</v>
      </c>
      <c r="AA54" s="7" t="n"/>
      <c r="AB54" s="7" t="n"/>
      <c r="AC54" s="7" t="n"/>
      <c r="AD54" s="7" t="n"/>
      <c r="AE54" s="7" t="inlineStr">
        <is>
          <t>learned from the training patents (tools/int_train.py)</t>
        </is>
      </c>
      <c r="AF54" s="7" t="inlineStr">
        <is>
          <t>Hansch, Leo, Taft, Chem. Rev. 91, 165 (1991); Clayden, Organic Chemistry (aromatic substitution)</t>
        </is>
      </c>
    </row>
    <row r="55">
      <c r="A55" s="7" t="inlineStr">
        <is>
          <t>I054</t>
        </is>
      </c>
      <c r="B55" s="7" t="inlineStr">
        <is>
          <t>ring-para-nr2</t>
        </is>
      </c>
      <c r="C55" s="7" t="inlineStr">
        <is>
          <t>dialkylamino, para to the reacting aromatic carbon</t>
        </is>
      </c>
      <c r="D55" s="7" t="inlineStr">
        <is>
          <t>ring substituent (position)</t>
        </is>
      </c>
      <c r="E55" s="7" t="inlineStr">
        <is>
          <t>electronic</t>
        </is>
      </c>
      <c r="F55" s="7" t="inlineStr">
        <is>
          <t>aromatic C</t>
        </is>
      </c>
      <c r="G55" s="7" t="inlineStr">
        <is>
          <t>[c;$(c1:a:a:c(-[NX3;H0;+0;!$(N-C=O);!$(N-S=O);!$(N(-c)-c);!900*]([#6])[#6]):a:a:1),$([c;r5]:[c;r5]:[c;r5]:[c;r5]-[NX3;H0;+0;!$(N-C=O);!$(N-S=O);!$(N(-c)-c);!900*]([#6])[#6])]</t>
        </is>
      </c>
      <c r="H55" s="7" t="inlineStr">
        <is>
          <t>[c]-[NX3;H0;+0;!$(N-C=O);!$(N-S=O);!$(N(-c)-c)]([#6])[#6]</t>
        </is>
      </c>
      <c r="I55" s="7" t="inlineStr"/>
      <c r="J55" s="7" t="inlineStr"/>
      <c r="K55" s="7" t="inlineStr"/>
      <c r="L55" s="7" t="inlineStr"/>
      <c r="M55" s="7" t="n"/>
      <c r="N55" s="7" t="inlineStr"/>
      <c r="O55" s="7" t="inlineStr">
        <is>
          <t>yes</t>
        </is>
      </c>
      <c r="P55" s="7" t="inlineStr"/>
      <c r="Q55" s="7" t="inlineStr">
        <is>
          <t>on the ring atom opposite the reacting carbon, inside the same six-membered ring (para)</t>
        </is>
      </c>
      <c r="R55" s="7" t="inlineStr">
        <is>
          <t>donates electrons: speeds electrophilic substitution at the ring carbon, slows nucleophilic attack (SNAr, oxidative addition). At para induction and resonance both act.</t>
        </is>
      </c>
      <c r="S55" s="7" t="inlineStr">
        <is>
          <t>dialkylamino (σp -0.83): the N lone pair donates strongly into the ring (resonance)</t>
        </is>
      </c>
      <c r="T55" s="7" t="n">
        <v>-0.83</v>
      </c>
      <c r="U55" s="10" t="n">
        <v>2.07</v>
      </c>
      <c r="V55" s="7" t="inlineStr">
        <is>
          <t>acyl substitution +4.25 (n=332; winner had it 88 % vs 31 % at random) · arene ch +3.62 (n=142; winner had it 75 % vs 28 % at random) · carbonyl addition +2.39 (n=62; winner had it 85 % vs 34 % at random) · n nucleophile +2.17 (n=83; winner had it 76 % vs 39 % at random) · deprotection +1.78 (n=27; winner had it 70 % vs 37 % at random) · aryl halide +1.09 (n=97; winner had it 53 % vs 36 % at random)</t>
        </is>
      </c>
      <c r="W55" s="7" t="n">
        <v>790</v>
      </c>
      <c r="X55" s="7" t="n">
        <v>440</v>
      </c>
      <c r="Y55" s="9" t="n">
        <v>0.7759</v>
      </c>
      <c r="Z55" s="9" t="n">
        <v>0.3249</v>
      </c>
      <c r="AA55" s="7" t="n"/>
      <c r="AB55" s="7" t="n"/>
      <c r="AC55" s="7" t="n"/>
      <c r="AD55" s="7" t="n"/>
      <c r="AE55" s="7" t="inlineStr">
        <is>
          <t>learned from the training patents (tools/int_train.py)</t>
        </is>
      </c>
      <c r="AF55" s="7" t="inlineStr">
        <is>
          <t>Hansch, Leo, Taft, Chem. Rev. 91, 165 (1991); Clayden, Organic Chemistry (aromatic substitution)</t>
        </is>
      </c>
    </row>
    <row r="56">
      <c r="A56" s="7" t="inlineStr">
        <is>
          <t>I055</t>
        </is>
      </c>
      <c r="B56" s="7" t="inlineStr">
        <is>
          <t>ring-ortho-nh</t>
        </is>
      </c>
      <c r="C56" s="7" t="inlineStr">
        <is>
          <t>amino (NH2, NHR), ortho to the reacting aromatic carbon</t>
        </is>
      </c>
      <c r="D56" s="7" t="inlineStr">
        <is>
          <t>ring substituent (position)</t>
        </is>
      </c>
      <c r="E56" s="7" t="inlineStr">
        <is>
          <t>electronic</t>
        </is>
      </c>
      <c r="F56" s="7" t="inlineStr">
        <is>
          <t>aromatic C</t>
        </is>
      </c>
      <c r="G56" s="7" t="inlineStr">
        <is>
          <t>[c;$(c:c-[NX3;H2,H1;+0;!$(N-[C,S,P]=[O,S,N]);!$(N-[#7,#8]);!900*])]</t>
        </is>
      </c>
      <c r="H56" s="7" t="inlineStr">
        <is>
          <t>[c]-[NX3;H2,H1;+0;!$(N-[C,S,P]=[O,S,N]);!$(N-[#7,#8])]</t>
        </is>
      </c>
      <c r="I56" s="7" t="inlineStr"/>
      <c r="J56" s="7" t="inlineStr"/>
      <c r="K56" s="7" t="inlineStr"/>
      <c r="L56" s="7" t="inlineStr"/>
      <c r="M56" s="7" t="n"/>
      <c r="N56" s="7" t="inlineStr"/>
      <c r="O56" s="7" t="inlineStr">
        <is>
          <t>yes</t>
        </is>
      </c>
      <c r="P56" s="7" t="inlineStr"/>
      <c r="Q56" s="7" t="inlineStr">
        <is>
          <t>on the ring atom next to the reacting carbon (ortho)</t>
        </is>
      </c>
      <c r="R56" s="7" t="inlineStr">
        <is>
          <t>donates electrons: speeds electrophilic substitution at the ring carbon, slows nucleophilic attack (SNAr, oxidative addition). At ortho the electronic effect is like para, and the group also crowds the carbon.</t>
        </is>
      </c>
      <c r="S56" s="7" t="inlineStr">
        <is>
          <t>amino (NH2, NHR) (σp -0.66): the N lone pair donates strongly into the ring (resonance)</t>
        </is>
      </c>
      <c r="T56" s="7" t="n">
        <v>-0.66</v>
      </c>
      <c r="U56" s="10" t="n">
        <v>0.41</v>
      </c>
      <c r="V56" s="7" t="inlineStr">
        <is>
          <t>arene ch +2.65 (n=763; winner had it 69 % vs 36 % at random) · other +2.00 (n=37; winner had it 73 % vs 28 % at random) · acyl substitution +1.98 (n=868; winner had it 59 % vs 37 % at random) · n nucleophile -0.79 (n=193; winner had it 16 % vs 42 % at random) · aryl halide -0.78 (n=1590; winner had it 16 % vs 47 % at random) · redox other -0.37 (n=41; winner had it 22 % vs 36 % at random)</t>
        </is>
      </c>
      <c r="W56" s="7" t="n">
        <v>3828</v>
      </c>
      <c r="X56" s="7" t="n">
        <v>1806</v>
      </c>
      <c r="Y56" s="9" t="n">
        <v>0.3887</v>
      </c>
      <c r="Z56" s="9" t="n">
        <v>0.4101</v>
      </c>
      <c r="AA56" s="7" t="n"/>
      <c r="AB56" s="7" t="n"/>
      <c r="AC56" s="7" t="n"/>
      <c r="AD56" s="7" t="n"/>
      <c r="AE56" s="7" t="inlineStr">
        <is>
          <t>learned from the training patents (tools/int_train.py)</t>
        </is>
      </c>
      <c r="AF56" s="7" t="inlineStr">
        <is>
          <t>Hansch, Leo, Taft, Chem. Rev. 91, 165 (1991); Clayden, Organic Chemistry (aromatic substitution)</t>
        </is>
      </c>
    </row>
    <row r="57">
      <c r="A57" s="7" t="inlineStr">
        <is>
          <t>I056</t>
        </is>
      </c>
      <c r="B57" s="7" t="inlineStr">
        <is>
          <t>ring-meta-nh</t>
        </is>
      </c>
      <c r="C57" s="7" t="inlineStr">
        <is>
          <t>amino (NH2, NHR), meta to the reacting aromatic carbon</t>
        </is>
      </c>
      <c r="D57" s="7" t="inlineStr">
        <is>
          <t>ring substituent (position)</t>
        </is>
      </c>
      <c r="E57" s="7" t="inlineStr">
        <is>
          <t>electronic</t>
        </is>
      </c>
      <c r="F57" s="7" t="inlineStr">
        <is>
          <t>aromatic C</t>
        </is>
      </c>
      <c r="G57" s="7" t="inlineStr">
        <is>
          <t>[c;$(c1:a:c(-[NX3;H2,H1;+0;!$(N-[C,S,P]=[O,S,N]);!$(N-[#7,#8]);!900*]):a:a:a:1),$([c;r5]:[c;r5]:[c;r5]-[NX3;H2,H1;+0;!$(N-[C,S,P]=[O,S,N]);!$(N-[#7,#8]);!900*])]</t>
        </is>
      </c>
      <c r="H57" s="7" t="inlineStr">
        <is>
          <t>[c]-[NX3;H2,H1;+0;!$(N-[C,S,P]=[O,S,N]);!$(N-[#7,#8])]</t>
        </is>
      </c>
      <c r="I57" s="7" t="inlineStr"/>
      <c r="J57" s="7" t="inlineStr"/>
      <c r="K57" s="7" t="inlineStr"/>
      <c r="L57" s="7" t="inlineStr"/>
      <c r="M57" s="7" t="n"/>
      <c r="N57" s="7" t="inlineStr"/>
      <c r="O57" s="7" t="inlineStr">
        <is>
          <t>yes</t>
        </is>
      </c>
      <c r="P57" s="7" t="inlineStr"/>
      <c r="Q57" s="7" t="inlineStr">
        <is>
          <t>on the ring atom two bonds from the reacting carbon, inside the same six-membered ring (meta)</t>
        </is>
      </c>
      <c r="R57" s="7" t="inlineStr">
        <is>
          <t>donates electrons: speeds electrophilic substitution at the ring carbon, slows nucleophilic attack (SNAr, oxidative addition). At meta mostly the inductive part acts; resonance does not reach this position.</t>
        </is>
      </c>
      <c r="S57" s="7" t="inlineStr">
        <is>
          <t>amino (NH2, NHR) (σm -0.16): the N lone pair donates strongly into the ring (resonance)</t>
        </is>
      </c>
      <c r="T57" s="7" t="n">
        <v>-0.16</v>
      </c>
      <c r="U57" s="10" t="n">
        <v>-1.01</v>
      </c>
      <c r="V57" s="7" t="inlineStr">
        <is>
          <t>acyl substitution -2.64 (n=969; winner had it 3 % vs 40 % at random) · carbonyl addition -1.75 (n=142; winner had it 6 % vs 37 % at random) · deprotection -1.73 (n=84; winner had it 10 % vs 36 % at random) · n nucleophile -1.66 (n=208; winner had it 16 % vs 43 % at random) · alkyl substitution -1.52 (n=112; winner had it 14 % vs 41 % at random) · redox other -1.30 (n=34; winner had it 15 % vs 41 % at random)</t>
        </is>
      </c>
      <c r="W57" s="7" t="n">
        <v>4230</v>
      </c>
      <c r="X57" s="7" t="n">
        <v>1970</v>
      </c>
      <c r="Y57" s="9" t="n">
        <v>0.4059</v>
      </c>
      <c r="Z57" s="9" t="n">
        <v>0.4339</v>
      </c>
      <c r="AA57" s="7" t="n"/>
      <c r="AB57" s="7" t="n"/>
      <c r="AC57" s="7" t="n"/>
      <c r="AD57" s="7" t="n"/>
      <c r="AE57" s="7" t="inlineStr">
        <is>
          <t>learned from the training patents (tools/int_train.py)</t>
        </is>
      </c>
      <c r="AF57" s="7" t="inlineStr">
        <is>
          <t>Hansch, Leo, Taft, Chem. Rev. 91, 165 (1991); Clayden, Organic Chemistry (aromatic substitution)</t>
        </is>
      </c>
    </row>
    <row r="58">
      <c r="A58" s="7" t="inlineStr">
        <is>
          <t>I057</t>
        </is>
      </c>
      <c r="B58" s="7" t="inlineStr">
        <is>
          <t>ring-para-nh</t>
        </is>
      </c>
      <c r="C58" s="7" t="inlineStr">
        <is>
          <t>amino (NH2, NHR), para to the reacting aromatic carbon</t>
        </is>
      </c>
      <c r="D58" s="7" t="inlineStr">
        <is>
          <t>ring substituent (position)</t>
        </is>
      </c>
      <c r="E58" s="7" t="inlineStr">
        <is>
          <t>electronic</t>
        </is>
      </c>
      <c r="F58" s="7" t="inlineStr">
        <is>
          <t>aromatic C</t>
        </is>
      </c>
      <c r="G58" s="7" t="inlineStr">
        <is>
          <t>[c;$(c1:a:a:c(-[NX3;H2,H1;+0;!$(N-[C,S,P]=[O,S,N]);!$(N-[#7,#8]);!900*]):a:a:1),$([c;r5]:[c;r5]:[c;r5]:[c;r5]-[NX3;H2,H1;+0;!$(N-[C,S,P]=[O,S,N]);!$(N-[#7,#8]);!900*])]</t>
        </is>
      </c>
      <c r="H58" s="7" t="inlineStr">
        <is>
          <t>[c]-[NX3;H2,H1;+0;!$(N-[C,S,P]=[O,S,N]);!$(N-[#7,#8])]</t>
        </is>
      </c>
      <c r="I58" s="7" t="inlineStr"/>
      <c r="J58" s="7" t="inlineStr"/>
      <c r="K58" s="7" t="inlineStr"/>
      <c r="L58" s="7" t="inlineStr"/>
      <c r="M58" s="7" t="n"/>
      <c r="N58" s="7" t="inlineStr"/>
      <c r="O58" s="7" t="inlineStr">
        <is>
          <t>yes</t>
        </is>
      </c>
      <c r="P58" s="7" t="inlineStr"/>
      <c r="Q58" s="7" t="inlineStr">
        <is>
          <t>on the ring atom opposite the reacting carbon, inside the same six-membered ring (para)</t>
        </is>
      </c>
      <c r="R58" s="7" t="inlineStr">
        <is>
          <t>donates electrons: speeds electrophilic substitution at the ring carbon, slows nucleophilic attack (SNAr, oxidative addition). At para induction and resonance both act.</t>
        </is>
      </c>
      <c r="S58" s="7" t="inlineStr">
        <is>
          <t>amino (NH2, NHR) (σp -0.66): the N lone pair donates strongly into the ring (resonance)</t>
        </is>
      </c>
      <c r="T58" s="7" t="n">
        <v>-0.66</v>
      </c>
      <c r="U58" s="10" t="n">
        <v>0.99</v>
      </c>
      <c r="V58" s="7" t="inlineStr">
        <is>
          <t>arene ch +3.76 (n=410; winner had it 73 % vs 30 % at random) · acyl substitution +3.68 (n=622; winner had it 77 % vs 32 % at random) · other +1.83 (n=27; winner had it 48 % vs 28 % at random) · aryl halide -1.57 (n=647; winner had it 11 % vs 40 % at random) · redox other +1.14 (n=36; winner had it 64 % vs 35 % at random) · carbonyl addition +0.77 (n=99; winner had it 31 % vs 33 % at random)</t>
        </is>
      </c>
      <c r="W58" s="7" t="n">
        <v>2220</v>
      </c>
      <c r="X58" s="7" t="n">
        <v>1326</v>
      </c>
      <c r="Y58" s="9" t="n">
        <v>0.4671</v>
      </c>
      <c r="Z58" s="9" t="n">
        <v>0.3525</v>
      </c>
      <c r="AA58" s="7" t="n"/>
      <c r="AB58" s="7" t="n"/>
      <c r="AC58" s="7" t="n"/>
      <c r="AD58" s="7" t="n"/>
      <c r="AE58" s="7" t="inlineStr">
        <is>
          <t>learned from the training patents (tools/int_train.py)</t>
        </is>
      </c>
      <c r="AF58" s="7" t="inlineStr">
        <is>
          <t>Hansch, Leo, Taft, Chem. Rev. 91, 165 (1991); Clayden, Organic Chemistry (aromatic substitution)</t>
        </is>
      </c>
    </row>
    <row r="59">
      <c r="A59" s="7" t="inlineStr">
        <is>
          <t>I058</t>
        </is>
      </c>
      <c r="B59" s="7" t="inlineStr">
        <is>
          <t>ring-ortho-oh</t>
        </is>
      </c>
      <c r="C59" s="7" t="inlineStr">
        <is>
          <t>hydroxy, ortho to the reacting aromatic carbon</t>
        </is>
      </c>
      <c r="D59" s="7" t="inlineStr">
        <is>
          <t>ring substituent (position)</t>
        </is>
      </c>
      <c r="E59" s="7" t="inlineStr">
        <is>
          <t>electronic</t>
        </is>
      </c>
      <c r="F59" s="7" t="inlineStr">
        <is>
          <t>aromatic C</t>
        </is>
      </c>
      <c r="G59" s="7" t="inlineStr">
        <is>
          <t>[c;$(c:c-[OX2H1;!900*])]</t>
        </is>
      </c>
      <c r="H59" s="7" t="inlineStr">
        <is>
          <t>[c]-[OX2H1]</t>
        </is>
      </c>
      <c r="I59" s="7" t="inlineStr"/>
      <c r="J59" s="7" t="inlineStr"/>
      <c r="K59" s="7" t="inlineStr"/>
      <c r="L59" s="7" t="inlineStr"/>
      <c r="M59" s="7" t="n"/>
      <c r="N59" s="7" t="inlineStr"/>
      <c r="O59" s="7" t="inlineStr">
        <is>
          <t>yes</t>
        </is>
      </c>
      <c r="P59" s="7" t="inlineStr"/>
      <c r="Q59" s="7" t="inlineStr">
        <is>
          <t>on the ring atom next to the reacting carbon (ortho)</t>
        </is>
      </c>
      <c r="R59" s="7" t="inlineStr">
        <is>
          <t>donates electrons: speeds electrophilic substitution at the ring carbon, slows nucleophilic attack (SNAr, oxidative addition). At ortho the electronic effect is like para, and the group also crowds the carbon.</t>
        </is>
      </c>
      <c r="S59" s="7" t="inlineStr">
        <is>
          <t>hydroxy (σp -0.37): the O lone pair donates into the ring (resonance)</t>
        </is>
      </c>
      <c r="T59" s="7" t="n">
        <v>-0.37</v>
      </c>
      <c r="U59" s="10" t="n">
        <v>1.12</v>
      </c>
      <c r="V59" s="7" t="inlineStr">
        <is>
          <t>arene ch +2.95 (n=1015; winner had it 80 % vs 39 % at random) · other +2.28 (n=79; winner had it 73 % vs 23 % at random) · carbonyl addition +2.04 (n=430; winner had it 80 % vs 42 % at random) · acyl substitution +1.72 (n=905; winner had it 71 % vs 42 % at random) · n nucleophile +1.50 (n=107; winner had it 60 % vs 35 % at random) · redox other +1.09 (n=35; winner had it 60 % vs 37 % at random)</t>
        </is>
      </c>
      <c r="W59" s="7" t="n">
        <v>3499</v>
      </c>
      <c r="X59" s="7" t="n">
        <v>2055</v>
      </c>
      <c r="Y59" s="9" t="n">
        <v>0.6933</v>
      </c>
      <c r="Z59" s="9" t="n">
        <v>0.4034</v>
      </c>
      <c r="AA59" s="7" t="n"/>
      <c r="AB59" s="7" t="n"/>
      <c r="AC59" s="7" t="n"/>
      <c r="AD59" s="7" t="n"/>
      <c r="AE59" s="7" t="inlineStr">
        <is>
          <t>learned from the training patents (tools/int_train.py)</t>
        </is>
      </c>
      <c r="AF59" s="7" t="inlineStr">
        <is>
          <t>Hansch, Leo, Taft, Chem. Rev. 91, 165 (1991); Clayden, Organic Chemistry (aromatic substitution)</t>
        </is>
      </c>
    </row>
    <row r="60">
      <c r="A60" s="7" t="inlineStr">
        <is>
          <t>I059</t>
        </is>
      </c>
      <c r="B60" s="7" t="inlineStr">
        <is>
          <t>ring-meta-oh</t>
        </is>
      </c>
      <c r="C60" s="7" t="inlineStr">
        <is>
          <t>hydroxy, meta to the reacting aromatic carbon</t>
        </is>
      </c>
      <c r="D60" s="7" t="inlineStr">
        <is>
          <t>ring substituent (position)</t>
        </is>
      </c>
      <c r="E60" s="7" t="inlineStr">
        <is>
          <t>electronic</t>
        </is>
      </c>
      <c r="F60" s="7" t="inlineStr">
        <is>
          <t>aromatic C</t>
        </is>
      </c>
      <c r="G60" s="7" t="inlineStr">
        <is>
          <t>[c;$(c1:a:c(-[OX2H1;!900*]):a:a:a:1),$([c;r5]:[c;r5]:[c;r5]-[OX2H1;!900*])]</t>
        </is>
      </c>
      <c r="H60" s="7" t="inlineStr">
        <is>
          <t>[c]-[OX2H1]</t>
        </is>
      </c>
      <c r="I60" s="7" t="inlineStr"/>
      <c r="J60" s="7" t="inlineStr"/>
      <c r="K60" s="7" t="inlineStr"/>
      <c r="L60" s="7" t="inlineStr"/>
      <c r="M60" s="7" t="n"/>
      <c r="N60" s="7" t="inlineStr"/>
      <c r="O60" s="7" t="inlineStr">
        <is>
          <t>yes</t>
        </is>
      </c>
      <c r="P60" s="7" t="inlineStr"/>
      <c r="Q60" s="7" t="inlineStr">
        <is>
          <t>on the ring atom two bonds from the reacting carbon, inside the same six-membered ring (meta)</t>
        </is>
      </c>
      <c r="R60" s="7" t="inlineStr">
        <is>
          <t>donates electrons: speeds electrophilic substitution at the ring carbon, slows nucleophilic attack (SNAr, oxidative addition). At meta mostly the inductive part acts; resonance does not reach this position.</t>
        </is>
      </c>
      <c r="S60" s="7" t="inlineStr">
        <is>
          <t>hydroxy (σm +0.12): the O lone pair donates into the ring (resonance)</t>
        </is>
      </c>
      <c r="T60" s="7" t="n">
        <v>0.12</v>
      </c>
      <c r="U60" s="10" t="n">
        <v>-1.82</v>
      </c>
      <c r="V60" s="7" t="inlineStr">
        <is>
          <t>acyl substitution -2.91 (n=788; winner had it 4 % vs 39 % at random) · alkyl substitution -2.66 (n=153; winner had it 5 % vs 44 % at random) · carbonyl addition -2.50 (n=395; winner had it 3 % vs 38 % at random) · aryl halide -2.45 (n=173; winner had it 12 % vs 42 % at random) · deprotection -2.37 (n=158; winner had it 9 % vs 39 % at random) · o nucleophile -1.70 (n=287; winner had it 9 % vs 42 % at random)</t>
        </is>
      </c>
      <c r="W60" s="7" t="n">
        <v>3281</v>
      </c>
      <c r="X60" s="7" t="n">
        <v>1949</v>
      </c>
      <c r="Y60" s="9" t="n">
        <v>0.0485</v>
      </c>
      <c r="Z60" s="9" t="n">
        <v>0.396</v>
      </c>
      <c r="AA60" s="7" t="n"/>
      <c r="AB60" s="7" t="n"/>
      <c r="AC60" s="7" t="n"/>
      <c r="AD60" s="7" t="n"/>
      <c r="AE60" s="7" t="inlineStr">
        <is>
          <t>learned from the training patents (tools/int_train.py)</t>
        </is>
      </c>
      <c r="AF60" s="7" t="inlineStr">
        <is>
          <t>Hansch, Leo, Taft, Chem. Rev. 91, 165 (1991); Clayden, Organic Chemistry (aromatic substitution)</t>
        </is>
      </c>
    </row>
    <row r="61">
      <c r="A61" s="7" t="inlineStr">
        <is>
          <t>I060</t>
        </is>
      </c>
      <c r="B61" s="7" t="inlineStr">
        <is>
          <t>ring-para-oh</t>
        </is>
      </c>
      <c r="C61" s="7" t="inlineStr">
        <is>
          <t>hydroxy, para to the reacting aromatic carbon</t>
        </is>
      </c>
      <c r="D61" s="7" t="inlineStr">
        <is>
          <t>ring substituent (position)</t>
        </is>
      </c>
      <c r="E61" s="7" t="inlineStr">
        <is>
          <t>electronic</t>
        </is>
      </c>
      <c r="F61" s="7" t="inlineStr">
        <is>
          <t>aromatic C</t>
        </is>
      </c>
      <c r="G61" s="7" t="inlineStr">
        <is>
          <t>[c;$(c1:a:a:c(-[OX2H1;!900*]):a:a:1),$([c;r5]:[c;r5]:[c;r5]:[c;r5]-[OX2H1;!900*])]</t>
        </is>
      </c>
      <c r="H61" s="7" t="inlineStr">
        <is>
          <t>[c]-[OX2H1]</t>
        </is>
      </c>
      <c r="I61" s="7" t="inlineStr"/>
      <c r="J61" s="7" t="inlineStr"/>
      <c r="K61" s="7" t="inlineStr"/>
      <c r="L61" s="7" t="inlineStr"/>
      <c r="M61" s="7" t="n"/>
      <c r="N61" s="7" t="inlineStr"/>
      <c r="O61" s="7" t="inlineStr">
        <is>
          <t>yes</t>
        </is>
      </c>
      <c r="P61" s="7" t="inlineStr"/>
      <c r="Q61" s="7" t="inlineStr">
        <is>
          <t>on the ring atom opposite the reacting carbon, inside the same six-membered ring (para)</t>
        </is>
      </c>
      <c r="R61" s="7" t="inlineStr">
        <is>
          <t>donates electrons: speeds electrophilic substitution at the ring carbon, slows nucleophilic attack (SNAr, oxidative addition). At para induction and resonance both act.</t>
        </is>
      </c>
      <c r="S61" s="7" t="inlineStr">
        <is>
          <t>hydroxy (σp -0.37): the O lone pair donates into the ring (resonance)</t>
        </is>
      </c>
      <c r="T61" s="7" t="n">
        <v>-0.37</v>
      </c>
      <c r="U61" s="10" t="n">
        <v>1.53</v>
      </c>
      <c r="V61" s="7" t="inlineStr">
        <is>
          <t>arene ch +3.30 (n=494; winner had it 61 % vs 31 % at random) · n nucleophile +2.66 (n=85; winner had it 79 % vs 32 % at random) · other +2.48 (n=33; winner had it 52 % vs 22 % at random) · unsaturated +2.11 (n=56; winner had it 79 % vs 41 % at random) · acyl substitution +2.07 (n=594; winner had it 62 % vs 36 % at random) · redox other +1.68 (n=31; winner had it 71 % vs 36 % at random)</t>
        </is>
      </c>
      <c r="W61" s="7" t="n">
        <v>2187</v>
      </c>
      <c r="X61" s="7" t="n">
        <v>1434</v>
      </c>
      <c r="Y61" s="9" t="n">
        <v>0.5263</v>
      </c>
      <c r="Z61" s="9" t="n">
        <v>0.359</v>
      </c>
      <c r="AA61" s="7" t="n"/>
      <c r="AB61" s="7" t="n"/>
      <c r="AC61" s="7" t="n"/>
      <c r="AD61" s="7" t="n"/>
      <c r="AE61" s="7" t="inlineStr">
        <is>
          <t>learned from the training patents (tools/int_train.py)</t>
        </is>
      </c>
      <c r="AF61" s="7" t="inlineStr">
        <is>
          <t>Hansch, Leo, Taft, Chem. Rev. 91, 165 (1991); Clayden, Organic Chemistry (aromatic substitution)</t>
        </is>
      </c>
    </row>
    <row r="62">
      <c r="A62" s="7" t="inlineStr">
        <is>
          <t>I061</t>
        </is>
      </c>
      <c r="B62" s="7" t="inlineStr">
        <is>
          <t>ring-ortho-or</t>
        </is>
      </c>
      <c r="C62" s="7" t="inlineStr">
        <is>
          <t>alkoxy, ortho to the reacting aromatic carbon</t>
        </is>
      </c>
      <c r="D62" s="7" t="inlineStr">
        <is>
          <t>ring substituent (position)</t>
        </is>
      </c>
      <c r="E62" s="7" t="inlineStr">
        <is>
          <t>electronic</t>
        </is>
      </c>
      <c r="F62" s="7" t="inlineStr">
        <is>
          <t>aromatic C</t>
        </is>
      </c>
      <c r="G62" s="7" t="inlineStr">
        <is>
          <t>[c;$(c:c-[OX2;!900*][CX4;!$(C(F)(F)F)])]</t>
        </is>
      </c>
      <c r="H62" s="7" t="inlineStr">
        <is>
          <t>[c]-[OX2][CX4;!$(C(F)(F)F)]</t>
        </is>
      </c>
      <c r="I62" s="7" t="inlineStr"/>
      <c r="J62" s="7" t="inlineStr"/>
      <c r="K62" s="7" t="inlineStr"/>
      <c r="L62" s="7" t="inlineStr"/>
      <c r="M62" s="7" t="n"/>
      <c r="N62" s="7" t="inlineStr"/>
      <c r="O62" s="7" t="inlineStr">
        <is>
          <t>yes</t>
        </is>
      </c>
      <c r="P62" s="7" t="inlineStr"/>
      <c r="Q62" s="7" t="inlineStr">
        <is>
          <t>on the ring atom next to the reacting carbon (ortho)</t>
        </is>
      </c>
      <c r="R62" s="7" t="inlineStr">
        <is>
          <t>donates electrons: speeds electrophilic substitution at the ring carbon, slows nucleophilic attack (SNAr, oxidative addition). At ortho the electronic effect is like para, and the group also crowds the carbon.</t>
        </is>
      </c>
      <c r="S62" s="7" t="inlineStr">
        <is>
          <t>alkoxy (σp -0.27): the O lone pair donates into the ring (resonance)</t>
        </is>
      </c>
      <c r="T62" s="7" t="n">
        <v>-0.27</v>
      </c>
      <c r="U62" s="10" t="n">
        <v>0.04</v>
      </c>
      <c r="V62" s="7" t="inlineStr">
        <is>
          <t>carbonyl addition -1.52 (n=839; winner had it 9 % vs 46 % at random) · other +1.01 (n=147; winner had it 37 % vs 24 % at random) · o nucleophile +0.99 (n=205; winner had it 52 % vs 46 % at random) · acyl substitution +0.70 (n=2002; winner had it 32 % vs 38 % at random) · aryl halide -0.60 (n=898; winner had it 30 % vs 46 % at random) · arene ch +0.59 (n=1695; winner had it 37 % vs 40 % at random)</t>
        </is>
      </c>
      <c r="W62" s="7" t="n">
        <v>7168</v>
      </c>
      <c r="X62" s="7" t="n">
        <v>3841</v>
      </c>
      <c r="Y62" s="9" t="n">
        <v>0.2999</v>
      </c>
      <c r="Z62" s="9" t="n">
        <v>0.415</v>
      </c>
      <c r="AA62" s="7" t="n"/>
      <c r="AB62" s="7" t="n"/>
      <c r="AC62" s="7" t="n"/>
      <c r="AD62" s="7" t="n"/>
      <c r="AE62" s="7" t="inlineStr">
        <is>
          <t>learned from the training patents (tools/int_train.py)</t>
        </is>
      </c>
      <c r="AF62" s="7" t="inlineStr">
        <is>
          <t>Hansch, Leo, Taft, Chem. Rev. 91, 165 (1991); Clayden, Organic Chemistry (aromatic substitution)</t>
        </is>
      </c>
    </row>
    <row r="63">
      <c r="A63" s="7" t="inlineStr">
        <is>
          <t>I062</t>
        </is>
      </c>
      <c r="B63" s="7" t="inlineStr">
        <is>
          <t>ring-meta-or</t>
        </is>
      </c>
      <c r="C63" s="7" t="inlineStr">
        <is>
          <t>alkoxy, meta to the reacting aromatic carbon</t>
        </is>
      </c>
      <c r="D63" s="7" t="inlineStr">
        <is>
          <t>ring substituent (position)</t>
        </is>
      </c>
      <c r="E63" s="7" t="inlineStr">
        <is>
          <t>electronic</t>
        </is>
      </c>
      <c r="F63" s="7" t="inlineStr">
        <is>
          <t>aromatic C</t>
        </is>
      </c>
      <c r="G63" s="7" t="inlineStr">
        <is>
          <t>[c;$(c1:a:c(-[OX2;!900*][CX4;!$(C(F)(F)F)]):a:a:a:1),$([c;r5]:[c;r5]:[c;r5]-[OX2;!900*][CX4;!$(C(F)(F)F)])]</t>
        </is>
      </c>
      <c r="H63" s="7" t="inlineStr">
        <is>
          <t>[c]-[OX2][CX4;!$(C(F)(F)F)]</t>
        </is>
      </c>
      <c r="I63" s="7" t="inlineStr"/>
      <c r="J63" s="7" t="inlineStr"/>
      <c r="K63" s="7" t="inlineStr"/>
      <c r="L63" s="7" t="inlineStr"/>
      <c r="M63" s="7" t="n"/>
      <c r="N63" s="7" t="inlineStr"/>
      <c r="O63" s="7" t="inlineStr">
        <is>
          <t>yes</t>
        </is>
      </c>
      <c r="P63" s="7" t="inlineStr"/>
      <c r="Q63" s="7" t="inlineStr">
        <is>
          <t>on the ring atom two bonds from the reacting carbon, inside the same six-membered ring (meta)</t>
        </is>
      </c>
      <c r="R63" s="7" t="inlineStr">
        <is>
          <t>donates electrons: speeds electrophilic substitution at the ring carbon, slows nucleophilic attack (SNAr, oxidative addition). At meta mostly the inductive part acts; resonance does not reach this position.</t>
        </is>
      </c>
      <c r="S63" s="7" t="inlineStr">
        <is>
          <t>alkoxy (σm +0.12): the O lone pair donates into the ring (resonance)</t>
        </is>
      </c>
      <c r="T63" s="7" t="n">
        <v>0.12</v>
      </c>
      <c r="U63" s="10" t="n">
        <v>-0.42</v>
      </c>
      <c r="V63" s="7" t="inlineStr">
        <is>
          <t>carbonyl addition -1.25 (n=632; winner had it 11 % vs 44 % at random) · aryl halide -0.87 (n=630; winner had it 33 % vs 44 % at random) · acyl substitution -0.83 (n=1612; winner had it 16 % vs 34 % at random) · o nucleophile +0.78 (n=169; winner had it 64 % vs 43 % at random) · alkyl substitution -0.68 (n=370; winner had it 26 % vs 42 % at random) · arene ch -0.68 (n=1541; winner had it 20 % vs 38 % at random)</t>
        </is>
      </c>
      <c r="W63" s="7" t="n">
        <v>5634</v>
      </c>
      <c r="X63" s="7" t="n">
        <v>3154</v>
      </c>
      <c r="Y63" s="9" t="n">
        <v>0.2204</v>
      </c>
      <c r="Z63" s="9" t="n">
        <v>0.3825</v>
      </c>
      <c r="AA63" s="7" t="n"/>
      <c r="AB63" s="7" t="n"/>
      <c r="AC63" s="7" t="n"/>
      <c r="AD63" s="7" t="n"/>
      <c r="AE63" s="7" t="inlineStr">
        <is>
          <t>learned from the training patents (tools/int_train.py)</t>
        </is>
      </c>
      <c r="AF63" s="7" t="inlineStr">
        <is>
          <t>Hansch, Leo, Taft, Chem. Rev. 91, 165 (1991); Clayden, Organic Chemistry (aromatic substitution)</t>
        </is>
      </c>
    </row>
    <row r="64">
      <c r="A64" s="7" t="inlineStr">
        <is>
          <t>I063</t>
        </is>
      </c>
      <c r="B64" s="7" t="inlineStr">
        <is>
          <t>ring-para-or</t>
        </is>
      </c>
      <c r="C64" s="7" t="inlineStr">
        <is>
          <t>alkoxy, para to the reacting aromatic carbon</t>
        </is>
      </c>
      <c r="D64" s="7" t="inlineStr">
        <is>
          <t>ring substituent (position)</t>
        </is>
      </c>
      <c r="E64" s="7" t="inlineStr">
        <is>
          <t>electronic</t>
        </is>
      </c>
      <c r="F64" s="7" t="inlineStr">
        <is>
          <t>aromatic C</t>
        </is>
      </c>
      <c r="G64" s="7" t="inlineStr">
        <is>
          <t>[c;$(c1:a:a:c(-[OX2;!900*][CX4;!$(C(F)(F)F)]):a:a:1),$([c;r5]:[c;r5]:[c;r5]:[c;r5]-[OX2;!900*][CX4;!$(C(F)(F)F)])]</t>
        </is>
      </c>
      <c r="H64" s="7" t="inlineStr">
        <is>
          <t>[c]-[OX2][CX4;!$(C(F)(F)F)]</t>
        </is>
      </c>
      <c r="I64" s="7" t="inlineStr"/>
      <c r="J64" s="7" t="inlineStr"/>
      <c r="K64" s="7" t="inlineStr"/>
      <c r="L64" s="7" t="inlineStr"/>
      <c r="M64" s="7" t="n"/>
      <c r="N64" s="7" t="inlineStr"/>
      <c r="O64" s="7" t="inlineStr">
        <is>
          <t>yes</t>
        </is>
      </c>
      <c r="P64" s="7" t="inlineStr"/>
      <c r="Q64" s="7" t="inlineStr">
        <is>
          <t>on the ring atom opposite the reacting carbon, inside the same six-membered ring (para)</t>
        </is>
      </c>
      <c r="R64" s="7" t="inlineStr">
        <is>
          <t>donates electrons: speeds electrophilic substitution at the ring carbon, slows nucleophilic attack (SNAr, oxidative addition). At para induction and resonance both act.</t>
        </is>
      </c>
      <c r="S64" s="7" t="inlineStr">
        <is>
          <t>alkoxy (σp -0.27): the O lone pair donates into the ring (resonance)</t>
        </is>
      </c>
      <c r="T64" s="7" t="n">
        <v>-0.27</v>
      </c>
      <c r="U64" s="10" t="n">
        <v>1.36</v>
      </c>
      <c r="V64" s="7" t="inlineStr">
        <is>
          <t>arene ch +2.69 (n=1021; winner had it 71 % vs 32 % at random) · acyl substitution +2.64 (n=1344; winner had it 67 % vs 33 % at random) · other +2.27 (n=86; winner had it 58 % vs 22 % at random) · o nucleophile +2.11 (n=205; winner had it 77 % vs 42 % at random) · unsaturated +1.77 (n=42; winner had it 86 % vs 46 % at random) · redox other +1.51 (n=34; winner had it 68 % vs 42 % at random)</t>
        </is>
      </c>
      <c r="W64" s="7" t="n">
        <v>4375</v>
      </c>
      <c r="X64" s="7" t="n">
        <v>2551</v>
      </c>
      <c r="Y64" s="9" t="n">
        <v>0.5822000000000001</v>
      </c>
      <c r="Z64" s="9" t="n">
        <v>0.3654</v>
      </c>
      <c r="AA64" s="7" t="n"/>
      <c r="AB64" s="7" t="n"/>
      <c r="AC64" s="7" t="n"/>
      <c r="AD64" s="7" t="n"/>
      <c r="AE64" s="7" t="inlineStr">
        <is>
          <t>learned from the training patents (tools/int_train.py)</t>
        </is>
      </c>
      <c r="AF64" s="7" t="inlineStr">
        <is>
          <t>Hansch, Leo, Taft, Chem. Rev. 91, 165 (1991); Clayden, Organic Chemistry (aromatic substitution)</t>
        </is>
      </c>
    </row>
    <row r="65">
      <c r="A65" s="7" t="inlineStr">
        <is>
          <t>I064</t>
        </is>
      </c>
      <c r="B65" s="7" t="inlineStr">
        <is>
          <t>ring-ortho-oar</t>
        </is>
      </c>
      <c r="C65" s="7" t="inlineStr">
        <is>
          <t>aryloxy, ortho to the reacting aromatic carbon</t>
        </is>
      </c>
      <c r="D65" s="7" t="inlineStr">
        <is>
          <t>ring substituent (position)</t>
        </is>
      </c>
      <c r="E65" s="7" t="inlineStr">
        <is>
          <t>electronic</t>
        </is>
      </c>
      <c r="F65" s="7" t="inlineStr">
        <is>
          <t>aromatic C</t>
        </is>
      </c>
      <c r="G65" s="7" t="inlineStr">
        <is>
          <t>[c;$(c:c-[OX2;!900*]c)]</t>
        </is>
      </c>
      <c r="H65" s="7" t="inlineStr">
        <is>
          <t>[c]-[OX2]c</t>
        </is>
      </c>
      <c r="I65" s="7" t="inlineStr"/>
      <c r="J65" s="7" t="inlineStr"/>
      <c r="K65" s="7" t="inlineStr"/>
      <c r="L65" s="7" t="inlineStr"/>
      <c r="M65" s="7" t="n"/>
      <c r="N65" s="7" t="inlineStr"/>
      <c r="O65" s="7" t="inlineStr">
        <is>
          <t>yes</t>
        </is>
      </c>
      <c r="P65" s="7" t="inlineStr"/>
      <c r="Q65" s="7" t="inlineStr">
        <is>
          <t>on the ring atom next to the reacting carbon (ortho)</t>
        </is>
      </c>
      <c r="R65" s="7" t="inlineStr">
        <is>
          <t>donates electrons: speeds electrophilic substitution at the ring carbon, slows nucleophilic attack (SNAr, oxidative addition). At ortho the electronic effect is like para, and the group also crowds the carbon.</t>
        </is>
      </c>
      <c r="S65" s="7" t="inlineStr">
        <is>
          <t>aryloxy (σp -0.03): the O lone pair is shared with two rings: a weak donor</t>
        </is>
      </c>
      <c r="T65" s="7" t="n">
        <v>-0.03</v>
      </c>
      <c r="U65" s="10" t="n">
        <v>-0.2</v>
      </c>
      <c r="V65" s="7" t="inlineStr">
        <is>
          <t>arene ch -0.92 (n=95; winner had it 12 % vs 37 % at random) · deprotection -0.92 (n=37; winner had it 11 % vs 36 % at random) · acyl substitution +0.38 (n=159; winner had it 27 % vs 36 % at random)</t>
        </is>
      </c>
      <c r="W65" s="7" t="n">
        <v>530</v>
      </c>
      <c r="X65" s="7" t="n">
        <v>304</v>
      </c>
      <c r="Y65" s="9" t="n">
        <v>0.2358</v>
      </c>
      <c r="Z65" s="9" t="n">
        <v>0.3836</v>
      </c>
      <c r="AA65" s="7" t="n"/>
      <c r="AB65" s="7" t="n"/>
      <c r="AC65" s="7" t="n"/>
      <c r="AD65" s="7" t="n"/>
      <c r="AE65" s="7" t="inlineStr">
        <is>
          <t>learned from the training patents (tools/int_train.py)</t>
        </is>
      </c>
      <c r="AF65" s="7" t="inlineStr">
        <is>
          <t>Hansch, Leo, Taft, Chem. Rev. 91, 165 (1991); Clayden, Organic Chemistry (aromatic substitution)</t>
        </is>
      </c>
    </row>
    <row r="66">
      <c r="A66" s="7" t="inlineStr">
        <is>
          <t>I065</t>
        </is>
      </c>
      <c r="B66" s="7" t="inlineStr">
        <is>
          <t>ring-meta-oar</t>
        </is>
      </c>
      <c r="C66" s="7" t="inlineStr">
        <is>
          <t>aryloxy, meta to the reacting aromatic carbon</t>
        </is>
      </c>
      <c r="D66" s="7" t="inlineStr">
        <is>
          <t>ring substituent (position)</t>
        </is>
      </c>
      <c r="E66" s="7" t="inlineStr">
        <is>
          <t>electronic</t>
        </is>
      </c>
      <c r="F66" s="7" t="inlineStr">
        <is>
          <t>aromatic C</t>
        </is>
      </c>
      <c r="G66" s="7" t="inlineStr">
        <is>
          <t>[c;$(c1:a:c(-[OX2;!900*]c):a:a:a:1),$([c;r5]:[c;r5]:[c;r5]-[OX2;!900*]c)]</t>
        </is>
      </c>
      <c r="H66" s="7" t="inlineStr">
        <is>
          <t>[c]-[OX2]c</t>
        </is>
      </c>
      <c r="I66" s="7" t="inlineStr"/>
      <c r="J66" s="7" t="inlineStr"/>
      <c r="K66" s="7" t="inlineStr"/>
      <c r="L66" s="7" t="inlineStr"/>
      <c r="M66" s="7" t="n"/>
      <c r="N66" s="7" t="inlineStr"/>
      <c r="O66" s="7" t="inlineStr">
        <is>
          <t>yes</t>
        </is>
      </c>
      <c r="P66" s="7" t="inlineStr"/>
      <c r="Q66" s="7" t="inlineStr">
        <is>
          <t>on the ring atom two bonds from the reacting carbon, inside the same six-membered ring (meta)</t>
        </is>
      </c>
      <c r="R66" s="7" t="inlineStr">
        <is>
          <t>donates electrons: speeds electrophilic substitution at the ring carbon, slows nucleophilic attack (SNAr, oxidative addition). At meta mostly the inductive part acts; resonance does not reach this position.</t>
        </is>
      </c>
      <c r="S66" s="7" t="inlineStr">
        <is>
          <t>aryloxy (σm +0.25): the O lone pair is shared with two rings: a weak donor</t>
        </is>
      </c>
      <c r="T66" s="7" t="n">
        <v>0.25</v>
      </c>
      <c r="U66" s="10" t="n">
        <v>0.1</v>
      </c>
      <c r="V66" s="7" t="inlineStr">
        <is>
          <t>deprotection -1.11 (n=31; winner had it 16 % vs 38 % at random) · arene ch -0.20 (n=96; winner had it 44 % vs 44 % at random)</t>
        </is>
      </c>
      <c r="W66" s="7" t="n">
        <v>535</v>
      </c>
      <c r="X66" s="7" t="n">
        <v>294</v>
      </c>
      <c r="Y66" s="9" t="n">
        <v>0.4561</v>
      </c>
      <c r="Z66" s="9" t="n">
        <v>0.4206</v>
      </c>
      <c r="AA66" s="7" t="n"/>
      <c r="AB66" s="7" t="n"/>
      <c r="AC66" s="7" t="n"/>
      <c r="AD66" s="7" t="n"/>
      <c r="AE66" s="7" t="inlineStr">
        <is>
          <t>learned from the training patents (tools/int_train.py)</t>
        </is>
      </c>
      <c r="AF66" s="7" t="inlineStr">
        <is>
          <t>Hansch, Leo, Taft, Chem. Rev. 91, 165 (1991); Clayden, Organic Chemistry (aromatic substitution)</t>
        </is>
      </c>
    </row>
    <row r="67">
      <c r="A67" s="7" t="inlineStr">
        <is>
          <t>I066</t>
        </is>
      </c>
      <c r="B67" s="7" t="inlineStr">
        <is>
          <t>ring-para-oar</t>
        </is>
      </c>
      <c r="C67" s="7" t="inlineStr">
        <is>
          <t>aryloxy, para to the reacting aromatic carbon</t>
        </is>
      </c>
      <c r="D67" s="7" t="inlineStr">
        <is>
          <t>ring substituent (position)</t>
        </is>
      </c>
      <c r="E67" s="7" t="inlineStr">
        <is>
          <t>electronic</t>
        </is>
      </c>
      <c r="F67" s="7" t="inlineStr">
        <is>
          <t>aromatic C</t>
        </is>
      </c>
      <c r="G67" s="7" t="inlineStr">
        <is>
          <t>[c;$(c1:a:a:c(-[OX2;!900*]c):a:a:1),$([c;r5]:[c;r5]:[c;r5]:[c;r5]-[OX2;!900*]c)]</t>
        </is>
      </c>
      <c r="H67" s="7" t="inlineStr">
        <is>
          <t>[c]-[OX2]c</t>
        </is>
      </c>
      <c r="I67" s="7" t="inlineStr"/>
      <c r="J67" s="7" t="inlineStr"/>
      <c r="K67" s="7" t="inlineStr"/>
      <c r="L67" s="7" t="inlineStr"/>
      <c r="M67" s="7" t="n"/>
      <c r="N67" s="7" t="inlineStr"/>
      <c r="O67" s="7" t="inlineStr">
        <is>
          <t>yes</t>
        </is>
      </c>
      <c r="P67" s="7" t="inlineStr"/>
      <c r="Q67" s="7" t="inlineStr">
        <is>
          <t>on the ring atom opposite the reacting carbon, inside the same six-membered ring (para)</t>
        </is>
      </c>
      <c r="R67" s="7" t="inlineStr">
        <is>
          <t>donates electrons: speeds electrophilic substitution at the ring carbon, slows nucleophilic attack (SNAr, oxidative addition). At para induction and resonance both act.</t>
        </is>
      </c>
      <c r="S67" s="7" t="inlineStr">
        <is>
          <t>aryloxy (σp -0.03): the O lone pair is shared with two rings: a weak donor</t>
        </is>
      </c>
      <c r="T67" s="7" t="n">
        <v>-0.03</v>
      </c>
      <c r="U67" s="10" t="n">
        <v>1.3</v>
      </c>
      <c r="V67" s="7" t="inlineStr">
        <is>
          <t>arene ch +1.95 (n=57; winner had it 53 % vs 20 % at random) · other +1.78 (n=42; winner had it 55 % vs 24 % at random) · acyl substitution +1.62 (n=102; winner had it 41 % vs 27 % at random) · o nucleophile +1.20 (n=35; winner had it 46 % vs 32 % at random) · aryl halide +1.03 (n=49; winner had it 45 % vs 39 % at random)</t>
        </is>
      </c>
      <c r="W67" s="7" t="n">
        <v>369</v>
      </c>
      <c r="X67" s="7" t="n">
        <v>238</v>
      </c>
      <c r="Y67" s="9" t="n">
        <v>0.4824</v>
      </c>
      <c r="Z67" s="9" t="n">
        <v>0.3007</v>
      </c>
      <c r="AA67" s="7" t="n"/>
      <c r="AB67" s="7" t="n"/>
      <c r="AC67" s="7" t="n"/>
      <c r="AD67" s="7" t="n"/>
      <c r="AE67" s="7" t="inlineStr">
        <is>
          <t>learned from the training patents (tools/int_train.py)</t>
        </is>
      </c>
      <c r="AF67" s="7" t="inlineStr">
        <is>
          <t>Hansch, Leo, Taft, Chem. Rev. 91, 165 (1991); Clayden, Organic Chemistry (aromatic substitution)</t>
        </is>
      </c>
    </row>
    <row r="68">
      <c r="A68" s="7" t="inlineStr">
        <is>
          <t>I067</t>
        </is>
      </c>
      <c r="B68" s="7" t="inlineStr">
        <is>
          <t>ring-ortho-ocor</t>
        </is>
      </c>
      <c r="C68" s="7" t="inlineStr">
        <is>
          <t>acyloxy, ortho to the reacting aromatic carbon</t>
        </is>
      </c>
      <c r="D68" s="7" t="inlineStr">
        <is>
          <t>ring substituent (position)</t>
        </is>
      </c>
      <c r="E68" s="7" t="inlineStr">
        <is>
          <t>electronic</t>
        </is>
      </c>
      <c r="F68" s="7" t="inlineStr">
        <is>
          <t>aromatic C</t>
        </is>
      </c>
      <c r="G68" s="7" t="inlineStr">
        <is>
          <t>[c;$(c:c-[OX2;!900*]C(=O))]</t>
        </is>
      </c>
      <c r="H68" s="7" t="inlineStr">
        <is>
          <t>[c]-[OX2]C(=O)</t>
        </is>
      </c>
      <c r="I68" s="7" t="inlineStr"/>
      <c r="J68" s="7" t="inlineStr"/>
      <c r="K68" s="7" t="inlineStr"/>
      <c r="L68" s="7" t="inlineStr"/>
      <c r="M68" s="7" t="n"/>
      <c r="N68" s="7" t="inlineStr"/>
      <c r="O68" s="7" t="inlineStr">
        <is>
          <t>yes</t>
        </is>
      </c>
      <c r="P68" s="7" t="inlineStr"/>
      <c r="Q68" s="7" t="inlineStr">
        <is>
          <t>on the ring atom next to the reacting carbon (ortho)</t>
        </is>
      </c>
      <c r="R68" s="7" t="inlineStr">
        <is>
          <t>withdraws by induction (σp &gt; 0: speeds nucleophilic attack a little) yet donates to a cation by resonance (σp⁺ &lt; 0): a moderate activator of electrophilic substitution that directs ortho/para. At ortho the electronic effect is like para, and the group also crowds the carbon.</t>
        </is>
      </c>
      <c r="S68" s="7" t="inlineStr">
        <is>
          <t>acyloxy (σp +0.31): the O lone pair is shared with the C=O: it withdraws by induction (σp is positive) yet donates to a cation by resonance (σp⁺ −0.19)</t>
        </is>
      </c>
      <c r="T68" s="7" t="n">
        <v>0.31</v>
      </c>
      <c r="U68" s="10" t="n">
        <v>-0.09</v>
      </c>
      <c r="V68" s="7" t="inlineStr">
        <is>
          <t>arene ch -1.24 (n=72; winner had it 11 % vs 35 % at random) · acyl substitution -0.80 (n=32; winner had it 22 % vs 40 % at random)</t>
        </is>
      </c>
      <c r="W68" s="7" t="n">
        <v>155</v>
      </c>
      <c r="X68" s="7" t="n">
        <v>131</v>
      </c>
      <c r="Y68" s="9" t="n">
        <v>0.1935</v>
      </c>
      <c r="Z68" s="9" t="n">
        <v>0.3726</v>
      </c>
      <c r="AA68" s="7" t="n"/>
      <c r="AB68" s="7" t="n"/>
      <c r="AC68" s="7" t="n"/>
      <c r="AD68" s="7" t="n"/>
      <c r="AE68" s="7" t="inlineStr">
        <is>
          <t>learned from the training patents (tools/int_train.py)</t>
        </is>
      </c>
      <c r="AF68" s="7" t="inlineStr">
        <is>
          <t>Hansch, Leo, Taft, Chem. Rev. 91, 165 (1991); Clayden, Organic Chemistry (aromatic substitution)</t>
        </is>
      </c>
    </row>
    <row r="69">
      <c r="A69" s="7" t="inlineStr">
        <is>
          <t>I068</t>
        </is>
      </c>
      <c r="B69" s="7" t="inlineStr">
        <is>
          <t>ring-meta-ocor</t>
        </is>
      </c>
      <c r="C69" s="7" t="inlineStr">
        <is>
          <t>acyloxy, meta to the reacting aromatic carbon</t>
        </is>
      </c>
      <c r="D69" s="7" t="inlineStr">
        <is>
          <t>ring substituent (position)</t>
        </is>
      </c>
      <c r="E69" s="7" t="inlineStr">
        <is>
          <t>electronic</t>
        </is>
      </c>
      <c r="F69" s="7" t="inlineStr">
        <is>
          <t>aromatic C</t>
        </is>
      </c>
      <c r="G69" s="7" t="inlineStr">
        <is>
          <t>[c;$(c1:a:c(-[OX2;!900*]C(=O)):a:a:a:1),$([c;r5]:[c;r5]:[c;r5]-[OX2;!900*]C(=O))]</t>
        </is>
      </c>
      <c r="H69" s="7" t="inlineStr">
        <is>
          <t>[c]-[OX2]C(=O)</t>
        </is>
      </c>
      <c r="I69" s="7" t="inlineStr"/>
      <c r="J69" s="7" t="inlineStr"/>
      <c r="K69" s="7" t="inlineStr"/>
      <c r="L69" s="7" t="inlineStr"/>
      <c r="M69" s="7" t="n"/>
      <c r="N69" s="7" t="inlineStr"/>
      <c r="O69" s="7" t="inlineStr">
        <is>
          <t>yes</t>
        </is>
      </c>
      <c r="P69" s="7" t="inlineStr"/>
      <c r="Q69" s="7" t="inlineStr">
        <is>
          <t>on the ring atom two bonds from the reacting carbon, inside the same six-membered ring (meta)</t>
        </is>
      </c>
      <c r="R69" s="7" t="inlineStr">
        <is>
          <t>withdraws by induction (σp &gt; 0: speeds nucleophilic attack a little) yet donates to a cation by resonance (σp⁺ &lt; 0): a moderate activator of electrophilic substitution that directs ortho/para. At meta mostly the inductive part acts; resonance does not reach this position.</t>
        </is>
      </c>
      <c r="S69" s="7" t="inlineStr">
        <is>
          <t>acyloxy (σm +0.39): the O lone pair is shared with the C=O: it withdraws by induction (σp is positive) yet donates to a cation by resonance (σp⁺ −0.19)</t>
        </is>
      </c>
      <c r="T69" s="7" t="n">
        <v>0.39</v>
      </c>
      <c r="U69" s="10" t="n">
        <v>-0.4</v>
      </c>
      <c r="V69" s="7" t="inlineStr">
        <is>
          <t>acyl substitution -0.72 (n=28; winner had it 39 % vs 39 % at random) · arene ch -0.53 (n=73; winner had it 58 % vs 42 % at random)</t>
        </is>
      </c>
      <c r="W69" s="7" t="n">
        <v>143</v>
      </c>
      <c r="X69" s="7" t="n">
        <v>120</v>
      </c>
      <c r="Y69" s="9" t="n">
        <v>0.4685</v>
      </c>
      <c r="Z69" s="9" t="n">
        <v>0.4038</v>
      </c>
      <c r="AA69" s="7" t="n"/>
      <c r="AB69" s="7" t="n"/>
      <c r="AC69" s="7" t="n"/>
      <c r="AD69" s="7" t="n"/>
      <c r="AE69" s="7" t="inlineStr">
        <is>
          <t>learned from the training patents (tools/int_train.py)</t>
        </is>
      </c>
      <c r="AF69" s="7" t="inlineStr">
        <is>
          <t>Hansch, Leo, Taft, Chem. Rev. 91, 165 (1991); Clayden, Organic Chemistry (aromatic substitution)</t>
        </is>
      </c>
    </row>
    <row r="70">
      <c r="A70" s="7" t="inlineStr">
        <is>
          <t>I069</t>
        </is>
      </c>
      <c r="B70" s="7" t="inlineStr">
        <is>
          <t>ring-para-ocor</t>
        </is>
      </c>
      <c r="C70" s="7" t="inlineStr">
        <is>
          <t>acyloxy, para to the reacting aromatic carbon</t>
        </is>
      </c>
      <c r="D70" s="7" t="inlineStr">
        <is>
          <t>ring substituent (position)</t>
        </is>
      </c>
      <c r="E70" s="7" t="inlineStr">
        <is>
          <t>electronic</t>
        </is>
      </c>
      <c r="F70" s="7" t="inlineStr">
        <is>
          <t>aromatic C</t>
        </is>
      </c>
      <c r="G70" s="7" t="inlineStr">
        <is>
          <t>[c;$(c1:a:a:c(-[OX2;!900*]C(=O)):a:a:1),$([c;r5]:[c;r5]:[c;r5]:[c;r5]-[OX2;!900*]C(=O))]</t>
        </is>
      </c>
      <c r="H70" s="7" t="inlineStr">
        <is>
          <t>[c]-[OX2]C(=O)</t>
        </is>
      </c>
      <c r="I70" s="7" t="inlineStr"/>
      <c r="J70" s="7" t="inlineStr"/>
      <c r="K70" s="7" t="inlineStr"/>
      <c r="L70" s="7" t="inlineStr"/>
      <c r="M70" s="7" t="n"/>
      <c r="N70" s="7" t="inlineStr"/>
      <c r="O70" s="7" t="inlineStr">
        <is>
          <t>yes</t>
        </is>
      </c>
      <c r="P70" s="7" t="inlineStr"/>
      <c r="Q70" s="7" t="inlineStr">
        <is>
          <t>on the ring atom opposite the reacting carbon, inside the same six-membered ring (para)</t>
        </is>
      </c>
      <c r="R70" s="7" t="inlineStr">
        <is>
          <t>withdraws by induction (σp &gt; 0: speeds nucleophilic attack a little) yet donates to a cation by resonance (σp⁺ &lt; 0): a moderate activator of electrophilic substitution that directs ortho/para. At para induction and resonance both act.</t>
        </is>
      </c>
      <c r="S70" s="7" t="inlineStr">
        <is>
          <t>acyloxy (σp +0.31): the O lone pair is shared with the C=O: it withdraws by induction (σp is positive) yet donates to a cation by resonance (σp⁺ −0.19)</t>
        </is>
      </c>
      <c r="T70" s="7" t="n">
        <v>0.31</v>
      </c>
      <c r="U70" s="10" t="n">
        <v>0.9399999999999999</v>
      </c>
      <c r="V70" s="7" t="inlineStr">
        <is>
          <t>arene ch +0.23 (n=34; winner had it 35 % vs 29 % at random)</t>
        </is>
      </c>
      <c r="W70" s="7" t="n">
        <v>92</v>
      </c>
      <c r="X70" s="7" t="n">
        <v>74</v>
      </c>
      <c r="Y70" s="9" t="n">
        <v>0.4239</v>
      </c>
      <c r="Z70" s="9" t="n">
        <v>0.3327</v>
      </c>
      <c r="AA70" s="7" t="n"/>
      <c r="AB70" s="7" t="n"/>
      <c r="AC70" s="7" t="n"/>
      <c r="AD70" s="7" t="n"/>
      <c r="AE70" s="7" t="inlineStr">
        <is>
          <t>learned from the training patents (tools/int_train.py)</t>
        </is>
      </c>
      <c r="AF70" s="7" t="inlineStr">
        <is>
          <t>Hansch, Leo, Taft, Chem. Rev. 91, 165 (1991); Clayden, Organic Chemistry (aromatic substitution)</t>
        </is>
      </c>
    </row>
    <row r="71">
      <c r="A71" s="7" t="inlineStr">
        <is>
          <t>I070</t>
        </is>
      </c>
      <c r="B71" s="7" t="inlineStr">
        <is>
          <t>ring-ortho-methyl</t>
        </is>
      </c>
      <c r="C71" s="7" t="inlineStr">
        <is>
          <t>methyl, ortho to the reacting aromatic carbon</t>
        </is>
      </c>
      <c r="D71" s="7" t="inlineStr">
        <is>
          <t>ring substituent (position)</t>
        </is>
      </c>
      <c r="E71" s="7" t="inlineStr">
        <is>
          <t>electronic</t>
        </is>
      </c>
      <c r="F71" s="7" t="inlineStr">
        <is>
          <t>aromatic C</t>
        </is>
      </c>
      <c r="G71" s="7" t="inlineStr">
        <is>
          <t>[c;$(c:c-[CH3;!900*])]</t>
        </is>
      </c>
      <c r="H71" s="7" t="inlineStr">
        <is>
          <t>[c]-[CH3]</t>
        </is>
      </c>
      <c r="I71" s="7" t="inlineStr"/>
      <c r="J71" s="7" t="inlineStr"/>
      <c r="K71" s="7" t="inlineStr"/>
      <c r="L71" s="7" t="inlineStr"/>
      <c r="M71" s="7" t="n"/>
      <c r="N71" s="7" t="inlineStr"/>
      <c r="O71" s="7" t="inlineStr">
        <is>
          <t>yes</t>
        </is>
      </c>
      <c r="P71" s="7" t="inlineStr"/>
      <c r="Q71" s="7" t="inlineStr">
        <is>
          <t>on the ring atom next to the reacting carbon (ortho)</t>
        </is>
      </c>
      <c r="R71" s="7" t="inlineStr">
        <is>
          <t>donates electrons: speeds electrophilic substitution at the ring carbon, slows nucleophilic attack (SNAr, oxidative addition). At ortho the electronic effect is like para, and the group also crowds the carbon.</t>
        </is>
      </c>
      <c r="S71" s="7" t="inlineStr">
        <is>
          <t>methyl (σp -0.17): a weak donor (induction, hyperconjugation)</t>
        </is>
      </c>
      <c r="T71" s="7" t="n">
        <v>-0.17</v>
      </c>
      <c r="U71" s="10" t="n">
        <v>-0.3</v>
      </c>
      <c r="V71" s="7" t="inlineStr">
        <is>
          <t>other -1.30 (n=83; winner had it 11 % vs 31 % at random) · redox other -0.88 (n=38; winner had it 16 % vs 40 % at random) · o nucleophile -0.51 (n=138; winner had it 16 % vs 40 % at random) · acyl substitution +0.12 (n=1091; winner had it 39 % vs 37 % at random) · arene ch +0.06 (n=1125; winner had it 42 % vs 39 % at random) · deprotection +0.00 (n=162; winner had it 43 % vs 45 % at random)</t>
        </is>
      </c>
      <c r="W71" s="7" t="n">
        <v>4280</v>
      </c>
      <c r="X71" s="7" t="n">
        <v>2578</v>
      </c>
      <c r="Y71" s="9" t="n">
        <v>0.4313</v>
      </c>
      <c r="Z71" s="9" t="n">
        <v>0.4048</v>
      </c>
      <c r="AA71" s="7" t="n"/>
      <c r="AB71" s="7" t="n"/>
      <c r="AC71" s="7" t="n"/>
      <c r="AD71" s="7" t="n"/>
      <c r="AE71" s="7" t="inlineStr">
        <is>
          <t>learned from the training patents (tools/int_train.py)</t>
        </is>
      </c>
      <c r="AF71" s="7" t="inlineStr">
        <is>
          <t>Hansch, Leo, Taft, Chem. Rev. 91, 165 (1991); Clayden, Organic Chemistry (aromatic substitution)</t>
        </is>
      </c>
    </row>
    <row r="72">
      <c r="A72" s="7" t="inlineStr">
        <is>
          <t>I071</t>
        </is>
      </c>
      <c r="B72" s="7" t="inlineStr">
        <is>
          <t>ring-meta-methyl</t>
        </is>
      </c>
      <c r="C72" s="7" t="inlineStr">
        <is>
          <t>methyl, meta to the reacting aromatic carbon</t>
        </is>
      </c>
      <c r="D72" s="7" t="inlineStr">
        <is>
          <t>ring substituent (position)</t>
        </is>
      </c>
      <c r="E72" s="7" t="inlineStr">
        <is>
          <t>electronic</t>
        </is>
      </c>
      <c r="F72" s="7" t="inlineStr">
        <is>
          <t>aromatic C</t>
        </is>
      </c>
      <c r="G72" s="7" t="inlineStr">
        <is>
          <t>[c;$(c1:a:c(-[CH3;!900*]):a:a:a:1),$([c;r5]:[c;r5]:[c;r5]-[CH3;!900*])]</t>
        </is>
      </c>
      <c r="H72" s="7" t="inlineStr">
        <is>
          <t>[c]-[CH3]</t>
        </is>
      </c>
      <c r="I72" s="7" t="inlineStr"/>
      <c r="J72" s="7" t="inlineStr"/>
      <c r="K72" s="7" t="inlineStr"/>
      <c r="L72" s="7" t="inlineStr"/>
      <c r="M72" s="7" t="n"/>
      <c r="N72" s="7" t="inlineStr"/>
      <c r="O72" s="7" t="inlineStr">
        <is>
          <t>yes</t>
        </is>
      </c>
      <c r="P72" s="7" t="inlineStr"/>
      <c r="Q72" s="7" t="inlineStr">
        <is>
          <t>on the ring atom two bonds from the reacting carbon, inside the same six-membered ring (meta)</t>
        </is>
      </c>
      <c r="R72" s="7" t="inlineStr">
        <is>
          <t>donates electrons: speeds electrophilic substitution at the ring carbon, slows nucleophilic attack (SNAr, oxidative addition). At meta mostly the inductive part acts; resonance does not reach this position.</t>
        </is>
      </c>
      <c r="S72" s="7" t="inlineStr">
        <is>
          <t>methyl (σm -0.07): a weak donor (induction, hyperconjugation)</t>
        </is>
      </c>
      <c r="T72" s="7" t="n">
        <v>-0.07000000000000001</v>
      </c>
      <c r="U72" s="10" t="n">
        <v>0.04</v>
      </c>
      <c r="V72" s="7" t="inlineStr">
        <is>
          <t>carbonyl addition +0.92 (n=461; winner had it 74 % vs 46 % at random) · other -0.79 (n=74; winner had it 18 % vs 33 % at random) · o nucleophile +0.77 (n=128; winner had it 66 % vs 41 % at random) · n nucleophile -0.64 (n=120; winner had it 28 % vs 38 % at random) · arene ch -0.43 (n=978; winner had it 36 % vs 38 % at random) · unsaturated +0.42 (n=46; winner had it 65 % vs 41 % at random)</t>
        </is>
      </c>
      <c r="W72" s="7" t="n">
        <v>3394</v>
      </c>
      <c r="X72" s="7" t="n">
        <v>2109</v>
      </c>
      <c r="Y72" s="9" t="n">
        <v>0.4614</v>
      </c>
      <c r="Z72" s="9" t="n">
        <v>0.3989</v>
      </c>
      <c r="AA72" s="7" t="n"/>
      <c r="AB72" s="7" t="n"/>
      <c r="AC72" s="7" t="n"/>
      <c r="AD72" s="7" t="n"/>
      <c r="AE72" s="7" t="inlineStr">
        <is>
          <t>learned from the training patents (tools/int_train.py)</t>
        </is>
      </c>
      <c r="AF72" s="7" t="inlineStr">
        <is>
          <t>Hansch, Leo, Taft, Chem. Rev. 91, 165 (1991); Clayden, Organic Chemistry (aromatic substitution)</t>
        </is>
      </c>
    </row>
    <row r="73">
      <c r="A73" s="7" t="inlineStr">
        <is>
          <t>I072</t>
        </is>
      </c>
      <c r="B73" s="7" t="inlineStr">
        <is>
          <t>ring-para-methyl</t>
        </is>
      </c>
      <c r="C73" s="7" t="inlineStr">
        <is>
          <t>methyl, para to the reacting aromatic carbon</t>
        </is>
      </c>
      <c r="D73" s="7" t="inlineStr">
        <is>
          <t>ring substituent (position)</t>
        </is>
      </c>
      <c r="E73" s="7" t="inlineStr">
        <is>
          <t>electronic</t>
        </is>
      </c>
      <c r="F73" s="7" t="inlineStr">
        <is>
          <t>aromatic C</t>
        </is>
      </c>
      <c r="G73" s="7" t="inlineStr">
        <is>
          <t>[c;$(c1:a:a:c(-[CH3;!900*]):a:a:1),$([c;r5]:[c;r5]:[c;r5]:[c;r5]-[CH3;!900*])]</t>
        </is>
      </c>
      <c r="H73" s="7" t="inlineStr">
        <is>
          <t>[c]-[CH3]</t>
        </is>
      </c>
      <c r="I73" s="7" t="inlineStr"/>
      <c r="J73" s="7" t="inlineStr"/>
      <c r="K73" s="7" t="inlineStr"/>
      <c r="L73" s="7" t="inlineStr"/>
      <c r="M73" s="7" t="n"/>
      <c r="N73" s="7" t="inlineStr"/>
      <c r="O73" s="7" t="inlineStr">
        <is>
          <t>yes</t>
        </is>
      </c>
      <c r="P73" s="7" t="inlineStr"/>
      <c r="Q73" s="7" t="inlineStr">
        <is>
          <t>on the ring atom opposite the reacting carbon, inside the same six-membered ring (para)</t>
        </is>
      </c>
      <c r="R73" s="7" t="inlineStr">
        <is>
          <t>donates electrons: speeds electrophilic substitution at the ring carbon, slows nucleophilic attack (SNAr, oxidative addition). At para induction and resonance both act.</t>
        </is>
      </c>
      <c r="S73" s="7" t="inlineStr">
        <is>
          <t>methyl (σp -0.17): a weak donor (induction, hyperconjugation)</t>
        </is>
      </c>
      <c r="T73" s="7" t="n">
        <v>-0.17</v>
      </c>
      <c r="U73" s="10" t="n">
        <v>0.57</v>
      </c>
      <c r="V73" s="7" t="inlineStr">
        <is>
          <t>carbonyl addition +1.34 (n=356; winner had it 77 % vs 45 % at random) · acyl substitution +1.23 (n=663; winner had it 48 % vs 33 % at random) · alkyl substitution +0.93 (n=140; winner had it 58 % vs 38 % at random) · unsaturated +0.90 (n=38; winner had it 39 % vs 40 % at random) · o nucleophile +0.82 (n=85; winner had it 42 % vs 36 % at random) · redox other +0.63 (n=33; winner had it 45 % vs 40 % at random)</t>
        </is>
      </c>
      <c r="W73" s="7" t="n">
        <v>2469</v>
      </c>
      <c r="X73" s="7" t="n">
        <v>1576</v>
      </c>
      <c r="Y73" s="9" t="n">
        <v>0.4779</v>
      </c>
      <c r="Z73" s="9" t="n">
        <v>0.3774</v>
      </c>
      <c r="AA73" s="7" t="n"/>
      <c r="AB73" s="7" t="n"/>
      <c r="AC73" s="7" t="n"/>
      <c r="AD73" s="7" t="n"/>
      <c r="AE73" s="7" t="inlineStr">
        <is>
          <t>learned from the training patents (tools/int_train.py)</t>
        </is>
      </c>
      <c r="AF73" s="7" t="inlineStr">
        <is>
          <t>Hansch, Leo, Taft, Chem. Rev. 91, 165 (1991); Clayden, Organic Chemistry (aromatic substitution)</t>
        </is>
      </c>
    </row>
    <row r="74">
      <c r="A74" s="7" t="inlineStr">
        <is>
          <t>I073</t>
        </is>
      </c>
      <c r="B74" s="7" t="inlineStr">
        <is>
          <t>ring-ortho-alkyl</t>
        </is>
      </c>
      <c r="C74" s="7" t="inlineStr">
        <is>
          <t>alkyl (not methyl), ortho to the reacting aromatic carbon</t>
        </is>
      </c>
      <c r="D74" s="7" t="inlineStr">
        <is>
          <t>ring substituent (position)</t>
        </is>
      </c>
      <c r="E74" s="7" t="inlineStr">
        <is>
          <t>electronic</t>
        </is>
      </c>
      <c r="F74" s="7" t="inlineStr">
        <is>
          <t>aromatic C</t>
        </is>
      </c>
      <c r="G74" s="7" t="inlineStr">
        <is>
          <t>[c;$(c:c-[CX4;!H3;!$(C-[F,Cl,Br,I,$(C#N)]);!900*])]</t>
        </is>
      </c>
      <c r="H74" s="7" t="inlineStr">
        <is>
          <t>[c]-[CX4;!H3;!$(C-[F,Cl,Br,I,$(C#N)])]</t>
        </is>
      </c>
      <c r="I74" s="7" t="inlineStr"/>
      <c r="J74" s="7" t="inlineStr"/>
      <c r="K74" s="7" t="inlineStr"/>
      <c r="L74" s="7" t="inlineStr"/>
      <c r="M74" s="7" t="n"/>
      <c r="N74" s="7" t="inlineStr"/>
      <c r="O74" s="7" t="inlineStr">
        <is>
          <t>yes</t>
        </is>
      </c>
      <c r="P74" s="7" t="inlineStr"/>
      <c r="Q74" s="7" t="inlineStr">
        <is>
          <t>on the ring atom next to the reacting carbon (ortho)</t>
        </is>
      </c>
      <c r="R74" s="7" t="inlineStr">
        <is>
          <t>donates electrons: speeds electrophilic substitution at the ring carbon, slows nucleophilic attack (SNAr, oxidative addition). At ortho the electronic effect is like para, and the group also crowds the carbon.</t>
        </is>
      </c>
      <c r="S74" s="7" t="inlineStr">
        <is>
          <t>alkyl (not methyl) (σp -0.15): a weak donor (induction, hyperconjugation); bulkier than methyl</t>
        </is>
      </c>
      <c r="T74" s="7" t="n">
        <v>-0.15</v>
      </c>
      <c r="U74" s="10" t="n">
        <v>-0.16</v>
      </c>
      <c r="V74" s="7" t="inlineStr">
        <is>
          <t>arene ch -0.65 (n=2344; winner had it 17 % vs 37 % at random) · o nucleophile -0.55 (n=191; winner had it 21 % vs 43 % at random) · acyl substitution -0.49 (n=2772; winner had it 19 % vs 35 % at random) · deprotection +0.26 (n=495; winner had it 37 % vs 39 % at random) · unsaturated +0.25 (n=102; winner had it 39 % vs 40 % at random) · alkyl substitution +0.11 (n=460; winner had it 31 % vs 38 % at random)</t>
        </is>
      </c>
      <c r="W74" s="7" t="n">
        <v>8795</v>
      </c>
      <c r="X74" s="7" t="n">
        <v>4582</v>
      </c>
      <c r="Y74" s="9" t="n">
        <v>0.2418</v>
      </c>
      <c r="Z74" s="9" t="n">
        <v>0.3797</v>
      </c>
      <c r="AA74" s="7" t="n"/>
      <c r="AB74" s="7" t="n"/>
      <c r="AC74" s="7" t="n"/>
      <c r="AD74" s="7" t="n"/>
      <c r="AE74" s="7" t="inlineStr">
        <is>
          <t>learned from the training patents (tools/int_train.py)</t>
        </is>
      </c>
      <c r="AF74" s="7" t="inlineStr">
        <is>
          <t>Hansch, Leo, Taft, Chem. Rev. 91, 165 (1991); Clayden, Organic Chemistry (aromatic substitution)</t>
        </is>
      </c>
    </row>
    <row r="75">
      <c r="A75" s="7" t="inlineStr">
        <is>
          <t>I074</t>
        </is>
      </c>
      <c r="B75" s="7" t="inlineStr">
        <is>
          <t>ring-meta-alkyl</t>
        </is>
      </c>
      <c r="C75" s="7" t="inlineStr">
        <is>
          <t>alkyl (not methyl), meta to the reacting aromatic carbon</t>
        </is>
      </c>
      <c r="D75" s="7" t="inlineStr">
        <is>
          <t>ring substituent (position)</t>
        </is>
      </c>
      <c r="E75" s="7" t="inlineStr">
        <is>
          <t>electronic</t>
        </is>
      </c>
      <c r="F75" s="7" t="inlineStr">
        <is>
          <t>aromatic C</t>
        </is>
      </c>
      <c r="G75" s="7" t="inlineStr">
        <is>
          <t>[c;$(c1:a:c(-[CX4;!H3;!$(C-[F,Cl,Br,I,$(C#N)]);!900*]):a:a:a:1),$([c;r5]:[c;r5]:[c;r5]-[CX4;!H3;!$(C-[F,Cl,Br,I,$(C#N)]);!900*])]</t>
        </is>
      </c>
      <c r="H75" s="7" t="inlineStr">
        <is>
          <t>[c]-[CX4;!H3;!$(C-[F,Cl,Br,I,$(C#N)])]</t>
        </is>
      </c>
      <c r="I75" s="7" t="inlineStr"/>
      <c r="J75" s="7" t="inlineStr"/>
      <c r="K75" s="7" t="inlineStr"/>
      <c r="L75" s="7" t="inlineStr"/>
      <c r="M75" s="7" t="n"/>
      <c r="N75" s="7" t="inlineStr"/>
      <c r="O75" s="7" t="inlineStr">
        <is>
          <t>yes</t>
        </is>
      </c>
      <c r="P75" s="7" t="inlineStr"/>
      <c r="Q75" s="7" t="inlineStr">
        <is>
          <t>on the ring atom two bonds from the reacting carbon, inside the same six-membered ring (meta)</t>
        </is>
      </c>
      <c r="R75" s="7" t="inlineStr">
        <is>
          <t>donates electrons: speeds electrophilic substitution at the ring carbon, slows nucleophilic attack (SNAr, oxidative addition). At meta mostly the inductive part acts; resonance does not reach this position.</t>
        </is>
      </c>
      <c r="S75" s="7" t="inlineStr">
        <is>
          <t>alkyl (not methyl) (σm -0.07): a weak donor (induction, hyperconjugation); bulkier than methyl</t>
        </is>
      </c>
      <c r="T75" s="7" t="n">
        <v>-0.07000000000000001</v>
      </c>
      <c r="U75" s="10" t="n">
        <v>0.21</v>
      </c>
      <c r="V75" s="7" t="inlineStr">
        <is>
          <t>carbonyl addition +0.92 (n=568; winner had it 65 % vs 41 % at random) · alkyl substitution +0.68 (n=344; winner had it 48 % vs 37 % at random) · o nucleophile -0.42 (n=198; winner had it 39 % vs 42 % at random) · aryl halide -0.09 (n=862; winner had it 41 % vs 41 % at random) · arene ch -0.09 (n=2129; winner had it 47 % vs 38 % at random)</t>
        </is>
      </c>
      <c r="W75" s="7" t="n">
        <v>7419</v>
      </c>
      <c r="X75" s="7" t="n">
        <v>3966</v>
      </c>
      <c r="Y75" s="9" t="n">
        <v>0.4534</v>
      </c>
      <c r="Z75" s="9" t="n">
        <v>0.3742</v>
      </c>
      <c r="AA75" s="7" t="n"/>
      <c r="AB75" s="7" t="n"/>
      <c r="AC75" s="7" t="n"/>
      <c r="AD75" s="7" t="n"/>
      <c r="AE75" s="7" t="inlineStr">
        <is>
          <t>learned from the training patents (tools/int_train.py)</t>
        </is>
      </c>
      <c r="AF75" s="7" t="inlineStr">
        <is>
          <t>Hansch, Leo, Taft, Chem. Rev. 91, 165 (1991); Clayden, Organic Chemistry (aromatic substitution)</t>
        </is>
      </c>
    </row>
    <row r="76">
      <c r="A76" s="7" t="inlineStr">
        <is>
          <t>I075</t>
        </is>
      </c>
      <c r="B76" s="7" t="inlineStr">
        <is>
          <t>ring-para-alkyl</t>
        </is>
      </c>
      <c r="C76" s="7" t="inlineStr">
        <is>
          <t>alkyl (not methyl), para to the reacting aromatic carbon</t>
        </is>
      </c>
      <c r="D76" s="7" t="inlineStr">
        <is>
          <t>ring substituent (position)</t>
        </is>
      </c>
      <c r="E76" s="7" t="inlineStr">
        <is>
          <t>electronic</t>
        </is>
      </c>
      <c r="F76" s="7" t="inlineStr">
        <is>
          <t>aromatic C</t>
        </is>
      </c>
      <c r="G76" s="7" t="inlineStr">
        <is>
          <t>[c;$(c1:a:a:c(-[CX4;!H3;!$(C-[F,Cl,Br,I,$(C#N)]);!900*]):a:a:1),$([c;r5]:[c;r5]:[c;r5]:[c;r5]-[CX4;!H3;!$(C-[F,Cl,Br,I,$(C#N)]);!900*])]</t>
        </is>
      </c>
      <c r="H76" s="7" t="inlineStr">
        <is>
          <t>[c]-[CX4;!H3;!$(C-[F,Cl,Br,I,$(C#N)])]</t>
        </is>
      </c>
      <c r="I76" s="7" t="inlineStr"/>
      <c r="J76" s="7" t="inlineStr"/>
      <c r="K76" s="7" t="inlineStr"/>
      <c r="L76" s="7" t="inlineStr"/>
      <c r="M76" s="7" t="n"/>
      <c r="N76" s="7" t="inlineStr"/>
      <c r="O76" s="7" t="inlineStr">
        <is>
          <t>yes</t>
        </is>
      </c>
      <c r="P76" s="7" t="inlineStr"/>
      <c r="Q76" s="7" t="inlineStr">
        <is>
          <t>on the ring atom opposite the reacting carbon, inside the same six-membered ring (para)</t>
        </is>
      </c>
      <c r="R76" s="7" t="inlineStr">
        <is>
          <t>donates electrons: speeds electrophilic substitution at the ring carbon, slows nucleophilic attack (SNAr, oxidative addition). At para induction and resonance both act.</t>
        </is>
      </c>
      <c r="S76" s="7" t="inlineStr">
        <is>
          <t>alkyl (not methyl) (σp -0.15): a weak donor (induction, hyperconjugation); bulkier than methyl</t>
        </is>
      </c>
      <c r="T76" s="7" t="n">
        <v>-0.15</v>
      </c>
      <c r="U76" s="10" t="n">
        <v>0.46</v>
      </c>
      <c r="V76" s="7" t="inlineStr">
        <is>
          <t>alkyl substitution +1.24 (n=373; winner had it 59 % vs 36 % at random) · n nucleophile +0.82 (n=141; winner had it 48 % vs 38 % at random) · other +0.69 (n=192; winner had it 29 % vs 26 % at random) · acyl substitution +0.68 (n=1928; winner had it 39 % vs 31 % at random) · arene ch +0.67 (n=1690; winner had it 40 % vs 31 % at random) · deprotection +0.53 (n=370; winner had it 44 % vs 37 % at random)</t>
        </is>
      </c>
      <c r="W76" s="7" t="n">
        <v>6573</v>
      </c>
      <c r="X76" s="7" t="n">
        <v>3591</v>
      </c>
      <c r="Y76" s="9" t="n">
        <v>0.4085</v>
      </c>
      <c r="Z76" s="9" t="n">
        <v>0.3443</v>
      </c>
      <c r="AA76" s="7" t="n"/>
      <c r="AB76" s="7" t="n"/>
      <c r="AC76" s="7" t="n"/>
      <c r="AD76" s="7" t="n"/>
      <c r="AE76" s="7" t="inlineStr">
        <is>
          <t>learned from the training patents (tools/int_train.py)</t>
        </is>
      </c>
      <c r="AF76" s="7" t="inlineStr">
        <is>
          <t>Hansch, Leo, Taft, Chem. Rev. 91, 165 (1991); Clayden, Organic Chemistry (aromatic substitution)</t>
        </is>
      </c>
    </row>
    <row r="77">
      <c r="A77" s="7" t="inlineStr">
        <is>
          <t>I076</t>
        </is>
      </c>
      <c r="B77" s="7" t="inlineStr">
        <is>
          <t>ring-ortho-aryl</t>
        </is>
      </c>
      <c r="C77" s="7" t="inlineStr">
        <is>
          <t>aryl, ortho to the reacting aromatic carbon</t>
        </is>
      </c>
      <c r="D77" s="7" t="inlineStr">
        <is>
          <t>ring substituent (position)</t>
        </is>
      </c>
      <c r="E77" s="7" t="inlineStr">
        <is>
          <t>electronic</t>
        </is>
      </c>
      <c r="F77" s="7" t="inlineStr">
        <is>
          <t>aromatic C</t>
        </is>
      </c>
      <c r="G77" s="7" t="inlineStr">
        <is>
          <t>[c;$(c:c-[c;!900*])]</t>
        </is>
      </c>
      <c r="H77" s="7" t="inlineStr">
        <is>
          <t>[c]-c</t>
        </is>
      </c>
      <c r="I77" s="7" t="inlineStr"/>
      <c r="J77" s="7" t="inlineStr"/>
      <c r="K77" s="7" t="inlineStr"/>
      <c r="L77" s="7" t="inlineStr"/>
      <c r="M77" s="7" t="n"/>
      <c r="N77" s="7" t="inlineStr"/>
      <c r="O77" s="7" t="inlineStr">
        <is>
          <t>yes</t>
        </is>
      </c>
      <c r="P77" s="7" t="inlineStr"/>
      <c r="Q77" s="7" t="inlineStr">
        <is>
          <t>on the ring atom next to the reacting carbon (ortho)</t>
        </is>
      </c>
      <c r="R77" s="7" t="inlineStr">
        <is>
          <t>donates electrons: speeds electrophilic substitution at the ring carbon, slows nucleophilic attack (SNAr, oxidative addition). At ortho the electronic effect is like para, and the group also crowds the carbon. A ring at ortho also twists out of the plane; with three or more ortho groups the biaryl axis is locked (atropisomers).</t>
        </is>
      </c>
      <c r="S77" s="7" t="inlineStr">
        <is>
          <t>aryl (σp -0.01): a second ring: a weak donor by resonance</t>
        </is>
      </c>
      <c r="T77" s="7" t="n">
        <v>-0.01</v>
      </c>
      <c r="U77" s="10" t="n">
        <v>-0.58</v>
      </c>
      <c r="V77" s="7" t="inlineStr">
        <is>
          <t>arene ch -1.39 (n=800; winner had it 18 % vs 36 % at random) · n nucleophile -1.19 (n=174; winner had it 15 % vs 38 % at random) · unsaturated -0.88 (n=45; winner had it 13 % vs 36 % at random) · carbonyl addition -0.80 (n=387; winner had it 42 % vs 44 % at random) · other -0.80 (n=218; winner had it 15 % vs 32 % at random) · acyl substitution -0.57 (n=1423; winner had it 24 % vs 37 % at random)</t>
        </is>
      </c>
      <c r="W77" s="7" t="n">
        <v>4766</v>
      </c>
      <c r="X77" s="7" t="n">
        <v>2141</v>
      </c>
      <c r="Y77" s="9" t="n">
        <v>0.2677</v>
      </c>
      <c r="Z77" s="9" t="n">
        <v>0.3915</v>
      </c>
      <c r="AA77" s="7" t="n"/>
      <c r="AB77" s="7" t="n"/>
      <c r="AC77" s="7" t="n"/>
      <c r="AD77" s="7" t="n"/>
      <c r="AE77" s="7" t="inlineStr">
        <is>
          <t>learned from the training patents (tools/int_train.py)</t>
        </is>
      </c>
      <c r="AF77" s="7" t="inlineStr">
        <is>
          <t>Hansch, Leo, Taft, Chem. Rev. 91, 165 (1991); Clayden, Organic Chemistry (aromatic substitution)</t>
        </is>
      </c>
    </row>
    <row r="78">
      <c r="A78" s="7" t="inlineStr">
        <is>
          <t>I077</t>
        </is>
      </c>
      <c r="B78" s="7" t="inlineStr">
        <is>
          <t>ring-meta-aryl</t>
        </is>
      </c>
      <c r="C78" s="7" t="inlineStr">
        <is>
          <t>aryl, meta to the reacting aromatic carbon</t>
        </is>
      </c>
      <c r="D78" s="7" t="inlineStr">
        <is>
          <t>ring substituent (position)</t>
        </is>
      </c>
      <c r="E78" s="7" t="inlineStr">
        <is>
          <t>electronic</t>
        </is>
      </c>
      <c r="F78" s="7" t="inlineStr">
        <is>
          <t>aromatic C</t>
        </is>
      </c>
      <c r="G78" s="7" t="inlineStr">
        <is>
          <t>[c;$(c1:a:c(-[c;!900*]):a:a:a:1),$([c;r5]:[c;r5]:[c;r5]-[c;!900*])]</t>
        </is>
      </c>
      <c r="H78" s="7" t="inlineStr">
        <is>
          <t>[c]-c</t>
        </is>
      </c>
      <c r="I78" s="7" t="inlineStr"/>
      <c r="J78" s="7" t="inlineStr"/>
      <c r="K78" s="7" t="inlineStr"/>
      <c r="L78" s="7" t="inlineStr"/>
      <c r="M78" s="7" t="n"/>
      <c r="N78" s="7" t="inlineStr"/>
      <c r="O78" s="7" t="inlineStr">
        <is>
          <t>yes</t>
        </is>
      </c>
      <c r="P78" s="7" t="inlineStr"/>
      <c r="Q78" s="7" t="inlineStr">
        <is>
          <t>on the ring atom two bonds from the reacting carbon, inside the same six-membered ring (meta)</t>
        </is>
      </c>
      <c r="R78" s="7" t="inlineStr">
        <is>
          <t>donates electrons: speeds electrophilic substitution at the ring carbon, slows nucleophilic attack (SNAr, oxidative addition). At meta mostly the inductive part acts; resonance does not reach this position.</t>
        </is>
      </c>
      <c r="S78" s="7" t="inlineStr">
        <is>
          <t>aryl (σm +0.06): a second ring: a weak donor by resonance</t>
        </is>
      </c>
      <c r="T78" s="7" t="n">
        <v>0.06</v>
      </c>
      <c r="U78" s="10" t="n">
        <v>0.2</v>
      </c>
      <c r="V78" s="7" t="inlineStr">
        <is>
          <t>unsaturated +1.55 (n=75; winner had it 91 % vs 46 % at random) · carbonyl addition +0.96 (n=319; winner had it 50 % vs 41 % at random) · aryl halide +0.71 (n=1050; winner had it 68 % vs 43 % at random) · redox other +0.57 (n=25; winner had it 32 % vs 35 % at random) · deprotection -0.54 (n=138; winner had it 31 % vs 39 % at random) · arene ch -0.46 (n=779; winner had it 37 % vs 36 % at random)</t>
        </is>
      </c>
      <c r="W78" s="7" t="n">
        <v>4414</v>
      </c>
      <c r="X78" s="7" t="n">
        <v>2036</v>
      </c>
      <c r="Y78" s="9" t="n">
        <v>0.408</v>
      </c>
      <c r="Z78" s="9" t="n">
        <v>0.3689</v>
      </c>
      <c r="AA78" s="7" t="n"/>
      <c r="AB78" s="7" t="n"/>
      <c r="AC78" s="7" t="n"/>
      <c r="AD78" s="7" t="n"/>
      <c r="AE78" s="7" t="inlineStr">
        <is>
          <t>learned from the training patents (tools/int_train.py)</t>
        </is>
      </c>
      <c r="AF78" s="7" t="inlineStr">
        <is>
          <t>Hansch, Leo, Taft, Chem. Rev. 91, 165 (1991); Clayden, Organic Chemistry (aromatic substitution)</t>
        </is>
      </c>
    </row>
    <row r="79">
      <c r="A79" s="7" t="inlineStr">
        <is>
          <t>I078</t>
        </is>
      </c>
      <c r="B79" s="7" t="inlineStr">
        <is>
          <t>ring-para-aryl</t>
        </is>
      </c>
      <c r="C79" s="7" t="inlineStr">
        <is>
          <t>aryl, para to the reacting aromatic carbon</t>
        </is>
      </c>
      <c r="D79" s="7" t="inlineStr">
        <is>
          <t>ring substituent (position)</t>
        </is>
      </c>
      <c r="E79" s="7" t="inlineStr">
        <is>
          <t>electronic</t>
        </is>
      </c>
      <c r="F79" s="7" t="inlineStr">
        <is>
          <t>aromatic C</t>
        </is>
      </c>
      <c r="G79" s="7" t="inlineStr">
        <is>
          <t>[c;$(c1:a:a:c(-[c;!900*]):a:a:1),$([c;r5]:[c;r5]:[c;r5]:[c;r5]-[c;!900*])]</t>
        </is>
      </c>
      <c r="H79" s="7" t="inlineStr">
        <is>
          <t>[c]-c</t>
        </is>
      </c>
      <c r="I79" s="7" t="inlineStr"/>
      <c r="J79" s="7" t="inlineStr"/>
      <c r="K79" s="7" t="inlineStr"/>
      <c r="L79" s="7" t="inlineStr"/>
      <c r="M79" s="7" t="n"/>
      <c r="N79" s="7" t="inlineStr"/>
      <c r="O79" s="7" t="inlineStr">
        <is>
          <t>yes</t>
        </is>
      </c>
      <c r="P79" s="7" t="inlineStr"/>
      <c r="Q79" s="7" t="inlineStr">
        <is>
          <t>on the ring atom opposite the reacting carbon, inside the same six-membered ring (para)</t>
        </is>
      </c>
      <c r="R79" s="7" t="inlineStr">
        <is>
          <t>donates electrons: speeds electrophilic substitution at the ring carbon, slows nucleophilic attack (SNAr, oxidative addition). At para induction and resonance both act.</t>
        </is>
      </c>
      <c r="S79" s="7" t="inlineStr">
        <is>
          <t>aryl (σp -0.01): a second ring: a weak donor by resonance</t>
        </is>
      </c>
      <c r="T79" s="7" t="n">
        <v>-0.01</v>
      </c>
      <c r="U79" s="10" t="n">
        <v>0.7</v>
      </c>
      <c r="V79" s="7" t="inlineStr">
        <is>
          <t>redox other +1.33 (n=34; winner had it 68 % vs 38 % at random) · deprotection +1.31 (n=131; winner had it 64 % vs 37 % at random) · other +1.30 (n=190; winner had it 51 % vs 25 % at random) · acyl substitution +1.06 (n=1002; winner had it 45 % vs 24 % at random) · carbonyl addition +1.02 (n=241; winner had it 52 % vs 35 % at random) · n nucleophile +0.97 (n=126; winner had it 52 % vs 34 % at random)</t>
        </is>
      </c>
      <c r="W79" s="7" t="n">
        <v>3499</v>
      </c>
      <c r="X79" s="7" t="n">
        <v>1721</v>
      </c>
      <c r="Y79" s="9" t="n">
        <v>0.433</v>
      </c>
      <c r="Z79" s="9" t="n">
        <v>0.314</v>
      </c>
      <c r="AA79" s="7" t="n"/>
      <c r="AB79" s="7" t="n"/>
      <c r="AC79" s="7" t="n"/>
      <c r="AD79" s="7" t="n"/>
      <c r="AE79" s="7" t="inlineStr">
        <is>
          <t>learned from the training patents (tools/int_train.py)</t>
        </is>
      </c>
      <c r="AF79" s="7" t="inlineStr">
        <is>
          <t>Hansch, Leo, Taft, Chem. Rev. 91, 165 (1991); Clayden, Organic Chemistry (aromatic substitution)</t>
        </is>
      </c>
    </row>
    <row r="80">
      <c r="A80" s="7" t="inlineStr">
        <is>
          <t>I079</t>
        </is>
      </c>
      <c r="B80" s="7" t="inlineStr">
        <is>
          <t>ring-ortho-vinyl</t>
        </is>
      </c>
      <c r="C80" s="7" t="inlineStr">
        <is>
          <t>vinyl, ortho to the reacting aromatic carbon</t>
        </is>
      </c>
      <c r="D80" s="7" t="inlineStr">
        <is>
          <t>ring substituent (position)</t>
        </is>
      </c>
      <c r="E80" s="7" t="inlineStr">
        <is>
          <t>electronic</t>
        </is>
      </c>
      <c r="F80" s="7" t="inlineStr">
        <is>
          <t>aromatic C</t>
        </is>
      </c>
      <c r="G80" s="7" t="inlineStr">
        <is>
          <t>[c;$(c:c-[CX3;!900*]=[CX3])]</t>
        </is>
      </c>
      <c r="H80" s="7" t="inlineStr">
        <is>
          <t>[c]-[CX3]=[CX3]</t>
        </is>
      </c>
      <c r="I80" s="7" t="inlineStr"/>
      <c r="J80" s="7" t="inlineStr"/>
      <c r="K80" s="7" t="inlineStr"/>
      <c r="L80" s="7" t="inlineStr"/>
      <c r="M80" s="7" t="n"/>
      <c r="N80" s="7" t="inlineStr"/>
      <c r="O80" s="7" t="inlineStr">
        <is>
          <t>yes</t>
        </is>
      </c>
      <c r="P80" s="7" t="inlineStr"/>
      <c r="Q80" s="7" t="inlineStr">
        <is>
          <t>on the ring atom next to the reacting carbon (ortho)</t>
        </is>
      </c>
      <c r="R80" s="7" t="inlineStr">
        <is>
          <t>donates electrons: speeds electrophilic substitution at the ring carbon, slows nucleophilic attack (SNAr, oxidative addition). At ortho the electronic effect is like para, and the group also crowds the carbon.</t>
        </is>
      </c>
      <c r="S80" s="7" t="inlineStr">
        <is>
          <t>vinyl (σp -0.04): conjugated C=C: a weak donor</t>
        </is>
      </c>
      <c r="T80" s="7" t="n">
        <v>-0.04</v>
      </c>
      <c r="U80" s="10" t="n">
        <v>-0.65</v>
      </c>
      <c r="V80" s="7" t="inlineStr">
        <is>
          <t>carbonyl addition -1.41 (n=50; winner had it 10 % vs 29 % at random) · deprotection -0.80 (n=31; winner had it 26 % vs 40 % at random) · alkyl substitution -0.67 (n=26; winner had it 19 % vs 35 % at random) · aryl halide +0.20 (n=63; winner had it 37 % vs 36 % at random) · acyl substitution -0.04 (n=103; winner had it 20 % vs 35 % at random) · arene ch +0.02 (n=64; winner had it 27 % vs 33 % at random)</t>
        </is>
      </c>
      <c r="W80" s="7" t="n">
        <v>392</v>
      </c>
      <c r="X80" s="7" t="n">
        <v>245</v>
      </c>
      <c r="Y80" s="9" t="n">
        <v>0.2117</v>
      </c>
      <c r="Z80" s="9" t="n">
        <v>0.3416</v>
      </c>
      <c r="AA80" s="7" t="n"/>
      <c r="AB80" s="7" t="n"/>
      <c r="AC80" s="7" t="n"/>
      <c r="AD80" s="7" t="n"/>
      <c r="AE80" s="7" t="inlineStr">
        <is>
          <t>learned from the training patents (tools/int_train.py)</t>
        </is>
      </c>
      <c r="AF80" s="7" t="inlineStr">
        <is>
          <t>Hansch, Leo, Taft, Chem. Rev. 91, 165 (1991); Clayden, Organic Chemistry (aromatic substitution)</t>
        </is>
      </c>
    </row>
    <row r="81">
      <c r="A81" s="7" t="inlineStr">
        <is>
          <t>I080</t>
        </is>
      </c>
      <c r="B81" s="7" t="inlineStr">
        <is>
          <t>ring-meta-vinyl</t>
        </is>
      </c>
      <c r="C81" s="7" t="inlineStr">
        <is>
          <t>vinyl, meta to the reacting aromatic carbon</t>
        </is>
      </c>
      <c r="D81" s="7" t="inlineStr">
        <is>
          <t>ring substituent (position)</t>
        </is>
      </c>
      <c r="E81" s="7" t="inlineStr">
        <is>
          <t>electronic</t>
        </is>
      </c>
      <c r="F81" s="7" t="inlineStr">
        <is>
          <t>aromatic C</t>
        </is>
      </c>
      <c r="G81" s="7" t="inlineStr">
        <is>
          <t>[c;$(c1:a:c(-[CX3;!900*]=[CX3]):a:a:a:1),$([c;r5]:[c;r5]:[c;r5]-[CX3;!900*]=[CX3])]</t>
        </is>
      </c>
      <c r="H81" s="7" t="inlineStr">
        <is>
          <t>[c]-[CX3]=[CX3]</t>
        </is>
      </c>
      <c r="I81" s="7" t="inlineStr"/>
      <c r="J81" s="7" t="inlineStr"/>
      <c r="K81" s="7" t="inlineStr"/>
      <c r="L81" s="7" t="inlineStr"/>
      <c r="M81" s="7" t="n"/>
      <c r="N81" s="7" t="inlineStr"/>
      <c r="O81" s="7" t="inlineStr">
        <is>
          <t>yes</t>
        </is>
      </c>
      <c r="P81" s="7" t="inlineStr"/>
      <c r="Q81" s="7" t="inlineStr">
        <is>
          <t>on the ring atom two bonds from the reacting carbon, inside the same six-membered ring (meta)</t>
        </is>
      </c>
      <c r="R81" s="7" t="inlineStr">
        <is>
          <t>donates electrons: speeds electrophilic substitution at the ring carbon, slows nucleophilic attack (SNAr, oxidative addition). At meta mostly the inductive part acts; resonance does not reach this position.</t>
        </is>
      </c>
      <c r="S81" s="7" t="inlineStr">
        <is>
          <t>vinyl (σm +0.06): conjugated C=C: a weak donor</t>
        </is>
      </c>
      <c r="T81" s="7" t="n">
        <v>0.06</v>
      </c>
      <c r="U81" s="10" t="n">
        <v>-0.1</v>
      </c>
      <c r="V81" s="7" t="inlineStr">
        <is>
          <t>acyl substitution -0.56 (n=90; winner had it 31 % vs 36 % at random) · carbonyl addition +0.52 (n=33; winner had it 36 % vs 36 % at random)</t>
        </is>
      </c>
      <c r="W81" s="7" t="n">
        <v>336</v>
      </c>
      <c r="X81" s="7" t="n">
        <v>210</v>
      </c>
      <c r="Y81" s="9" t="n">
        <v>0.3304</v>
      </c>
      <c r="Z81" s="9" t="n">
        <v>0.3649</v>
      </c>
      <c r="AA81" s="7" t="n"/>
      <c r="AB81" s="7" t="n"/>
      <c r="AC81" s="7" t="n"/>
      <c r="AD81" s="7" t="n"/>
      <c r="AE81" s="7" t="inlineStr">
        <is>
          <t>learned from the training patents (tools/int_train.py)</t>
        </is>
      </c>
      <c r="AF81" s="7" t="inlineStr">
        <is>
          <t>Hansch, Leo, Taft, Chem. Rev. 91, 165 (1991); Clayden, Organic Chemistry (aromatic substitution)</t>
        </is>
      </c>
    </row>
    <row r="82">
      <c r="A82" s="7" t="inlineStr">
        <is>
          <t>I081</t>
        </is>
      </c>
      <c r="B82" s="7" t="inlineStr">
        <is>
          <t>ring-para-vinyl</t>
        </is>
      </c>
      <c r="C82" s="7" t="inlineStr">
        <is>
          <t>vinyl, para to the reacting aromatic carbon</t>
        </is>
      </c>
      <c r="D82" s="7" t="inlineStr">
        <is>
          <t>ring substituent (position)</t>
        </is>
      </c>
      <c r="E82" s="7" t="inlineStr">
        <is>
          <t>electronic</t>
        </is>
      </c>
      <c r="F82" s="7" t="inlineStr">
        <is>
          <t>aromatic C</t>
        </is>
      </c>
      <c r="G82" s="7" t="inlineStr">
        <is>
          <t>[c;$(c1:a:a:c(-[CX3;!900*]=[CX3]):a:a:1),$([c;r5]:[c;r5]:[c;r5]:[c;r5]-[CX3;!900*]=[CX3])]</t>
        </is>
      </c>
      <c r="H82" s="7" t="inlineStr">
        <is>
          <t>[c]-[CX3]=[CX3]</t>
        </is>
      </c>
      <c r="I82" s="7" t="inlineStr"/>
      <c r="J82" s="7" t="inlineStr"/>
      <c r="K82" s="7" t="inlineStr"/>
      <c r="L82" s="7" t="inlineStr"/>
      <c r="M82" s="7" t="n"/>
      <c r="N82" s="7" t="inlineStr"/>
      <c r="O82" s="7" t="inlineStr">
        <is>
          <t>yes</t>
        </is>
      </c>
      <c r="P82" s="7" t="inlineStr"/>
      <c r="Q82" s="7" t="inlineStr">
        <is>
          <t>on the ring atom opposite the reacting carbon, inside the same six-membered ring (para)</t>
        </is>
      </c>
      <c r="R82" s="7" t="inlineStr">
        <is>
          <t>donates electrons: speeds electrophilic substitution at the ring carbon, slows nucleophilic attack (SNAr, oxidative addition). At para induction and resonance both act.</t>
        </is>
      </c>
      <c r="S82" s="7" t="inlineStr">
        <is>
          <t>vinyl (σp -0.04): conjugated C=C: a weak donor</t>
        </is>
      </c>
      <c r="T82" s="7" t="n">
        <v>-0.04</v>
      </c>
      <c r="U82" s="10" t="n">
        <v>0.36</v>
      </c>
      <c r="V82" s="7" t="inlineStr">
        <is>
          <t>acyl substitution +0.91 (n=74; winner had it 46 % vs 30 % at random) · carbonyl addition +0.64 (n=30; winner had it 37 % vs 31 % at random) · arene ch +0.55 (n=38; winner had it 34 % vs 27 % at random) · deprotection +0.01 (n=25; winner had it 44 % vs 41 % at random)</t>
        </is>
      </c>
      <c r="W82" s="7" t="n">
        <v>312</v>
      </c>
      <c r="X82" s="7" t="n">
        <v>203</v>
      </c>
      <c r="Y82" s="9" t="n">
        <v>0.4038</v>
      </c>
      <c r="Z82" s="9" t="n">
        <v>0.3422</v>
      </c>
      <c r="AA82" s="7" t="n"/>
      <c r="AB82" s="7" t="n"/>
      <c r="AC82" s="7" t="n"/>
      <c r="AD82" s="7" t="n"/>
      <c r="AE82" s="7" t="inlineStr">
        <is>
          <t>learned from the training patents (tools/int_train.py)</t>
        </is>
      </c>
      <c r="AF82" s="7" t="inlineStr">
        <is>
          <t>Hansch, Leo, Taft, Chem. Rev. 91, 165 (1991); Clayden, Organic Chemistry (aromatic substitution)</t>
        </is>
      </c>
    </row>
    <row r="83">
      <c r="A83" s="7" t="inlineStr">
        <is>
          <t>I082</t>
        </is>
      </c>
      <c r="B83" s="7" t="inlineStr">
        <is>
          <t>ring-ortho-ethynyl</t>
        </is>
      </c>
      <c r="C83" s="7" t="inlineStr">
        <is>
          <t>ethynyl, ortho to the reacting aromatic carbon</t>
        </is>
      </c>
      <c r="D83" s="7" t="inlineStr">
        <is>
          <t>ring substituent (position)</t>
        </is>
      </c>
      <c r="E83" s="7" t="inlineStr">
        <is>
          <t>electronic</t>
        </is>
      </c>
      <c r="F83" s="7" t="inlineStr">
        <is>
          <t>aromatic C</t>
        </is>
      </c>
      <c r="G83" s="7" t="inlineStr">
        <is>
          <t>[c;$(c:c-[C;!900*]#C)]</t>
        </is>
      </c>
      <c r="H83" s="7" t="inlineStr">
        <is>
          <t>[c]-C#C</t>
        </is>
      </c>
      <c r="I83" s="7" t="inlineStr"/>
      <c r="J83" s="7" t="inlineStr"/>
      <c r="K83" s="7" t="inlineStr"/>
      <c r="L83" s="7" t="inlineStr"/>
      <c r="M83" s="7" t="n"/>
      <c r="N83" s="7" t="inlineStr"/>
      <c r="O83" s="7" t="inlineStr">
        <is>
          <t>yes</t>
        </is>
      </c>
      <c r="P83" s="7" t="inlineStr"/>
      <c r="Q83" s="7" t="inlineStr">
        <is>
          <t>on the ring atom next to the reacting carbon (ortho)</t>
        </is>
      </c>
      <c r="R83" s="7" t="inlineStr">
        <is>
          <t>withdraws electrons: speeds nucleophilic attack at the ring carbon (SNAr, oxidative addition, metalation next to it), slows electrophilic substitution. At ortho the electronic effect is like para, and the group also crowds the carbon.</t>
        </is>
      </c>
      <c r="S83" s="7" t="inlineStr">
        <is>
          <t>ethynyl (σp +0.23): an sp carbon: weakly electron-withdrawing</t>
        </is>
      </c>
      <c r="T83" s="7" t="n">
        <v>0.23</v>
      </c>
      <c r="U83" s="10" t="n">
        <v>0.15</v>
      </c>
      <c r="V83" s="7" t="inlineStr">
        <is>
          <t>aryl halide +1.00 (n=36; winner had it 47 % vs 36 % at random)</t>
        </is>
      </c>
      <c r="W83" s="7" t="n">
        <v>72</v>
      </c>
      <c r="X83" s="7" t="n">
        <v>51</v>
      </c>
      <c r="Y83" s="9" t="n">
        <v>0.4028</v>
      </c>
      <c r="Z83" s="9" t="n">
        <v>0.338</v>
      </c>
      <c r="AA83" s="7" t="n"/>
      <c r="AB83" s="7" t="n"/>
      <c r="AC83" s="7" t="n"/>
      <c r="AD83" s="7" t="n"/>
      <c r="AE83" s="7" t="inlineStr">
        <is>
          <t>learned from the training patents (tools/int_train.py)</t>
        </is>
      </c>
      <c r="AF83" s="7" t="inlineStr">
        <is>
          <t>Hansch, Leo, Taft, Chem. Rev. 91, 165 (1991); Clayden, Organic Chemistry (aromatic substitution)</t>
        </is>
      </c>
    </row>
    <row r="84">
      <c r="A84" s="7" t="inlineStr">
        <is>
          <t>I083</t>
        </is>
      </c>
      <c r="B84" s="7" t="inlineStr">
        <is>
          <t>ring-meta-ethynyl</t>
        </is>
      </c>
      <c r="C84" s="7" t="inlineStr">
        <is>
          <t>ethynyl, meta to the reacting aromatic carbon</t>
        </is>
      </c>
      <c r="D84" s="7" t="inlineStr">
        <is>
          <t>ring substituent (position)</t>
        </is>
      </c>
      <c r="E84" s="7" t="inlineStr">
        <is>
          <t>electronic</t>
        </is>
      </c>
      <c r="F84" s="7" t="inlineStr">
        <is>
          <t>aromatic C</t>
        </is>
      </c>
      <c r="G84" s="7" t="inlineStr">
        <is>
          <t>[c;$(c1:a:c(-[C;!900*]#C):a:a:a:1),$([c;r5]:[c;r5]:[c;r5]-[C;!900*]#C)]</t>
        </is>
      </c>
      <c r="H84" s="7" t="inlineStr">
        <is>
          <t>[c]-C#C</t>
        </is>
      </c>
      <c r="I84" s="7" t="inlineStr"/>
      <c r="J84" s="7" t="inlineStr"/>
      <c r="K84" s="7" t="inlineStr"/>
      <c r="L84" s="7" t="inlineStr"/>
      <c r="M84" s="7" t="n"/>
      <c r="N84" s="7" t="inlineStr"/>
      <c r="O84" s="7" t="inlineStr">
        <is>
          <t>yes</t>
        </is>
      </c>
      <c r="P84" s="7" t="inlineStr"/>
      <c r="Q84" s="7" t="inlineStr">
        <is>
          <t>on the ring atom two bonds from the reacting carbon, inside the same six-membered ring (meta)</t>
        </is>
      </c>
      <c r="R84" s="7" t="inlineStr">
        <is>
          <t>withdraws electrons: speeds nucleophilic attack at the ring carbon (SNAr, oxidative addition, metalation next to it), slows electrophilic substitution. At meta mostly the inductive part acts; resonance does not reach this position.</t>
        </is>
      </c>
      <c r="S84" s="7" t="inlineStr">
        <is>
          <t>ethynyl (σm +0.21): an sp carbon: weakly electron-withdrawing</t>
        </is>
      </c>
      <c r="T84" s="7" t="n">
        <v>0.21</v>
      </c>
      <c r="U84" s="10" t="n">
        <v>0.82</v>
      </c>
      <c r="V84" s="7" t="inlineStr">
        <is>
          <t>aryl halide +1.42 (n=33; winner had it 52 % vs 35 % at random)</t>
        </is>
      </c>
      <c r="W84" s="7" t="n">
        <v>72</v>
      </c>
      <c r="X84" s="7" t="n">
        <v>50</v>
      </c>
      <c r="Y84" s="9" t="n">
        <v>0.3889</v>
      </c>
      <c r="Z84" s="9" t="n">
        <v>0.3064</v>
      </c>
      <c r="AA84" s="7" t="n"/>
      <c r="AB84" s="7" t="n"/>
      <c r="AC84" s="7" t="n"/>
      <c r="AD84" s="7" t="n"/>
      <c r="AE84" s="7" t="inlineStr">
        <is>
          <t>learned from the training patents (tools/int_train.py)</t>
        </is>
      </c>
      <c r="AF84" s="7" t="inlineStr">
        <is>
          <t>Hansch, Leo, Taft, Chem. Rev. 91, 165 (1991); Clayden, Organic Chemistry (aromatic substitution)</t>
        </is>
      </c>
    </row>
    <row r="85">
      <c r="A85" s="7" t="inlineStr">
        <is>
          <t>I084</t>
        </is>
      </c>
      <c r="B85" s="7" t="inlineStr">
        <is>
          <t>ring-para-ethynyl</t>
        </is>
      </c>
      <c r="C85" s="7" t="inlineStr">
        <is>
          <t>ethynyl, para to the reacting aromatic carbon</t>
        </is>
      </c>
      <c r="D85" s="7" t="inlineStr">
        <is>
          <t>ring substituent (position)</t>
        </is>
      </c>
      <c r="E85" s="7" t="inlineStr">
        <is>
          <t>electronic</t>
        </is>
      </c>
      <c r="F85" s="7" t="inlineStr">
        <is>
          <t>aromatic C</t>
        </is>
      </c>
      <c r="G85" s="7" t="inlineStr">
        <is>
          <t>[c;$(c1:a:a:c(-[C;!900*]#C):a:a:1),$([c;r5]:[c;r5]:[c;r5]:[c;r5]-[C;!900*]#C)]</t>
        </is>
      </c>
      <c r="H85" s="7" t="inlineStr">
        <is>
          <t>[c]-C#C</t>
        </is>
      </c>
      <c r="I85" s="7" t="inlineStr"/>
      <c r="J85" s="7" t="inlineStr"/>
      <c r="K85" s="7" t="inlineStr"/>
      <c r="L85" s="7" t="inlineStr"/>
      <c r="M85" s="7" t="n"/>
      <c r="N85" s="7" t="inlineStr"/>
      <c r="O85" s="7" t="inlineStr">
        <is>
          <t>yes</t>
        </is>
      </c>
      <c r="P85" s="7" t="inlineStr"/>
      <c r="Q85" s="7" t="inlineStr">
        <is>
          <t>on the ring atom opposite the reacting carbon, inside the same six-membered ring (para)</t>
        </is>
      </c>
      <c r="R85" s="7" t="inlineStr">
        <is>
          <t>withdraws electrons: speeds nucleophilic attack at the ring carbon (SNAr, oxidative addition, metalation next to it), slows electrophilic substitution. At para induction and resonance both act.</t>
        </is>
      </c>
      <c r="S85" s="7" t="inlineStr">
        <is>
          <t>ethynyl (σp +0.23): an sp carbon: weakly electron-withdrawing</t>
        </is>
      </c>
      <c r="T85" s="7" t="n">
        <v>0.23</v>
      </c>
      <c r="U85" s="10" t="n">
        <v>0.07000000000000001</v>
      </c>
      <c r="V85" s="7" t="inlineStr"/>
      <c r="W85" s="7" t="n">
        <v>75</v>
      </c>
      <c r="X85" s="7" t="n">
        <v>43</v>
      </c>
      <c r="Y85" s="9" t="n">
        <v>0.3067</v>
      </c>
      <c r="Z85" s="9" t="n">
        <v>0.3299</v>
      </c>
      <c r="AA85" s="7" t="n"/>
      <c r="AB85" s="7" t="n"/>
      <c r="AC85" s="7" t="n"/>
      <c r="AD85" s="7" t="n"/>
      <c r="AE85" s="7" t="inlineStr">
        <is>
          <t>learned from the training patents (tools/int_train.py)</t>
        </is>
      </c>
      <c r="AF85" s="7" t="inlineStr">
        <is>
          <t>Hansch, Leo, Taft, Chem. Rev. 91, 165 (1991); Clayden, Organic Chemistry (aromatic substitution)</t>
        </is>
      </c>
    </row>
    <row r="86">
      <c r="A86" s="7" t="inlineStr">
        <is>
          <t>I085</t>
        </is>
      </c>
      <c r="B86" s="7" t="inlineStr">
        <is>
          <t>ring-ortho-silyl</t>
        </is>
      </c>
      <c r="C86" s="7" t="inlineStr">
        <is>
          <t>silyl, ortho to the reacting aromatic carbon</t>
        </is>
      </c>
      <c r="D86" s="7" t="inlineStr">
        <is>
          <t>ring substituent (position)</t>
        </is>
      </c>
      <c r="E86" s="7" t="inlineStr">
        <is>
          <t>electronic</t>
        </is>
      </c>
      <c r="F86" s="7" t="inlineStr">
        <is>
          <t>aromatic C</t>
        </is>
      </c>
      <c r="G86" s="7" t="inlineStr">
        <is>
          <t>[c;$(c:c-[SiX4;!900*])]</t>
        </is>
      </c>
      <c r="H86" s="7" t="inlineStr">
        <is>
          <t>[c]-[SiX4]</t>
        </is>
      </c>
      <c r="I86" s="7" t="inlineStr"/>
      <c r="J86" s="7" t="inlineStr"/>
      <c r="K86" s="7" t="inlineStr"/>
      <c r="L86" s="7" t="inlineStr"/>
      <c r="M86" s="7" t="n"/>
      <c r="N86" s="7" t="inlineStr"/>
      <c r="O86" s="7" t="inlineStr">
        <is>
          <t>yes</t>
        </is>
      </c>
      <c r="P86" s="7" t="inlineStr"/>
      <c r="Q86" s="7" t="inlineStr">
        <is>
          <t>on the ring atom next to the reacting carbon (ortho)</t>
        </is>
      </c>
      <c r="R86" s="7" t="inlineStr">
        <is>
          <t>donates electrons: speeds electrophilic substitution at the ring carbon, slows nucleophilic attack (SNAr, oxidative addition). At ortho the electronic effect is like para, and the group also crowds the carbon.</t>
        </is>
      </c>
      <c r="S86" s="7" t="inlineStr">
        <is>
          <t>silyl (σp -0.07): a weak donor (σ-donation, β-effect)</t>
        </is>
      </c>
      <c r="T86" s="7" t="n">
        <v>-0.07000000000000001</v>
      </c>
      <c r="U86" s="10" t="n">
        <v>-1.05</v>
      </c>
      <c r="V86" s="7" t="inlineStr">
        <is>
          <t>acyl substitution -1.24 (n=63; winner had it 2 % vs 24 % at random)</t>
        </is>
      </c>
      <c r="W86" s="7" t="n">
        <v>129</v>
      </c>
      <c r="X86" s="7" t="n">
        <v>52</v>
      </c>
      <c r="Y86" s="9" t="n">
        <v>0.031</v>
      </c>
      <c r="Z86" s="9" t="n">
        <v>0.2664</v>
      </c>
      <c r="AA86" s="7" t="n"/>
      <c r="AB86" s="7" t="n"/>
      <c r="AC86" s="7" t="n"/>
      <c r="AD86" s="7" t="n"/>
      <c r="AE86" s="7" t="inlineStr">
        <is>
          <t>learned from the training patents (tools/int_train.py)</t>
        </is>
      </c>
      <c r="AF86" s="7" t="inlineStr">
        <is>
          <t>Hansch, Leo, Taft, Chem. Rev. 91, 165 (1991); Clayden, Organic Chemistry (aromatic substitution)</t>
        </is>
      </c>
    </row>
    <row r="87">
      <c r="A87" s="7" t="inlineStr">
        <is>
          <t>I086</t>
        </is>
      </c>
      <c r="B87" s="7" t="inlineStr">
        <is>
          <t>ring-meta-silyl</t>
        </is>
      </c>
      <c r="C87" s="7" t="inlineStr">
        <is>
          <t>silyl, meta to the reacting aromatic carbon</t>
        </is>
      </c>
      <c r="D87" s="7" t="inlineStr">
        <is>
          <t>ring substituent (position)</t>
        </is>
      </c>
      <c r="E87" s="7" t="inlineStr">
        <is>
          <t>electronic</t>
        </is>
      </c>
      <c r="F87" s="7" t="inlineStr">
        <is>
          <t>aromatic C</t>
        </is>
      </c>
      <c r="G87" s="7" t="inlineStr">
        <is>
          <t>[c;$(c1:a:c(-[SiX4;!900*]):a:a:a:1),$([c;r5]:[c;r5]:[c;r5]-[SiX4;!900*])]</t>
        </is>
      </c>
      <c r="H87" s="7" t="inlineStr">
        <is>
          <t>[c]-[SiX4]</t>
        </is>
      </c>
      <c r="I87" s="7" t="inlineStr"/>
      <c r="J87" s="7" t="inlineStr"/>
      <c r="K87" s="7" t="inlineStr"/>
      <c r="L87" s="7" t="inlineStr"/>
      <c r="M87" s="7" t="n"/>
      <c r="N87" s="7" t="inlineStr"/>
      <c r="O87" s="7" t="inlineStr">
        <is>
          <t>yes</t>
        </is>
      </c>
      <c r="P87" s="7" t="inlineStr"/>
      <c r="Q87" s="7" t="inlineStr">
        <is>
          <t>on the ring atom two bonds from the reacting carbon, inside the same six-membered ring (meta)</t>
        </is>
      </c>
      <c r="R87" s="7" t="inlineStr">
        <is>
          <t>donates electrons: speeds electrophilic substitution at the ring carbon, slows nucleophilic attack (SNAr, oxidative addition). At meta mostly the inductive part acts; resonance does not reach this position.</t>
        </is>
      </c>
      <c r="S87" s="7" t="inlineStr">
        <is>
          <t>silyl (σm -0.04): a weak donor (σ-donation, β-effect)</t>
        </is>
      </c>
      <c r="T87" s="7" t="n">
        <v>-0.04</v>
      </c>
      <c r="U87" s="10" t="n">
        <v>-0.28</v>
      </c>
      <c r="V87" s="7" t="inlineStr">
        <is>
          <t>carbonyl addition -0.03 (n=28; winner had it 11 % vs 25 % at random)</t>
        </is>
      </c>
      <c r="W87" s="7" t="n">
        <v>131</v>
      </c>
      <c r="X87" s="7" t="n">
        <v>50</v>
      </c>
      <c r="Y87" s="9" t="n">
        <v>0.1603</v>
      </c>
      <c r="Z87" s="9" t="n">
        <v>0.2878</v>
      </c>
      <c r="AA87" s="7" t="n"/>
      <c r="AB87" s="7" t="n"/>
      <c r="AC87" s="7" t="n"/>
      <c r="AD87" s="7" t="n"/>
      <c r="AE87" s="7" t="inlineStr">
        <is>
          <t>learned from the training patents (tools/int_train.py)</t>
        </is>
      </c>
      <c r="AF87" s="7" t="inlineStr">
        <is>
          <t>Hansch, Leo, Taft, Chem. Rev. 91, 165 (1991); Clayden, Organic Chemistry (aromatic substitution)</t>
        </is>
      </c>
    </row>
    <row r="88">
      <c r="A88" s="7" t="inlineStr">
        <is>
          <t>I087</t>
        </is>
      </c>
      <c r="B88" s="7" t="inlineStr">
        <is>
          <t>ring-para-silyl</t>
        </is>
      </c>
      <c r="C88" s="7" t="inlineStr">
        <is>
          <t>silyl, para to the reacting aromatic carbon</t>
        </is>
      </c>
      <c r="D88" s="7" t="inlineStr">
        <is>
          <t>ring substituent (position)</t>
        </is>
      </c>
      <c r="E88" s="7" t="inlineStr">
        <is>
          <t>electronic</t>
        </is>
      </c>
      <c r="F88" s="7" t="inlineStr">
        <is>
          <t>aromatic C</t>
        </is>
      </c>
      <c r="G88" s="7" t="inlineStr">
        <is>
          <t>[c;$(c1:a:a:c(-[SiX4;!900*]):a:a:1),$([c;r5]:[c;r5]:[c;r5]:[c;r5]-[SiX4;!900*])]</t>
        </is>
      </c>
      <c r="H88" s="7" t="inlineStr">
        <is>
          <t>[c]-[SiX4]</t>
        </is>
      </c>
      <c r="I88" s="7" t="inlineStr"/>
      <c r="J88" s="7" t="inlineStr"/>
      <c r="K88" s="7" t="inlineStr"/>
      <c r="L88" s="7" t="inlineStr"/>
      <c r="M88" s="7" t="n"/>
      <c r="N88" s="7" t="inlineStr"/>
      <c r="O88" s="7" t="inlineStr">
        <is>
          <t>yes</t>
        </is>
      </c>
      <c r="P88" s="7" t="inlineStr"/>
      <c r="Q88" s="7" t="inlineStr">
        <is>
          <t>on the ring atom opposite the reacting carbon, inside the same six-membered ring (para)</t>
        </is>
      </c>
      <c r="R88" s="7" t="inlineStr">
        <is>
          <t>donates electrons: speeds electrophilic substitution at the ring carbon, slows nucleophilic attack (SNAr, oxidative addition). At para induction and resonance both act.</t>
        </is>
      </c>
      <c r="S88" s="7" t="inlineStr">
        <is>
          <t>silyl (σp -0.07): a weak donor (σ-donation, β-effect)</t>
        </is>
      </c>
      <c r="T88" s="7" t="n">
        <v>-0.07000000000000001</v>
      </c>
      <c r="U88" s="10" t="n">
        <v>0.58</v>
      </c>
      <c r="V88" s="7" t="inlineStr">
        <is>
          <t>aryl halide +2.02 (n=51; winner had it 88 % vs 46 % at random) · acyl substitution +0.13 (n=57; winner had it 4 % vs 21 % at random) · carbonyl addition +0.09 (n=25; winner had it 0 % vs 22 % at random)</t>
        </is>
      </c>
      <c r="W88" s="7" t="n">
        <v>161</v>
      </c>
      <c r="X88" s="7" t="n">
        <v>65</v>
      </c>
      <c r="Y88" s="9" t="n">
        <v>0.3789</v>
      </c>
      <c r="Z88" s="9" t="n">
        <v>0.32</v>
      </c>
      <c r="AA88" s="7" t="n"/>
      <c r="AB88" s="7" t="n"/>
      <c r="AC88" s="7" t="n"/>
      <c r="AD88" s="7" t="n"/>
      <c r="AE88" s="7" t="inlineStr">
        <is>
          <t>learned from the training patents (tools/int_train.py)</t>
        </is>
      </c>
      <c r="AF88" s="7" t="inlineStr">
        <is>
          <t>Hansch, Leo, Taft, Chem. Rev. 91, 165 (1991); Clayden, Organic Chemistry (aromatic substitution)</t>
        </is>
      </c>
    </row>
    <row r="89">
      <c r="A89" s="7" t="inlineStr">
        <is>
          <t>I088</t>
        </is>
      </c>
      <c r="B89" s="7" t="inlineStr">
        <is>
          <t>ring-ortho-nr3plus</t>
        </is>
      </c>
      <c r="C89" s="7" t="inlineStr">
        <is>
          <t>ammonium, ortho to the reacting aromatic carbon</t>
        </is>
      </c>
      <c r="D89" s="7" t="inlineStr">
        <is>
          <t>ring substituent (position)</t>
        </is>
      </c>
      <c r="E89" s="7" t="inlineStr">
        <is>
          <t>electronic</t>
        </is>
      </c>
      <c r="F89" s="7" t="inlineStr">
        <is>
          <t>aromatic C</t>
        </is>
      </c>
      <c r="G89" s="7" t="inlineStr">
        <is>
          <t>[c;$(c:c-[NX4+;!900*])]</t>
        </is>
      </c>
      <c r="H89" s="7" t="inlineStr">
        <is>
          <t>[c]-[NX4+]</t>
        </is>
      </c>
      <c r="I89" s="7" t="inlineStr"/>
      <c r="J89" s="7" t="inlineStr"/>
      <c r="K89" s="7" t="inlineStr"/>
      <c r="L89" s="7" t="inlineStr"/>
      <c r="M89" s="7" t="n"/>
      <c r="N89" s="7" t="inlineStr"/>
      <c r="O89" s="7" t="inlineStr">
        <is>
          <t>yes</t>
        </is>
      </c>
      <c r="P89" s="7" t="inlineStr"/>
      <c r="Q89" s="7" t="inlineStr">
        <is>
          <t>on the ring atom next to the reacting carbon (ortho)</t>
        </is>
      </c>
      <c r="R89" s="7" t="inlineStr">
        <is>
          <t>withdraws electrons: speeds nucleophilic attack at the ring carbon (SNAr, oxidative addition, metalation next to it), slows electrophilic substitution. At ortho the electronic effect is like para, and the group also crowds the carbon.</t>
        </is>
      </c>
      <c r="S89" s="7" t="inlineStr">
        <is>
          <t>ammonium (σp +0.82): a positive charge next to the ring withdraws strongly</t>
        </is>
      </c>
      <c r="T89" s="7" t="n">
        <v>0.82</v>
      </c>
      <c r="U89" s="10" t="n">
        <v>-0.05</v>
      </c>
      <c r="V89" s="7" t="inlineStr"/>
      <c r="W89" s="7" t="n">
        <v>1</v>
      </c>
      <c r="X89" s="7" t="n">
        <v>1</v>
      </c>
      <c r="Y89" s="9" t="n">
        <v>0</v>
      </c>
      <c r="Z89" s="9" t="n">
        <v>0.2857</v>
      </c>
      <c r="AA89" s="7" t="n"/>
      <c r="AB89" s="7" t="n"/>
      <c r="AC89" s="7" t="n"/>
      <c r="AD89" s="7" t="n"/>
      <c r="AE89" s="7" t="inlineStr">
        <is>
          <t>too few contests in the recorded reactions to learn a weight (the weight is shrunk to about zero): the textbook effect is advisory</t>
        </is>
      </c>
      <c r="AF89" s="7" t="inlineStr">
        <is>
          <t>Hansch, Leo, Taft, Chem. Rev. 91, 165 (1991); Clayden, Organic Chemistry (aromatic substitution)</t>
        </is>
      </c>
    </row>
    <row r="90">
      <c r="A90" s="7" t="inlineStr">
        <is>
          <t>I089</t>
        </is>
      </c>
      <c r="B90" s="7" t="inlineStr">
        <is>
          <t>ring-meta-nr3plus</t>
        </is>
      </c>
      <c r="C90" s="7" t="inlineStr">
        <is>
          <t>ammonium, meta to the reacting aromatic carbon</t>
        </is>
      </c>
      <c r="D90" s="7" t="inlineStr">
        <is>
          <t>ring substituent (position)</t>
        </is>
      </c>
      <c r="E90" s="7" t="inlineStr">
        <is>
          <t>electronic</t>
        </is>
      </c>
      <c r="F90" s="7" t="inlineStr">
        <is>
          <t>aromatic C</t>
        </is>
      </c>
      <c r="G90" s="7" t="inlineStr">
        <is>
          <t>[c;$(c1:a:c(-[NX4+;!900*]):a:a:a:1),$([c;r5]:[c;r5]:[c;r5]-[NX4+;!900*])]</t>
        </is>
      </c>
      <c r="H90" s="7" t="inlineStr">
        <is>
          <t>[c]-[NX4+]</t>
        </is>
      </c>
      <c r="I90" s="7" t="inlineStr"/>
      <c r="J90" s="7" t="inlineStr"/>
      <c r="K90" s="7" t="inlineStr"/>
      <c r="L90" s="7" t="inlineStr"/>
      <c r="M90" s="7" t="n"/>
      <c r="N90" s="7" t="inlineStr"/>
      <c r="O90" s="7" t="inlineStr">
        <is>
          <t>yes</t>
        </is>
      </c>
      <c r="P90" s="7" t="inlineStr"/>
      <c r="Q90" s="7" t="inlineStr">
        <is>
          <t>on the ring atom two bonds from the reacting carbon, inside the same six-membered ring (meta)</t>
        </is>
      </c>
      <c r="R90" s="7" t="inlineStr">
        <is>
          <t>withdraws electrons: speeds nucleophilic attack at the ring carbon (SNAr, oxidative addition, metalation next to it), slows electrophilic substitution. At meta mostly the inductive part acts; resonance does not reach this position.</t>
        </is>
      </c>
      <c r="S90" s="7" t="inlineStr">
        <is>
          <t>ammonium (σm +0.88): a positive charge next to the ring withdraws strongly</t>
        </is>
      </c>
      <c r="T90" s="7" t="n">
        <v>0.88</v>
      </c>
      <c r="U90" s="10" t="n">
        <v>-0.3</v>
      </c>
      <c r="V90" s="7" t="inlineStr"/>
      <c r="W90" s="7" t="n">
        <v>1</v>
      </c>
      <c r="X90" s="7" t="n">
        <v>1</v>
      </c>
      <c r="Y90" s="9" t="n">
        <v>0</v>
      </c>
      <c r="Z90" s="9" t="n">
        <v>0.5714</v>
      </c>
      <c r="AA90" s="7" t="n"/>
      <c r="AB90" s="7" t="n"/>
      <c r="AC90" s="7" t="n"/>
      <c r="AD90" s="7" t="n"/>
      <c r="AE90" s="7" t="inlineStr">
        <is>
          <t>too few contests in the recorded reactions to learn a weight (the weight is shrunk to about zero): the textbook effect is advisory</t>
        </is>
      </c>
      <c r="AF90" s="7" t="inlineStr">
        <is>
          <t>Hansch, Leo, Taft, Chem. Rev. 91, 165 (1991); Clayden, Organic Chemistry (aromatic substitution)</t>
        </is>
      </c>
    </row>
    <row r="91">
      <c r="A91" s="7" t="inlineStr">
        <is>
          <t>I090</t>
        </is>
      </c>
      <c r="B91" s="7" t="inlineStr">
        <is>
          <t>ring-para-nr3plus</t>
        </is>
      </c>
      <c r="C91" s="7" t="inlineStr">
        <is>
          <t>ammonium, para to the reacting aromatic carbon</t>
        </is>
      </c>
      <c r="D91" s="7" t="inlineStr">
        <is>
          <t>ring substituent (position)</t>
        </is>
      </c>
      <c r="E91" s="7" t="inlineStr">
        <is>
          <t>electronic</t>
        </is>
      </c>
      <c r="F91" s="7" t="inlineStr">
        <is>
          <t>aromatic C</t>
        </is>
      </c>
      <c r="G91" s="7" t="inlineStr">
        <is>
          <t>[c;$(c1:a:a:c(-[NX4+;!900*]):a:a:1),$([c;r5]:[c;r5]:[c;r5]:[c;r5]-[NX4+;!900*])]</t>
        </is>
      </c>
      <c r="H91" s="7" t="inlineStr">
        <is>
          <t>[c]-[NX4+]</t>
        </is>
      </c>
      <c r="I91" s="7" t="inlineStr"/>
      <c r="J91" s="7" t="inlineStr"/>
      <c r="K91" s="7" t="inlineStr"/>
      <c r="L91" s="7" t="inlineStr"/>
      <c r="M91" s="7" t="n"/>
      <c r="N91" s="7" t="inlineStr"/>
      <c r="O91" s="7" t="inlineStr">
        <is>
          <t>yes</t>
        </is>
      </c>
      <c r="P91" s="7" t="inlineStr"/>
      <c r="Q91" s="7" t="inlineStr">
        <is>
          <t>on the ring atom opposite the reacting carbon, inside the same six-membered ring (para)</t>
        </is>
      </c>
      <c r="R91" s="7" t="inlineStr">
        <is>
          <t>withdraws electrons: speeds nucleophilic attack at the ring carbon (SNAr, oxidative addition, metalation next to it), slows electrophilic substitution. At para induction and resonance both act.</t>
        </is>
      </c>
      <c r="S91" s="7" t="inlineStr">
        <is>
          <t>ammonium (σp +0.82): a positive charge next to the ring withdraws strongly</t>
        </is>
      </c>
      <c r="T91" s="7" t="n">
        <v>0.82</v>
      </c>
      <c r="U91" s="10" t="n">
        <v>0.37</v>
      </c>
      <c r="V91" s="7" t="inlineStr"/>
      <c r="W91" s="7" t="n">
        <v>1</v>
      </c>
      <c r="X91" s="7" t="n">
        <v>1</v>
      </c>
      <c r="Y91" s="9" t="n">
        <v>1</v>
      </c>
      <c r="Z91" s="9" t="n">
        <v>0.1429</v>
      </c>
      <c r="AA91" s="7" t="n"/>
      <c r="AB91" s="7" t="n"/>
      <c r="AC91" s="7" t="n"/>
      <c r="AD91" s="7" t="n"/>
      <c r="AE91" s="7" t="inlineStr">
        <is>
          <t>too few contests in the recorded reactions to learn a weight (the weight is shrunk to about zero): the textbook effect is advisory</t>
        </is>
      </c>
      <c r="AF91" s="7" t="inlineStr">
        <is>
          <t>Hansch, Leo, Taft, Chem. Rev. 91, 165 (1991); Clayden, Organic Chemistry (aromatic substitution)</t>
        </is>
      </c>
    </row>
    <row r="92">
      <c r="A92" s="7" t="inlineStr">
        <is>
          <t>I091</t>
        </is>
      </c>
      <c r="B92" s="7" t="inlineStr">
        <is>
          <t>ring-ortho-ominus</t>
        </is>
      </c>
      <c r="C92" s="7" t="inlineStr">
        <is>
          <t>phenoxide (O⁻), ortho to the reacting aromatic carbon</t>
        </is>
      </c>
      <c r="D92" s="7" t="inlineStr">
        <is>
          <t>ring substituent (position)</t>
        </is>
      </c>
      <c r="E92" s="7" t="inlineStr">
        <is>
          <t>electronic</t>
        </is>
      </c>
      <c r="F92" s="7" t="inlineStr">
        <is>
          <t>aromatic C</t>
        </is>
      </c>
      <c r="G92" s="7" t="inlineStr">
        <is>
          <t>[c;$(c:c-[OX1-;!900*])]</t>
        </is>
      </c>
      <c r="H92" s="7" t="inlineStr">
        <is>
          <t>[c]-[OX1-]</t>
        </is>
      </c>
      <c r="I92" s="7" t="inlineStr"/>
      <c r="J92" s="7" t="inlineStr"/>
      <c r="K92" s="7" t="inlineStr"/>
      <c r="L92" s="7" t="inlineStr"/>
      <c r="M92" s="7" t="n"/>
      <c r="N92" s="7" t="inlineStr"/>
      <c r="O92" s="7" t="inlineStr">
        <is>
          <t>yes</t>
        </is>
      </c>
      <c r="P92" s="7" t="inlineStr"/>
      <c r="Q92" s="7" t="inlineStr">
        <is>
          <t>on the ring atom next to the reacting carbon (ortho)</t>
        </is>
      </c>
      <c r="R92" s="7" t="inlineStr">
        <is>
          <t>donates electrons: speeds electrophilic substitution at the ring carbon, slows nucleophilic attack (SNAr, oxidative addition). At ortho the electronic effect is like para, and the group also crowds the carbon.</t>
        </is>
      </c>
      <c r="S92" s="7" t="inlineStr">
        <is>
          <t>phenoxide (O⁻) (σp -0.81): an anionic O donates more strongly than OH</t>
        </is>
      </c>
      <c r="T92" s="7" t="n">
        <v>-0.8100000000000001</v>
      </c>
      <c r="U92" s="10" t="n">
        <v>-0.29</v>
      </c>
      <c r="V92" s="7" t="inlineStr"/>
      <c r="W92" s="7" t="n">
        <v>7</v>
      </c>
      <c r="X92" s="7" t="n">
        <v>7</v>
      </c>
      <c r="Y92" s="9" t="n">
        <v>0</v>
      </c>
      <c r="Z92" s="9" t="n">
        <v>0.3333</v>
      </c>
      <c r="AA92" s="7" t="n"/>
      <c r="AB92" s="7" t="n"/>
      <c r="AC92" s="7" t="n"/>
      <c r="AD92" s="7" t="n"/>
      <c r="AE92" s="7" t="inlineStr">
        <is>
          <t>too few contests in the recorded reactions to learn a weight (the weight is shrunk to about zero): the textbook effect is advisory</t>
        </is>
      </c>
      <c r="AF92" s="7" t="inlineStr">
        <is>
          <t>Hansch, Leo, Taft, Chem. Rev. 91, 165 (1991); Clayden, Organic Chemistry (aromatic substitution)</t>
        </is>
      </c>
    </row>
    <row r="93">
      <c r="A93" s="7" t="inlineStr">
        <is>
          <t>I092</t>
        </is>
      </c>
      <c r="B93" s="7" t="inlineStr">
        <is>
          <t>ring-meta-ominus</t>
        </is>
      </c>
      <c r="C93" s="7" t="inlineStr">
        <is>
          <t>phenoxide (O⁻), meta to the reacting aromatic carbon</t>
        </is>
      </c>
      <c r="D93" s="7" t="inlineStr">
        <is>
          <t>ring substituent (position)</t>
        </is>
      </c>
      <c r="E93" s="7" t="inlineStr">
        <is>
          <t>electronic</t>
        </is>
      </c>
      <c r="F93" s="7" t="inlineStr">
        <is>
          <t>aromatic C</t>
        </is>
      </c>
      <c r="G93" s="7" t="inlineStr">
        <is>
          <t>[c;$(c1:a:c(-[OX1-;!900*]):a:a:a:1),$([c;r5]:[c;r5]:[c;r5]-[OX1-;!900*])]</t>
        </is>
      </c>
      <c r="H93" s="7" t="inlineStr">
        <is>
          <t>[c]-[OX1-]</t>
        </is>
      </c>
      <c r="I93" s="7" t="inlineStr"/>
      <c r="J93" s="7" t="inlineStr"/>
      <c r="K93" s="7" t="inlineStr"/>
      <c r="L93" s="7" t="inlineStr"/>
      <c r="M93" s="7" t="n"/>
      <c r="N93" s="7" t="inlineStr"/>
      <c r="O93" s="7" t="inlineStr">
        <is>
          <t>yes</t>
        </is>
      </c>
      <c r="P93" s="7" t="inlineStr"/>
      <c r="Q93" s="7" t="inlineStr">
        <is>
          <t>on the ring atom two bonds from the reacting carbon, inside the same six-membered ring (meta)</t>
        </is>
      </c>
      <c r="R93" s="7" t="inlineStr">
        <is>
          <t>donates electrons: speeds electrophilic substitution at the ring carbon, slows nucleophilic attack (SNAr, oxidative addition). At meta mostly the inductive part acts; resonance does not reach this position.</t>
        </is>
      </c>
      <c r="S93" s="7" t="inlineStr">
        <is>
          <t>phenoxide (O⁻) (σm -0.47): an anionic O donates more strongly than OH</t>
        </is>
      </c>
      <c r="T93" s="7" t="n">
        <v>-0.47</v>
      </c>
      <c r="U93" s="10" t="n">
        <v>-0.25</v>
      </c>
      <c r="V93" s="7" t="inlineStr"/>
      <c r="W93" s="7" t="n">
        <v>6</v>
      </c>
      <c r="X93" s="7" t="n">
        <v>6</v>
      </c>
      <c r="Y93" s="9" t="n">
        <v>0</v>
      </c>
      <c r="Z93" s="9" t="n">
        <v>0.3056</v>
      </c>
      <c r="AA93" s="7" t="n"/>
      <c r="AB93" s="7" t="n"/>
      <c r="AC93" s="7" t="n"/>
      <c r="AD93" s="7" t="n"/>
      <c r="AE93" s="7" t="inlineStr">
        <is>
          <t>too few contests in the recorded reactions to learn a weight (the weight is shrunk to about zero): the textbook effect is advisory</t>
        </is>
      </c>
      <c r="AF93" s="7" t="inlineStr">
        <is>
          <t>Hansch, Leo, Taft, Chem. Rev. 91, 165 (1991); Clayden, Organic Chemistry (aromatic substitution)</t>
        </is>
      </c>
    </row>
    <row r="94">
      <c r="A94" s="7" t="inlineStr">
        <is>
          <t>I093</t>
        </is>
      </c>
      <c r="B94" s="7" t="inlineStr">
        <is>
          <t>ring-para-ominus</t>
        </is>
      </c>
      <c r="C94" s="7" t="inlineStr">
        <is>
          <t>phenoxide (O⁻), para to the reacting aromatic carbon</t>
        </is>
      </c>
      <c r="D94" s="7" t="inlineStr">
        <is>
          <t>ring substituent (position)</t>
        </is>
      </c>
      <c r="E94" s="7" t="inlineStr">
        <is>
          <t>electronic</t>
        </is>
      </c>
      <c r="F94" s="7" t="inlineStr">
        <is>
          <t>aromatic C</t>
        </is>
      </c>
      <c r="G94" s="7" t="inlineStr">
        <is>
          <t>[c;$(c1:a:a:c(-[OX1-;!900*]):a:a:1),$([c;r5]:[c;r5]:[c;r5]:[c;r5]-[OX1-;!900*])]</t>
        </is>
      </c>
      <c r="H94" s="7" t="inlineStr">
        <is>
          <t>[c]-[OX1-]</t>
        </is>
      </c>
      <c r="I94" s="7" t="inlineStr"/>
      <c r="J94" s="7" t="inlineStr"/>
      <c r="K94" s="7" t="inlineStr"/>
      <c r="L94" s="7" t="inlineStr"/>
      <c r="M94" s="7" t="n"/>
      <c r="N94" s="7" t="inlineStr"/>
      <c r="O94" s="7" t="inlineStr">
        <is>
          <t>yes</t>
        </is>
      </c>
      <c r="P94" s="7" t="inlineStr"/>
      <c r="Q94" s="7" t="inlineStr">
        <is>
          <t>on the ring atom opposite the reacting carbon, inside the same six-membered ring (para)</t>
        </is>
      </c>
      <c r="R94" s="7" t="inlineStr">
        <is>
          <t>donates electrons: speeds electrophilic substitution at the ring carbon, slows nucleophilic attack (SNAr, oxidative addition). At para induction and resonance both act.</t>
        </is>
      </c>
      <c r="S94" s="7" t="inlineStr">
        <is>
          <t>phenoxide (O⁻) (σp -0.81): an anionic O donates more strongly than OH</t>
        </is>
      </c>
      <c r="T94" s="7" t="n">
        <v>-0.8100000000000001</v>
      </c>
      <c r="U94" s="10" t="n">
        <v>-0.36</v>
      </c>
      <c r="V94" s="7" t="inlineStr"/>
      <c r="W94" s="7" t="n">
        <v>6</v>
      </c>
      <c r="X94" s="7" t="n">
        <v>6</v>
      </c>
      <c r="Y94" s="9" t="n">
        <v>0</v>
      </c>
      <c r="Z94" s="9" t="n">
        <v>0.3333</v>
      </c>
      <c r="AA94" s="7" t="n"/>
      <c r="AB94" s="7" t="n"/>
      <c r="AC94" s="7" t="n"/>
      <c r="AD94" s="7" t="n"/>
      <c r="AE94" s="7" t="inlineStr">
        <is>
          <t>too few contests in the recorded reactions to learn a weight (the weight is shrunk to about zero): the textbook effect is advisory</t>
        </is>
      </c>
      <c r="AF94" s="7" t="inlineStr">
        <is>
          <t>Hansch, Leo, Taft, Chem. Rev. 91, 165 (1991); Clayden, Organic Chemistry (aromatic substitution)</t>
        </is>
      </c>
    </row>
    <row r="95">
      <c r="A95" s="7" t="inlineStr">
        <is>
          <t>I094</t>
        </is>
      </c>
      <c r="B95" s="7" t="inlineStr">
        <is>
          <t>ring-ortho-co2minus</t>
        </is>
      </c>
      <c r="C95" s="7" t="inlineStr">
        <is>
          <t>carboxylate, ortho to the reacting aromatic carbon</t>
        </is>
      </c>
      <c r="D95" s="7" t="inlineStr">
        <is>
          <t>ring substituent (position)</t>
        </is>
      </c>
      <c r="E95" s="7" t="inlineStr">
        <is>
          <t>electronic</t>
        </is>
      </c>
      <c r="F95" s="7" t="inlineStr">
        <is>
          <t>aromatic C</t>
        </is>
      </c>
      <c r="G95" s="7" t="inlineStr">
        <is>
          <t>[c;$(c:c-[CX3;!900*](=O)[OX1-])]</t>
        </is>
      </c>
      <c r="H95" s="7" t="inlineStr">
        <is>
          <t>[c]-[CX3](=O)[OX1-]</t>
        </is>
      </c>
      <c r="I95" s="7" t="inlineStr"/>
      <c r="J95" s="7" t="inlineStr"/>
      <c r="K95" s="7" t="inlineStr"/>
      <c r="L95" s="7" t="inlineStr"/>
      <c r="M95" s="7" t="n"/>
      <c r="N95" s="7" t="inlineStr"/>
      <c r="O95" s="7" t="inlineStr">
        <is>
          <t>yes</t>
        </is>
      </c>
      <c r="P95" s="7" t="inlineStr"/>
      <c r="Q95" s="7" t="inlineStr">
        <is>
          <t>on the ring atom next to the reacting carbon (ortho)</t>
        </is>
      </c>
      <c r="R95" s="7" t="inlineStr">
        <is>
          <t>has almost no net electronic effect on the ring carbon (σ close to 0); a carboxylate is a weak meta director in electrophilic substitution. At ortho the electronic effect is like para, and the group also crowds the carbon.</t>
        </is>
      </c>
      <c r="S95" s="7" t="inlineStr">
        <is>
          <t>carboxylate (σp +0.00): an anionic carboxylate: neutral to weakly donating</t>
        </is>
      </c>
      <c r="T95" s="7" t="n">
        <v>0</v>
      </c>
      <c r="U95" s="10" t="n">
        <v>-0.1</v>
      </c>
      <c r="V95" s="7" t="inlineStr"/>
      <c r="W95" s="7" t="n">
        <v>1</v>
      </c>
      <c r="X95" s="7" t="n">
        <v>1</v>
      </c>
      <c r="Y95" s="9" t="n">
        <v>0</v>
      </c>
      <c r="Z95" s="9" t="n">
        <v>0.3333</v>
      </c>
      <c r="AA95" s="7" t="n"/>
      <c r="AB95" s="7" t="n"/>
      <c r="AC95" s="7" t="n"/>
      <c r="AD95" s="7" t="n"/>
      <c r="AE95" s="7" t="inlineStr">
        <is>
          <t>too few contests in the recorded reactions to learn a weight (the weight is shrunk to about zero): the textbook effect is advisory</t>
        </is>
      </c>
      <c r="AF95" s="7" t="inlineStr">
        <is>
          <t>Hansch, Leo, Taft, Chem. Rev. 91, 165 (1991); Clayden, Organic Chemistry (aromatic substitution)</t>
        </is>
      </c>
    </row>
    <row r="96">
      <c r="A96" s="7" t="inlineStr">
        <is>
          <t>I095</t>
        </is>
      </c>
      <c r="B96" s="7" t="inlineStr">
        <is>
          <t>ring-meta-co2minus</t>
        </is>
      </c>
      <c r="C96" s="7" t="inlineStr">
        <is>
          <t>carboxylate, meta to the reacting aromatic carbon</t>
        </is>
      </c>
      <c r="D96" s="7" t="inlineStr">
        <is>
          <t>ring substituent (position)</t>
        </is>
      </c>
      <c r="E96" s="7" t="inlineStr">
        <is>
          <t>electronic</t>
        </is>
      </c>
      <c r="F96" s="7" t="inlineStr">
        <is>
          <t>aromatic C</t>
        </is>
      </c>
      <c r="G96" s="7" t="inlineStr">
        <is>
          <t>[c;$(c1:a:c(-[CX3;!900*](=O)[OX1-]):a:a:a:1),$([c;r5]:[c;r5]:[c;r5]-[CX3;!900*](=O)[OX1-])]</t>
        </is>
      </c>
      <c r="H96" s="7" t="inlineStr">
        <is>
          <t>[c]-[CX3](=O)[OX1-]</t>
        </is>
      </c>
      <c r="I96" s="7" t="inlineStr"/>
      <c r="J96" s="7" t="inlineStr"/>
      <c r="K96" s="7" t="inlineStr"/>
      <c r="L96" s="7" t="inlineStr"/>
      <c r="M96" s="7" t="n"/>
      <c r="N96" s="7" t="inlineStr"/>
      <c r="O96" s="7" t="inlineStr">
        <is>
          <t>yes</t>
        </is>
      </c>
      <c r="P96" s="7" t="inlineStr"/>
      <c r="Q96" s="7" t="inlineStr">
        <is>
          <t>on the ring atom two bonds from the reacting carbon, inside the same six-membered ring (meta)</t>
        </is>
      </c>
      <c r="R96" s="7" t="inlineStr">
        <is>
          <t>has almost no net electronic effect on the ring carbon (σ close to 0); a carboxylate is a weak meta director in electrophilic substitution. At meta mostly the inductive part acts; resonance does not reach this position.</t>
        </is>
      </c>
      <c r="S96" s="7" t="inlineStr">
        <is>
          <t>carboxylate (σm -0.10): an anionic carboxylate: neutral to weakly donating</t>
        </is>
      </c>
      <c r="T96" s="7" t="n">
        <v>-0.1</v>
      </c>
      <c r="U96" s="10" t="n">
        <v>-0.08</v>
      </c>
      <c r="V96" s="7" t="inlineStr"/>
      <c r="W96" s="7" t="n">
        <v>1</v>
      </c>
      <c r="X96" s="7" t="n">
        <v>1</v>
      </c>
      <c r="Y96" s="9" t="n">
        <v>0</v>
      </c>
      <c r="Z96" s="9" t="n">
        <v>0.3333</v>
      </c>
      <c r="AA96" s="7" t="n"/>
      <c r="AB96" s="7" t="n"/>
      <c r="AC96" s="7" t="n"/>
      <c r="AD96" s="7" t="n"/>
      <c r="AE96" s="7" t="inlineStr">
        <is>
          <t>too few contests in the recorded reactions to learn a weight (the weight is shrunk to about zero): the textbook effect is advisory</t>
        </is>
      </c>
      <c r="AF96" s="7" t="inlineStr">
        <is>
          <t>Hansch, Leo, Taft, Chem. Rev. 91, 165 (1991); Clayden, Organic Chemistry (aromatic substitution)</t>
        </is>
      </c>
    </row>
    <row r="97">
      <c r="A97" s="7" t="inlineStr">
        <is>
          <t>I096</t>
        </is>
      </c>
      <c r="B97" s="7" t="inlineStr">
        <is>
          <t>ring-para-co2minus</t>
        </is>
      </c>
      <c r="C97" s="7" t="inlineStr">
        <is>
          <t>carboxylate, para to the reacting aromatic carbon</t>
        </is>
      </c>
      <c r="D97" s="7" t="inlineStr">
        <is>
          <t>ring substituent (position)</t>
        </is>
      </c>
      <c r="E97" s="7" t="inlineStr">
        <is>
          <t>electronic</t>
        </is>
      </c>
      <c r="F97" s="7" t="inlineStr">
        <is>
          <t>aromatic C</t>
        </is>
      </c>
      <c r="G97" s="7" t="inlineStr">
        <is>
          <t>[c;$(c1:a:a:c(-[CX3;!900*](=O)[OX1-]):a:a:1),$([c;r5]:[c;r5]:[c;r5]:[c;r5]-[CX3;!900*](=O)[OX1-])]</t>
        </is>
      </c>
      <c r="H97" s="7" t="inlineStr">
        <is>
          <t>[c]-[CX3](=O)[OX1-]</t>
        </is>
      </c>
      <c r="I97" s="7" t="inlineStr"/>
      <c r="J97" s="7" t="inlineStr"/>
      <c r="K97" s="7" t="inlineStr"/>
      <c r="L97" s="7" t="inlineStr"/>
      <c r="M97" s="7" t="n"/>
      <c r="N97" s="7" t="inlineStr"/>
      <c r="O97" s="7" t="inlineStr">
        <is>
          <t>yes</t>
        </is>
      </c>
      <c r="P97" s="7" t="inlineStr"/>
      <c r="Q97" s="7" t="inlineStr">
        <is>
          <t>on the ring atom opposite the reacting carbon, inside the same six-membered ring (para)</t>
        </is>
      </c>
      <c r="R97" s="7" t="inlineStr">
        <is>
          <t>has almost no net electronic effect on the ring carbon (σ close to 0); a carboxylate is a weak meta director in electrophilic substitution. At para induction and resonance both act.</t>
        </is>
      </c>
      <c r="S97" s="7" t="inlineStr">
        <is>
          <t>carboxylate (σp +0.00): an anionic carboxylate: neutral to weakly donating</t>
        </is>
      </c>
      <c r="T97" s="7" t="n">
        <v>0</v>
      </c>
      <c r="U97" s="10" t="n">
        <v>0.05</v>
      </c>
      <c r="V97" s="7" t="inlineStr"/>
      <c r="W97" s="7" t="n">
        <v>2</v>
      </c>
      <c r="X97" s="7" t="n">
        <v>2</v>
      </c>
      <c r="Y97" s="9" t="n">
        <v>0.5</v>
      </c>
      <c r="Z97" s="9" t="n">
        <v>0.4167</v>
      </c>
      <c r="AA97" s="7" t="n"/>
      <c r="AB97" s="7" t="n"/>
      <c r="AC97" s="7" t="n"/>
      <c r="AD97" s="7" t="n"/>
      <c r="AE97" s="7" t="inlineStr">
        <is>
          <t>too few contests in the recorded reactions to learn a weight (the weight is shrunk to about zero): the textbook effect is advisory</t>
        </is>
      </c>
      <c r="AF97" s="7" t="inlineStr">
        <is>
          <t>Hansch, Leo, Taft, Chem. Rev. 91, 165 (1991); Clayden, Organic Chemistry (aromatic substitution)</t>
        </is>
      </c>
    </row>
    <row r="98">
      <c r="A98" s="7" t="inlineStr">
        <is>
          <t>I097</t>
        </is>
      </c>
      <c r="B98" s="7" t="inlineStr">
        <is>
          <t>ring-alpha-N</t>
        </is>
      </c>
      <c r="C98" s="7" t="inlineStr">
        <is>
          <t>reacting carbon next to a pyridine-type ring nitrogen (α)</t>
        </is>
      </c>
      <c r="D98" s="7" t="inlineStr">
        <is>
          <t>ring type</t>
        </is>
      </c>
      <c r="E98" s="7" t="inlineStr">
        <is>
          <t>electronic</t>
        </is>
      </c>
      <c r="F98" s="7" t="inlineStr">
        <is>
          <t>aromatic C</t>
        </is>
      </c>
      <c r="G98" s="7" t="inlineStr">
        <is>
          <t>[c;$(c:[nX2])]</t>
        </is>
      </c>
      <c r="H98" s="7" t="inlineStr"/>
      <c r="I98" s="7" t="inlineStr"/>
      <c r="J98" s="7" t="inlineStr"/>
      <c r="K98" s="7" t="inlineStr"/>
      <c r="L98" s="7" t="inlineStr"/>
      <c r="M98" s="7" t="n"/>
      <c r="N98" s="7" t="inlineStr"/>
      <c r="O98" s="7" t="inlineStr">
        <is>
          <t>yes</t>
        </is>
      </c>
      <c r="P98" s="7" t="inlineStr"/>
      <c r="Q98" s="7" t="inlineStr">
        <is>
          <t>the reacting carbon is bonded to a pyridine-type ring N (2-position of pyridine, C2 of azoles)</t>
        </is>
      </c>
      <c r="R98" s="7" t="inlineStr">
        <is>
          <t>electron-poor carbon: nucleophiles add here (SNAr, Chichibabin, Minisci) and the C–X bond is activated for oxidative addition</t>
        </is>
      </c>
      <c r="S98" s="7" t="inlineStr">
        <is>
          <t>the ring N pulls electron density from the neighbouring carbon and takes the negative charge of the intermediate</t>
        </is>
      </c>
      <c r="T98" s="7" t="n"/>
      <c r="U98" s="10" t="n">
        <v>1.09</v>
      </c>
      <c r="V98" s="7" t="inlineStr">
        <is>
          <t>aryl halide +2.99 (n=6462; winner had it 90 % vs 48 % at random) · carbonyl addition +1.62 (n=586; winner had it 59 % vs 40 % at random) · redox other +1.42 (n=43; winner had it 63 % vs 39 % at random) · alkyl substitution +1.35 (n=367; winner had it 56 % vs 38 % at random) · n nucleophile +1.14 (n=371; winner had it 65 % vs 41 % at random) · deprotection +0.99 (n=213; winner had it 44 % vs 34 % at random)</t>
        </is>
      </c>
      <c r="W98" s="7" t="n">
        <v>12312</v>
      </c>
      <c r="X98" s="7" t="n">
        <v>4586</v>
      </c>
      <c r="Y98" s="9" t="n">
        <v>0.6753</v>
      </c>
      <c r="Z98" s="9" t="n">
        <v>0.4162</v>
      </c>
      <c r="AA98" s="7" t="n"/>
      <c r="AB98" s="7" t="n"/>
      <c r="AC98" s="7" t="n"/>
      <c r="AD98" s="7" t="n"/>
      <c r="AE98" s="7" t="inlineStr">
        <is>
          <t>learned from the training patents (tools/int_train.py)</t>
        </is>
      </c>
      <c r="AF98" s="7" t="inlineStr">
        <is>
          <t>Joule &amp; Mills, Heterocyclic Chemistry</t>
        </is>
      </c>
    </row>
    <row r="99">
      <c r="A99" s="7" t="inlineStr">
        <is>
          <t>I098</t>
        </is>
      </c>
      <c r="B99" s="7" t="inlineStr">
        <is>
          <t>ring-beta-N</t>
        </is>
      </c>
      <c r="C99" s="7" t="inlineStr">
        <is>
          <t>reacting carbon one atom from a pyridine-type ring nitrogen (β)</t>
        </is>
      </c>
      <c r="D99" s="7" t="inlineStr">
        <is>
          <t>ring type</t>
        </is>
      </c>
      <c r="E99" s="7" t="inlineStr">
        <is>
          <t>electronic</t>
        </is>
      </c>
      <c r="F99" s="7" t="inlineStr">
        <is>
          <t>aromatic C</t>
        </is>
      </c>
      <c r="G99" s="7" t="inlineStr">
        <is>
          <t>[c;$(c1:c:[nX2]:a:a:a:1),$([c;r5]:[c;r5]:[nX2;r5])]</t>
        </is>
      </c>
      <c r="H99" s="7" t="inlineStr"/>
      <c r="I99" s="7" t="inlineStr"/>
      <c r="J99" s="7" t="inlineStr"/>
      <c r="K99" s="7" t="inlineStr"/>
      <c r="L99" s="7" t="inlineStr"/>
      <c r="M99" s="7" t="n"/>
      <c r="N99" s="7" t="inlineStr"/>
      <c r="O99" s="7" t="inlineStr">
        <is>
          <t>yes</t>
        </is>
      </c>
      <c r="P99" s="7" t="inlineStr"/>
      <c r="Q99" s="7" t="inlineStr">
        <is>
          <t>the reacting carbon is two bonds from a pyridine-type ring N, in the same ring (3-position of pyridine)</t>
        </is>
      </c>
      <c r="R99" s="7" t="inlineStr">
        <is>
          <t>the least electron-poor position of an azine: electrophilic substitution goes here (when it goes at all)</t>
        </is>
      </c>
      <c r="S99" s="7" t="inlineStr">
        <is>
          <t>no resonance structure puts the charge on N, so the β position behaves like a deactivated benzene carbon</t>
        </is>
      </c>
      <c r="T99" s="7" t="n"/>
      <c r="U99" s="10" t="n">
        <v>0.15</v>
      </c>
      <c r="V99" s="7" t="inlineStr">
        <is>
          <t>acyl substitution +0.66 (n=1805; winner had it 61 % vs 33 % at random) · carbonyl addition +0.52 (n=467; winner had it 42 % vs 34 % at random) · arene ch +0.48 (n=1593; winner had it 56 % vs 32 % at random) · n nucleophile -0.17 (n=284; winner had it 26 % vs 35 % at random)</t>
        </is>
      </c>
      <c r="W99" s="7" t="n">
        <v>8846</v>
      </c>
      <c r="X99" s="7" t="n">
        <v>3689</v>
      </c>
      <c r="Y99" s="9" t="n">
        <v>0.3616</v>
      </c>
      <c r="Z99" s="9" t="n">
        <v>0.3875</v>
      </c>
      <c r="AA99" s="7" t="n"/>
      <c r="AB99" s="7" t="n"/>
      <c r="AC99" s="7" t="n"/>
      <c r="AD99" s="7" t="n"/>
      <c r="AE99" s="7" t="inlineStr">
        <is>
          <t>learned from the training patents (tools/int_train.py)</t>
        </is>
      </c>
      <c r="AF99" s="7" t="inlineStr">
        <is>
          <t>Joule &amp; Mills, Heterocyclic Chemistry</t>
        </is>
      </c>
    </row>
    <row r="100">
      <c r="A100" s="7" t="inlineStr">
        <is>
          <t>I099</t>
        </is>
      </c>
      <c r="B100" s="7" t="inlineStr">
        <is>
          <t>ring-gamma-N</t>
        </is>
      </c>
      <c r="C100" s="7" t="inlineStr">
        <is>
          <t>reacting carbon opposite a pyridine-type ring nitrogen (γ)</t>
        </is>
      </c>
      <c r="D100" s="7" t="inlineStr">
        <is>
          <t>ring type</t>
        </is>
      </c>
      <c r="E100" s="7" t="inlineStr">
        <is>
          <t>electronic</t>
        </is>
      </c>
      <c r="F100" s="7" t="inlineStr">
        <is>
          <t>aromatic C</t>
        </is>
      </c>
      <c r="G100" s="7" t="inlineStr">
        <is>
          <t>[c;$(c1:a:a:[nX2]:a:a:1)]</t>
        </is>
      </c>
      <c r="H100" s="7" t="inlineStr"/>
      <c r="I100" s="7" t="inlineStr"/>
      <c r="J100" s="7" t="inlineStr"/>
      <c r="K100" s="7" t="inlineStr"/>
      <c r="L100" s="7" t="inlineStr"/>
      <c r="M100" s="7" t="n"/>
      <c r="N100" s="7" t="inlineStr"/>
      <c r="O100" s="7" t="inlineStr">
        <is>
          <t>yes</t>
        </is>
      </c>
      <c r="P100" s="7" t="inlineStr"/>
      <c r="Q100" s="7" t="inlineStr">
        <is>
          <t>the reacting carbon is para to a pyridine-type ring N in the same six-membered ring (4-position of pyridine)</t>
        </is>
      </c>
      <c r="R100" s="7" t="inlineStr">
        <is>
          <t>electron-poor carbon: nucleophiles add here (SNAr, Minisci) and oxidative addition is easy</t>
        </is>
      </c>
      <c r="S100" s="7" t="inlineStr">
        <is>
          <t>the ring N takes the negative charge of the intermediate by resonance</t>
        </is>
      </c>
      <c r="T100" s="7" t="n"/>
      <c r="U100" s="10" t="n">
        <v>-0.9399999999999999</v>
      </c>
      <c r="V100" s="7" t="inlineStr">
        <is>
          <t>acyl substitution -2.33 (n=965; winner had it 1 % vs 26 % at random) · carbonyl addition -2.08 (n=242; winner had it 3 % vs 32 % at random) · arene ch -1.89 (n=863; winner had it 2 % vs 27 % at random) · alkyl substitution -1.60 (n=113; winner had it 4 % vs 32 % at random) · other -1.17 (n=39; winner had it 10 % vs 23 % at random) · aryl halide +1.07 (n=3600; winner had it 71 % vs 46 % at random)</t>
        </is>
      </c>
      <c r="W100" s="7" t="n">
        <v>6330</v>
      </c>
      <c r="X100" s="7" t="n">
        <v>2772</v>
      </c>
      <c r="Y100" s="9" t="n">
        <v>0.4335</v>
      </c>
      <c r="Z100" s="9" t="n">
        <v>0.3883</v>
      </c>
      <c r="AA100" s="7" t="n"/>
      <c r="AB100" s="7" t="n"/>
      <c r="AC100" s="7" t="n"/>
      <c r="AD100" s="7" t="n"/>
      <c r="AE100" s="7" t="inlineStr">
        <is>
          <t>learned from the training patents (tools/int_train.py)</t>
        </is>
      </c>
      <c r="AF100" s="7" t="inlineStr">
        <is>
          <t>Joule &amp; Mills, Heterocyclic Chemistry</t>
        </is>
      </c>
    </row>
    <row r="101">
      <c r="A101" s="7" t="inlineStr">
        <is>
          <t>I100</t>
        </is>
      </c>
      <c r="B101" s="7" t="inlineStr">
        <is>
          <t>ring-between-2N</t>
        </is>
      </c>
      <c r="C101" s="7" t="inlineStr">
        <is>
          <t>reacting carbon between two ring nitrogens</t>
        </is>
      </c>
      <c r="D101" s="7" t="inlineStr">
        <is>
          <t>ring type</t>
        </is>
      </c>
      <c r="E101" s="7" t="inlineStr">
        <is>
          <t>electronic</t>
        </is>
      </c>
      <c r="F101" s="7" t="inlineStr">
        <is>
          <t>aromatic C</t>
        </is>
      </c>
      <c r="G101" s="7" t="inlineStr">
        <is>
          <t>[c;$(c(:n):n)]</t>
        </is>
      </c>
      <c r="H101" s="7" t="inlineStr"/>
      <c r="I101" s="7" t="inlineStr"/>
      <c r="J101" s="7" t="inlineStr"/>
      <c r="K101" s="7" t="inlineStr"/>
      <c r="L101" s="7" t="inlineStr"/>
      <c r="M101" s="7" t="n"/>
      <c r="N101" s="7" t="inlineStr"/>
      <c r="O101" s="7" t="inlineStr">
        <is>
          <t>yes</t>
        </is>
      </c>
      <c r="P101" s="7" t="inlineStr"/>
      <c r="Q101" s="7" t="inlineStr">
        <is>
          <t>C2 of pyrimidine, imidazole, triazole: a ring N on each side</t>
        </is>
      </c>
      <c r="R101" s="7" t="inlineStr">
        <is>
          <t>the most electron-poor carbon of an azole (C2 of imidazole, thiazole, triazole): its C–H is the acidic one and lithiates or couples first; in pyrimidines, quinazolines and purines SNAr and oxidative addition go to C4 / C6 before C2 (2,4-dichloropyrimidine reacts first at C4)</t>
        </is>
      </c>
      <c r="S101" s="7" t="inlineStr">
        <is>
          <t>two ring N atoms withdraw electrons and stabilise the anion</t>
        </is>
      </c>
      <c r="T101" s="7" t="n"/>
      <c r="U101" s="10" t="n">
        <v>-0.11</v>
      </c>
      <c r="V101" s="7" t="inlineStr">
        <is>
          <t>alkyl substitution +1.39 (n=114; winner had it 88 % vs 32 % at random) · deprotection -0.84 (n=62; winner had it 37 % vs 38 % at random) · arene ch -0.77 (n=358; winner had it 46 % vs 26 % at random) · aryl halide -0.75 (n=4326; winner had it 49 % vs 47 % at random) · other -0.65 (n=25; winner had it 16 % vs 35 % at random) · n nucleophile +0.27 (n=112; winner had it 63 % vs 39 % at random)</t>
        </is>
      </c>
      <c r="W101" s="7" t="n">
        <v>5734</v>
      </c>
      <c r="X101" s="7" t="n">
        <v>1887</v>
      </c>
      <c r="Y101" s="9" t="n">
        <v>0.5194</v>
      </c>
      <c r="Z101" s="9" t="n">
        <v>0.4309</v>
      </c>
      <c r="AA101" s="7" t="n"/>
      <c r="AB101" s="7" t="n"/>
      <c r="AC101" s="7" t="n"/>
      <c r="AD101" s="7" t="n"/>
      <c r="AE101" s="7" t="inlineStr">
        <is>
          <t>learned from the training patents (tools/int_train.py)</t>
        </is>
      </c>
      <c r="AF101" s="7" t="inlineStr">
        <is>
          <t>Joule &amp; Mills, Heterocyclic Chemistry</t>
        </is>
      </c>
    </row>
    <row r="102">
      <c r="A102" s="7" t="inlineStr">
        <is>
          <t>I101</t>
        </is>
      </c>
      <c r="B102" s="7" t="inlineStr">
        <is>
          <t>ring-alpha-azinium</t>
        </is>
      </c>
      <c r="C102" s="7" t="inlineStr">
        <is>
          <t>reacting carbon next to a ring N⁺ (pyridinium, N-oxide)</t>
        </is>
      </c>
      <c r="D102" s="7" t="inlineStr">
        <is>
          <t>ring type</t>
        </is>
      </c>
      <c r="E102" s="7" t="inlineStr">
        <is>
          <t>electronic</t>
        </is>
      </c>
      <c r="F102" s="7" t="inlineStr">
        <is>
          <t>aromatic C</t>
        </is>
      </c>
      <c r="G102" s="7" t="inlineStr">
        <is>
          <t>[c;$(c:[n+])]</t>
        </is>
      </c>
      <c r="H102" s="7" t="inlineStr"/>
      <c r="I102" s="7" t="inlineStr"/>
      <c r="J102" s="7" t="inlineStr"/>
      <c r="K102" s="7" t="inlineStr"/>
      <c r="L102" s="7" t="inlineStr"/>
      <c r="M102" s="7" t="n"/>
      <c r="N102" s="7" t="inlineStr"/>
      <c r="O102" s="7" t="inlineStr">
        <is>
          <t>yes</t>
        </is>
      </c>
      <c r="P102" s="7" t="inlineStr"/>
      <c r="Q102" s="7" t="inlineStr">
        <is>
          <t>the reacting carbon is bonded to a positively charged ring N (C2 of an N-oxide or N-alkylpyridinium)</t>
        </is>
      </c>
      <c r="R102" s="7" t="inlineStr">
        <is>
          <t>very electron-poor: nucleophiles add here (POCl3 / Ac2O chlorination and acyloxylation of N-oxides, Minisci, Reissert), metalation and Pd C–H activation are directed here</t>
        </is>
      </c>
      <c r="S102" s="7" t="inlineStr">
        <is>
          <t>the positive charge withdraws strongly and takes the incoming nucleophile</t>
        </is>
      </c>
      <c r="T102" s="7" t="n"/>
      <c r="U102" s="10" t="n">
        <v>0.17</v>
      </c>
      <c r="V102" s="7" t="inlineStr"/>
      <c r="W102" s="7" t="n">
        <v>35</v>
      </c>
      <c r="X102" s="7" t="n">
        <v>23</v>
      </c>
      <c r="Y102" s="9" t="n">
        <v>0.5429</v>
      </c>
      <c r="Z102" s="9" t="n">
        <v>0.4235</v>
      </c>
      <c r="AA102" s="7" t="n"/>
      <c r="AB102" s="7" t="n"/>
      <c r="AC102" s="7" t="n"/>
      <c r="AD102" s="7" t="n"/>
      <c r="AE102" s="7" t="inlineStr">
        <is>
          <t>learned from the training patents (tools/int_train.py)</t>
        </is>
      </c>
      <c r="AF102" s="7" t="inlineStr">
        <is>
          <t>Joule &amp; Mills, Heterocyclic Chemistry</t>
        </is>
      </c>
    </row>
    <row r="103">
      <c r="A103" s="7" t="inlineStr">
        <is>
          <t>I102</t>
        </is>
      </c>
      <c r="B103" s="7" t="inlineStr">
        <is>
          <t>ring-gamma-azinium</t>
        </is>
      </c>
      <c r="C103" s="7" t="inlineStr">
        <is>
          <t>reacting carbon opposite a ring N⁺ (γ of pyridinium, N-oxide)</t>
        </is>
      </c>
      <c r="D103" s="7" t="inlineStr">
        <is>
          <t>ring type</t>
        </is>
      </c>
      <c r="E103" s="7" t="inlineStr">
        <is>
          <t>electronic</t>
        </is>
      </c>
      <c r="F103" s="7" t="inlineStr">
        <is>
          <t>aromatic C</t>
        </is>
      </c>
      <c r="G103" s="7" t="inlineStr">
        <is>
          <t>[c;$(c1:a:a:[n+]:a:a:1)]</t>
        </is>
      </c>
      <c r="H103" s="7" t="inlineStr"/>
      <c r="I103" s="7" t="inlineStr"/>
      <c r="J103" s="7" t="inlineStr"/>
      <c r="K103" s="7" t="inlineStr"/>
      <c r="L103" s="7" t="inlineStr"/>
      <c r="M103" s="7" t="n"/>
      <c r="N103" s="7" t="inlineStr"/>
      <c r="O103" s="7" t="inlineStr">
        <is>
          <t>yes</t>
        </is>
      </c>
      <c r="P103" s="7" t="inlineStr"/>
      <c r="Q103" s="7" t="inlineStr">
        <is>
          <t>the reacting carbon is para to a positively charged ring N</t>
        </is>
      </c>
      <c r="R103" s="7" t="inlineStr">
        <is>
          <t>electron-poor: nucleophiles add here (4-substitution of pyridine N-oxides and pyridiniums), nitration of N-oxides goes here</t>
        </is>
      </c>
      <c r="S103" s="7" t="inlineStr">
        <is>
          <t>the positive charge withdraws and resonance carries it to this position</t>
        </is>
      </c>
      <c r="T103" s="7" t="n"/>
      <c r="U103" s="10" t="n">
        <v>-0.51</v>
      </c>
      <c r="V103" s="7" t="inlineStr"/>
      <c r="W103" s="7" t="n">
        <v>23</v>
      </c>
      <c r="X103" s="7" t="n">
        <v>15</v>
      </c>
      <c r="Y103" s="9" t="n">
        <v>0.0435</v>
      </c>
      <c r="Z103" s="9" t="n">
        <v>0.3513</v>
      </c>
      <c r="AA103" s="7" t="n"/>
      <c r="AB103" s="7" t="n"/>
      <c r="AC103" s="7" t="n"/>
      <c r="AD103" s="7" t="n"/>
      <c r="AE103" s="7" t="inlineStr">
        <is>
          <t>too few contests in the recorded reactions to learn a weight (the weight is shrunk to about zero): the textbook effect is advisory</t>
        </is>
      </c>
      <c r="AF103" s="7" t="inlineStr">
        <is>
          <t>Joule &amp; Mills, Heterocyclic Chemistry</t>
        </is>
      </c>
    </row>
    <row r="104">
      <c r="A104" s="7" t="inlineStr">
        <is>
          <t>I103</t>
        </is>
      </c>
      <c r="B104" s="7" t="inlineStr">
        <is>
          <t>ring-alpha-S</t>
        </is>
      </c>
      <c r="C104" s="7" t="inlineStr">
        <is>
          <t>reacting carbon next to a ring sulfur (α)</t>
        </is>
      </c>
      <c r="D104" s="7" t="inlineStr">
        <is>
          <t>ring type</t>
        </is>
      </c>
      <c r="E104" s="7" t="inlineStr">
        <is>
          <t>electronic</t>
        </is>
      </c>
      <c r="F104" s="7" t="inlineStr">
        <is>
          <t>aromatic C</t>
        </is>
      </c>
      <c r="G104" s="7" t="inlineStr">
        <is>
          <t>[c;$(c:s)]</t>
        </is>
      </c>
      <c r="H104" s="7" t="inlineStr"/>
      <c r="I104" s="7" t="inlineStr"/>
      <c r="J104" s="7" t="inlineStr"/>
      <c r="K104" s="7" t="inlineStr"/>
      <c r="L104" s="7" t="inlineStr"/>
      <c r="M104" s="7" t="n"/>
      <c r="N104" s="7" t="inlineStr"/>
      <c r="O104" s="7" t="inlineStr">
        <is>
          <t>yes</t>
        </is>
      </c>
      <c r="P104" s="7" t="inlineStr"/>
      <c r="Q104" s="7" t="inlineStr">
        <is>
          <t>a carbon bonded to a ring S: C2/C5 of thiophene, C2/C5 of thiazole</t>
        </is>
      </c>
      <c r="R104" s="7" t="inlineStr">
        <is>
          <t>thiophene: electrophilic substitution and lithiation go to the α carbon first; thiazole: C2 (between S and N) is the acidic, lithiated and nucleophile-attacked carbon, C5 is the electrophilic-substitution site</t>
        </is>
      </c>
      <c r="S104" s="7" t="inlineStr">
        <is>
          <t>the S lone pair stabilises the cation formed by attack at the α carbon better than at β</t>
        </is>
      </c>
      <c r="T104" s="7" t="n"/>
      <c r="U104" s="10" t="n">
        <v>2.3</v>
      </c>
      <c r="V104" s="7" t="inlineStr">
        <is>
          <t>carbonyl addition +3.67 (n=269; winner had it 97 % vs 36 % at random) · acyl substitution +2.92 (n=814; winner had it 89 % vs 33 % at random) · alkyl substitution +2.89 (n=103; winner had it 95 % vs 36 % at random) · aryl halide +2.86 (n=605; winner had it 90 % vs 44 % at random) · deprotection +2.71 (n=72; winner had it 92 % vs 34 % at random) · arene ch +2.50 (n=564; winner had it 92 % vs 34 % at random)</t>
        </is>
      </c>
      <c r="W104" s="7" t="n">
        <v>2547</v>
      </c>
      <c r="X104" s="7" t="n">
        <v>1268</v>
      </c>
      <c r="Y104" s="9" t="n">
        <v>0.8979</v>
      </c>
      <c r="Z104" s="9" t="n">
        <v>0.3628</v>
      </c>
      <c r="AA104" s="7" t="n"/>
      <c r="AB104" s="7" t="n"/>
      <c r="AC104" s="7" t="n"/>
      <c r="AD104" s="7" t="n"/>
      <c r="AE104" s="7" t="inlineStr">
        <is>
          <t>learned from the training patents (tools/int_train.py)</t>
        </is>
      </c>
      <c r="AF104" s="7" t="inlineStr">
        <is>
          <t>Joule &amp; Mills, Heterocyclic Chemistry</t>
        </is>
      </c>
    </row>
    <row r="105">
      <c r="A105" s="7" t="inlineStr">
        <is>
          <t>I104</t>
        </is>
      </c>
      <c r="B105" s="7" t="inlineStr">
        <is>
          <t>ring-alpha-O</t>
        </is>
      </c>
      <c r="C105" s="7" t="inlineStr">
        <is>
          <t>reacting carbon next to a ring oxygen (α)</t>
        </is>
      </c>
      <c r="D105" s="7" t="inlineStr">
        <is>
          <t>ring type</t>
        </is>
      </c>
      <c r="E105" s="7" t="inlineStr">
        <is>
          <t>electronic</t>
        </is>
      </c>
      <c r="F105" s="7" t="inlineStr">
        <is>
          <t>aromatic C</t>
        </is>
      </c>
      <c r="G105" s="7" t="inlineStr">
        <is>
          <t>[c;$(c:o)]</t>
        </is>
      </c>
      <c r="H105" s="7" t="inlineStr"/>
      <c r="I105" s="7" t="inlineStr"/>
      <c r="J105" s="7" t="inlineStr"/>
      <c r="K105" s="7" t="inlineStr"/>
      <c r="L105" s="7" t="inlineStr"/>
      <c r="M105" s="7" t="n"/>
      <c r="N105" s="7" t="inlineStr"/>
      <c r="O105" s="7" t="inlineStr">
        <is>
          <t>yes</t>
        </is>
      </c>
      <c r="P105" s="7" t="inlineStr"/>
      <c r="Q105" s="7" t="inlineStr">
        <is>
          <t>a carbon bonded to a ring O: C2/C5 of furan, C2 of oxazole</t>
        </is>
      </c>
      <c r="R105" s="7" t="inlineStr">
        <is>
          <t>furan: electrophilic substitution goes to the α carbon first (furan is more reactive than thiophene); oxazole: C2 is the acidic, lithiated carbon, C5 the electrophilic-substitution site</t>
        </is>
      </c>
      <c r="S105" s="7" t="inlineStr">
        <is>
          <t>the O lone pair stabilises the cation formed by attack at the α carbon</t>
        </is>
      </c>
      <c r="T105" s="7" t="n"/>
      <c r="U105" s="10" t="n">
        <v>2.54</v>
      </c>
      <c r="V105" s="7" t="inlineStr">
        <is>
          <t>carbonyl addition +3.51 (n=191; winner had it 95 % vs 28 % at random) · acyl substitution +3.14 (n=346; winner had it 88 % vs 28 % at random) · alkyl substitution +3.05 (n=75; winner had it 97 % vs 32 % at random) · aryl halide +2.98 (n=159; winner had it 96 % vs 45 % at random) · arene ch +2.95 (n=178; winner had it 93 % vs 29 % at random) · deprotection +2.74 (n=40; winner had it 92 % vs 36 % at random)</t>
        </is>
      </c>
      <c r="W105" s="7" t="n">
        <v>1052</v>
      </c>
      <c r="X105" s="7" t="n">
        <v>540</v>
      </c>
      <c r="Y105" s="9" t="n">
        <v>0.9202</v>
      </c>
      <c r="Z105" s="9" t="n">
        <v>0.3178</v>
      </c>
      <c r="AA105" s="7" t="n"/>
      <c r="AB105" s="7" t="n"/>
      <c r="AC105" s="7" t="n"/>
      <c r="AD105" s="7" t="n"/>
      <c r="AE105" s="7" t="inlineStr">
        <is>
          <t>learned from the training patents (tools/int_train.py)</t>
        </is>
      </c>
      <c r="AF105" s="7" t="inlineStr">
        <is>
          <t>Joule &amp; Mills, Heterocyclic Chemistry</t>
        </is>
      </c>
    </row>
    <row r="106">
      <c r="A106" s="7" t="inlineStr">
        <is>
          <t>I105</t>
        </is>
      </c>
      <c r="B106" s="7" t="inlineStr">
        <is>
          <t>ring-beta-SO</t>
        </is>
      </c>
      <c r="C106" s="7" t="inlineStr">
        <is>
          <t>reacting carbon one atom from a ring sulfur or oxygen (β, five-membered ring)</t>
        </is>
      </c>
      <c r="D106" s="7" t="inlineStr">
        <is>
          <t>ring type</t>
        </is>
      </c>
      <c r="E106" s="7" t="inlineStr">
        <is>
          <t>electronic</t>
        </is>
      </c>
      <c r="F106" s="7" t="inlineStr">
        <is>
          <t>aromatic C</t>
        </is>
      </c>
      <c r="G106" s="7" t="inlineStr">
        <is>
          <t>[c;r5;$(c:c:[s,o])]</t>
        </is>
      </c>
      <c r="H106" s="7" t="inlineStr"/>
      <c r="I106" s="7" t="inlineStr"/>
      <c r="J106" s="7" t="inlineStr"/>
      <c r="K106" s="7" t="inlineStr"/>
      <c r="L106" s="7" t="inlineStr"/>
      <c r="M106" s="7" t="n"/>
      <c r="N106" s="7" t="inlineStr"/>
      <c r="O106" s="7" t="inlineStr">
        <is>
          <t>yes</t>
        </is>
      </c>
      <c r="P106" s="7" t="inlineStr"/>
      <c r="Q106" s="7" t="inlineStr">
        <is>
          <t>C3 of thiophene or furan (a five-membered ring carbon two bonds from S or O)</t>
        </is>
      </c>
      <c r="R106" s="7" t="inlineStr">
        <is>
          <t>the less reactive position of the ring toward electrophiles; reached when both α positions are taken</t>
        </is>
      </c>
      <c r="S106" s="7" t="inlineStr">
        <is>
          <t>the cation formed by β attack has fewer resonance forms</t>
        </is>
      </c>
      <c r="T106" s="7" t="n"/>
      <c r="U106" s="10" t="n">
        <v>-2.16</v>
      </c>
      <c r="V106" s="7" t="inlineStr">
        <is>
          <t>n nucleophile -2.95 (n=57; winner had it 2 % vs 42 % at random) · aryl halide -2.82 (n=535; winner had it 1 % vs 43 % at random) · alkyl substitution -2.79 (n=154; winner had it 0 % vs 42 % at random) · deprotection -2.71 (n=85; winner had it 0 % vs 36 % at random) · arene ch -2.68 (n=643; winner had it 1 % vs 37 % at random) · acyl substitution -2.40 (n=990; winner had it 1 % vs 37 % at random)</t>
        </is>
      </c>
      <c r="W106" s="7" t="n">
        <v>2906</v>
      </c>
      <c r="X106" s="7" t="n">
        <v>1383</v>
      </c>
      <c r="Y106" s="9" t="n">
        <v>0.0124</v>
      </c>
      <c r="Z106" s="9" t="n">
        <v>0.3782</v>
      </c>
      <c r="AA106" s="7" t="n"/>
      <c r="AB106" s="7" t="n"/>
      <c r="AC106" s="7" t="n"/>
      <c r="AD106" s="7" t="n"/>
      <c r="AE106" s="7" t="inlineStr">
        <is>
          <t>learned from the training patents (tools/int_train.py)</t>
        </is>
      </c>
      <c r="AF106" s="7" t="inlineStr">
        <is>
          <t>Joule &amp; Mills, Heterocyclic Chemistry</t>
        </is>
      </c>
    </row>
    <row r="107">
      <c r="A107" s="7" t="inlineStr">
        <is>
          <t>I106</t>
        </is>
      </c>
      <c r="B107" s="7" t="inlineStr">
        <is>
          <t>ring-alpha-NR</t>
        </is>
      </c>
      <c r="C107" s="7" t="inlineStr">
        <is>
          <t>reacting carbon next to a pyrrole-type ring nitrogen (N–H or N–R)</t>
        </is>
      </c>
      <c r="D107" s="7" t="inlineStr">
        <is>
          <t>ring type</t>
        </is>
      </c>
      <c r="E107" s="7" t="inlineStr">
        <is>
          <t>electronic</t>
        </is>
      </c>
      <c r="F107" s="7" t="inlineStr">
        <is>
          <t>aromatic C</t>
        </is>
      </c>
      <c r="G107" s="7" t="inlineStr">
        <is>
          <t>[c;r5;$(c:[nX3;r5;+0])]</t>
        </is>
      </c>
      <c r="H107" s="7" t="inlineStr"/>
      <c r="I107" s="7" t="inlineStr"/>
      <c r="J107" s="7" t="inlineStr"/>
      <c r="K107" s="7" t="inlineStr"/>
      <c r="L107" s="7" t="inlineStr"/>
      <c r="M107" s="7" t="n"/>
      <c r="N107" s="7" t="inlineStr"/>
      <c r="O107" s="7" t="inlineStr">
        <is>
          <t>yes</t>
        </is>
      </c>
      <c r="P107" s="7" t="inlineStr"/>
      <c r="Q107" s="7" t="inlineStr">
        <is>
          <t>a five-membered-ring carbon bonded to a neutral pyrrole-type N: C2/C5 of pyrrole, C2 of indole, C2/C5 of N-substituted imidazole</t>
        </is>
      </c>
      <c r="R107" s="7" t="inlineStr">
        <is>
          <t>pyrrole: electrophilic substitution goes to C2 first; indole: C2 is the carbon that lithiates and couples (C–H activation) while electrophiles go to C3; the N substituent directs metalation to C2</t>
        </is>
      </c>
      <c r="S107" s="7" t="inlineStr">
        <is>
          <t>the N lone pair is part of the aromatic sextet and donates strongly to the α carbon</t>
        </is>
      </c>
      <c r="T107" s="7" t="n"/>
      <c r="U107" s="10" t="n">
        <v>1.89</v>
      </c>
      <c r="V107" s="7" t="inlineStr">
        <is>
          <t>acyl substitution +3.52 (n=1300; winner had it 89 % vs 29 % at random) · carbonyl addition +3.49 (n=411; winner had it 91 % vs 31 % at random) · aryl halide +2.84 (n=762; winner had it 84 % vs 40 % at random) · arene ch +2.36 (n=709; winner had it 80 % vs 29 % at random) · alkyl substitution +2.14 (n=218; winner had it 86 % vs 39 % at random) · deprotection +1.91 (n=101; winner had it 70 % vs 32 % at random)</t>
        </is>
      </c>
      <c r="W107" s="7" t="n">
        <v>3699</v>
      </c>
      <c r="X107" s="7" t="n">
        <v>1705</v>
      </c>
      <c r="Y107" s="9" t="n">
        <v>0.8318</v>
      </c>
      <c r="Z107" s="9" t="n">
        <v>0.3234</v>
      </c>
      <c r="AA107" s="7" t="n"/>
      <c r="AB107" s="7" t="n"/>
      <c r="AC107" s="7" t="n"/>
      <c r="AD107" s="7" t="n"/>
      <c r="AE107" s="7" t="inlineStr">
        <is>
          <t>learned from the training patents (tools/int_train.py)</t>
        </is>
      </c>
      <c r="AF107" s="7" t="inlineStr">
        <is>
          <t>Joule &amp; Mills, Heterocyclic Chemistry</t>
        </is>
      </c>
    </row>
    <row r="108">
      <c r="A108" s="7" t="inlineStr">
        <is>
          <t>I107</t>
        </is>
      </c>
      <c r="B108" s="7" t="inlineStr">
        <is>
          <t>ring-beta-NR</t>
        </is>
      </c>
      <c r="C108" s="7" t="inlineStr">
        <is>
          <t>reacting carbon one atom from a pyrrole-type ring nitrogen (β)</t>
        </is>
      </c>
      <c r="D108" s="7" t="inlineStr">
        <is>
          <t>ring type</t>
        </is>
      </c>
      <c r="E108" s="7" t="inlineStr">
        <is>
          <t>electronic</t>
        </is>
      </c>
      <c r="F108" s="7" t="inlineStr">
        <is>
          <t>aromatic C</t>
        </is>
      </c>
      <c r="G108" s="7" t="inlineStr">
        <is>
          <t>[c;r5;$([c;r5]:[c;r5]:[nX3;r5;+0])]</t>
        </is>
      </c>
      <c r="H108" s="7" t="inlineStr"/>
      <c r="I108" s="7" t="inlineStr"/>
      <c r="J108" s="7" t="inlineStr"/>
      <c r="K108" s="7" t="inlineStr"/>
      <c r="L108" s="7" t="inlineStr"/>
      <c r="M108" s="7" t="n"/>
      <c r="N108" s="7" t="inlineStr"/>
      <c r="O108" s="7" t="inlineStr">
        <is>
          <t>yes</t>
        </is>
      </c>
      <c r="P108" s="7" t="inlineStr"/>
      <c r="Q108" s="7" t="inlineStr">
        <is>
          <t>C3 of indole or pyrrole</t>
        </is>
      </c>
      <c r="R108" s="7" t="inlineStr">
        <is>
          <t>indole C3 is the most nucleophilic carbon (Vilsmeier, Mannich, halogenation, Friedel–Crafts); pyrrole C3 reacts when C2 is blocked</t>
        </is>
      </c>
      <c r="S108" s="7" t="inlineStr">
        <is>
          <t>attack at C3 of indole keeps the benzene ring aromatic in the cation</t>
        </is>
      </c>
      <c r="T108" s="7" t="n"/>
      <c r="U108" s="10" t="n">
        <v>-1.27</v>
      </c>
      <c r="V108" s="7" t="inlineStr">
        <is>
          <t>aryl halide -3.14 (n=446; winner had it 2 % vs 36 % at random) · n nucleophile -1.98 (n=63; winner had it 8 % vs 31 % at random) · deprotection -1.87 (n=73; winner had it 3 % vs 29 % at random) · arene ch -1.44 (n=381; winner had it 4 % vs 27 % at random) · other -1.33 (n=41; winner had it 5 % vs 27 % at random) · alkyl substitution -0.97 (n=120; winner had it 4 % vs 29 % at random)</t>
        </is>
      </c>
      <c r="W108" s="7" t="n">
        <v>2157</v>
      </c>
      <c r="X108" s="7" t="n">
        <v>1102</v>
      </c>
      <c r="Y108" s="9" t="n">
        <v>0.0542</v>
      </c>
      <c r="Z108" s="9" t="n">
        <v>0.3138</v>
      </c>
      <c r="AA108" s="7" t="n"/>
      <c r="AB108" s="7" t="n"/>
      <c r="AC108" s="7" t="n"/>
      <c r="AD108" s="7" t="n"/>
      <c r="AE108" s="7" t="inlineStr">
        <is>
          <t>learned from the training patents (tools/int_train.py)</t>
        </is>
      </c>
      <c r="AF108" s="7" t="inlineStr">
        <is>
          <t>Joule &amp; Mills, Heterocyclic Chemistry</t>
        </is>
      </c>
    </row>
    <row r="109">
      <c r="A109" s="7" t="inlineStr">
        <is>
          <t>I108</t>
        </is>
      </c>
      <c r="B109" s="7" t="inlineStr">
        <is>
          <t>ring-5-membered</t>
        </is>
      </c>
      <c r="C109" s="7" t="inlineStr">
        <is>
          <t>reacting carbon in an electron-rich five-membered ring (furan, thiophene, pyrrole and their benzo-fused forms)</t>
        </is>
      </c>
      <c r="D109" s="7" t="inlineStr">
        <is>
          <t>ring type</t>
        </is>
      </c>
      <c r="E109" s="7" t="inlineStr">
        <is>
          <t>electronic</t>
        </is>
      </c>
      <c r="F109" s="7" t="inlineStr">
        <is>
          <t>aromatic C</t>
        </is>
      </c>
      <c r="G109" s="7" t="inlineStr">
        <is>
          <t>[c;r5;$(c1:c:c:c:[o,s,nX3;+0]:1),$(c1:c:c:[o,s,nX3;+0]:c:1)]</t>
        </is>
      </c>
      <c r="H109" s="7" t="inlineStr"/>
      <c r="I109" s="7" t="inlineStr"/>
      <c r="J109" s="7" t="inlineStr"/>
      <c r="K109" s="7" t="inlineStr"/>
      <c r="L109" s="7" t="inlineStr"/>
      <c r="M109" s="7" t="n"/>
      <c r="N109" s="7" t="inlineStr"/>
      <c r="O109" s="7" t="inlineStr">
        <is>
          <t>yes</t>
        </is>
      </c>
      <c r="P109" s="7" t="inlineStr"/>
      <c r="Q109" s="7" t="inlineStr">
        <is>
          <t>the reacting carbon is in a five-membered ring made of one O, S or pyrrole-type N and four carbons</t>
        </is>
      </c>
      <c r="R109" s="7" t="inlineStr">
        <is>
          <t>electron-rich ring (six electrons on five atoms): electrophilic substitution is far faster than for benzene (pyrrole ≫ furan &gt; thiophene)</t>
        </is>
      </c>
      <c r="S109" s="7" t="inlineStr">
        <is>
          <t>π-excessive heteroaromatics</t>
        </is>
      </c>
      <c r="T109" s="7" t="n"/>
      <c r="U109" s="10" t="n">
        <v>0.63</v>
      </c>
      <c r="V109" s="7" t="inlineStr">
        <is>
          <t>arene ch +1.68 (n=605; winner had it 87 % vs 37 % at random) · alkyl substitution +1.22 (n=105; winner had it 78 % vs 33 % at random) · carbonyl addition +0.89 (n=371; winner had it 90 % vs 33 % at random) · n nucleophile +0.56 (n=67; winner had it 40 % vs 32 % at random) · other -0.39 (n=28; winner had it 18 % vs 34 % at random) · deprotection +0.31 (n=85; winner had it 68 % vs 35 % at random)</t>
        </is>
      </c>
      <c r="W109" s="7" t="n">
        <v>2639</v>
      </c>
      <c r="X109" s="7" t="n">
        <v>1163</v>
      </c>
      <c r="Y109" s="9" t="n">
        <v>0.7817</v>
      </c>
      <c r="Z109" s="9" t="n">
        <v>0.3663</v>
      </c>
      <c r="AA109" s="7" t="n"/>
      <c r="AB109" s="7" t="n"/>
      <c r="AC109" s="7" t="n"/>
      <c r="AD109" s="7" t="n"/>
      <c r="AE109" s="7" t="inlineStr">
        <is>
          <t>learned from the training patents (tools/int_train.py)</t>
        </is>
      </c>
      <c r="AF109" s="7" t="inlineStr">
        <is>
          <t>Joule &amp; Mills, Heterocyclic Chemistry</t>
        </is>
      </c>
    </row>
    <row r="110">
      <c r="A110" s="7" t="inlineStr">
        <is>
          <t>I109</t>
        </is>
      </c>
      <c r="B110" s="7" t="inlineStr">
        <is>
          <t>ring-fused-alpha</t>
        </is>
      </c>
      <c r="C110" s="7" t="inlineStr">
        <is>
          <t>reacting carbon next to a ring-fusion atom (α of naphthalene, quinoline …)</t>
        </is>
      </c>
      <c r="D110" s="7" t="inlineStr">
        <is>
          <t>ring type</t>
        </is>
      </c>
      <c r="E110" s="7" t="inlineStr">
        <is>
          <t>electronic</t>
        </is>
      </c>
      <c r="F110" s="7" t="inlineStr">
        <is>
          <t>aromatic C</t>
        </is>
      </c>
      <c r="G110" s="7" t="inlineStr">
        <is>
          <t>[c;r6;$(c:[c;R2;$(c(:a)(:a):a)])]</t>
        </is>
      </c>
      <c r="H110" s="7" t="inlineStr"/>
      <c r="I110" s="7" t="inlineStr"/>
      <c r="J110" s="7" t="inlineStr"/>
      <c r="K110" s="7" t="inlineStr"/>
      <c r="L110" s="7" t="inlineStr"/>
      <c r="M110" s="7" t="n"/>
      <c r="N110" s="7" t="inlineStr"/>
      <c r="O110" s="7" t="inlineStr">
        <is>
          <t>yes</t>
        </is>
      </c>
      <c r="P110" s="7" t="inlineStr"/>
      <c r="Q110" s="7" t="inlineStr">
        <is>
          <t>a six-membered-ring carbon bonded to a ring-fusion carbon whose other neighbours are aromatic too (C1 of naphthalene, C5/C8 of quinoline, C4/C7 of indole; not the benzo carbons of benzodioxole, tetralin or indoline)</t>
        </is>
      </c>
      <c r="R110" s="7" t="inlineStr">
        <is>
          <t>naphthalene: the α position is the kinetic site of electrophilic substitution (more hindered, peri, for large reagents); in indole, benzimidazole and benzofuran the benzo carbons C4/C7 are less reactive than the hetero ring</t>
        </is>
      </c>
      <c r="S110" s="7" t="inlineStr">
        <is>
          <t>more resonance forms of the naphthalene intermediate keep the other ring aromatic</t>
        </is>
      </c>
      <c r="T110" s="7" t="n"/>
      <c r="U110" s="10" t="n">
        <v>0.35</v>
      </c>
      <c r="V110" s="7" t="inlineStr">
        <is>
          <t>redox other +1.34 (n=104; winner had it 77 % vs 47 % at random) · other +1.18 (n=188; winner had it 66 % vs 38 % at random) · n nucleophile -0.46 (n=276; winner had it 30 % vs 39 % at random) · arene ch +0.06 (n=1668; winner had it 38 % vs 44 % at random)</t>
        </is>
      </c>
      <c r="W110" s="7" t="n">
        <v>7427</v>
      </c>
      <c r="X110" s="7" t="n">
        <v>3191</v>
      </c>
      <c r="Y110" s="9" t="n">
        <v>0.4062</v>
      </c>
      <c r="Z110" s="9" t="n">
        <v>0.419</v>
      </c>
      <c r="AA110" s="7" t="n"/>
      <c r="AB110" s="7" t="n"/>
      <c r="AC110" s="7" t="n"/>
      <c r="AD110" s="7" t="n"/>
      <c r="AE110" s="7" t="inlineStr">
        <is>
          <t>learned from the training patents (tools/int_train.py)</t>
        </is>
      </c>
      <c r="AF110" s="7" t="inlineStr">
        <is>
          <t>Clayden, Organic Chemistry</t>
        </is>
      </c>
    </row>
    <row r="111">
      <c r="A111" s="7" t="inlineStr">
        <is>
          <t>I110</t>
        </is>
      </c>
      <c r="B111" s="7" t="inlineStr">
        <is>
          <t>ring-peri</t>
        </is>
      </c>
      <c r="C111" s="7" t="inlineStr">
        <is>
          <t>reacting carbon with a substituent in the peri position</t>
        </is>
      </c>
      <c r="D111" s="7" t="inlineStr">
        <is>
          <t>ring sterics</t>
        </is>
      </c>
      <c r="E111" s="7" t="inlineStr">
        <is>
          <t>hindrance</t>
        </is>
      </c>
      <c r="F111" s="7" t="inlineStr">
        <is>
          <t>aromatic C</t>
        </is>
      </c>
      <c r="G111" s="7" t="inlineStr">
        <is>
          <t>[c;$(c:[c;R2]:[c;$(c-!@[!#1;!900*])])]</t>
        </is>
      </c>
      <c r="H111" s="7" t="inlineStr"/>
      <c r="I111" s="7" t="inlineStr"/>
      <c r="J111" s="7" t="inlineStr"/>
      <c r="K111" s="7" t="inlineStr"/>
      <c r="L111" s="7" t="inlineStr"/>
      <c r="M111" s="7" t="n"/>
      <c r="N111" s="7" t="inlineStr"/>
      <c r="O111" s="7" t="inlineStr">
        <is>
          <t>yes</t>
        </is>
      </c>
      <c r="P111" s="7" t="inlineStr"/>
      <c r="Q111" s="7" t="inlineStr">
        <is>
          <t>a substituent sits on the ring atom of the neighbouring ring that is next to the fusion carbon (C8 for C1 of naphthalene, C4 for C3 of indole)</t>
        </is>
      </c>
      <c r="R111" s="7" t="inlineStr">
        <is>
          <t>peri strain: attack and coupling at this carbon are slowed (1,8-disubstituted naphthalenes, 3,4-disubstituted indoles), large reagents go elsewhere</t>
        </is>
      </c>
      <c r="S111" s="7" t="inlineStr">
        <is>
          <t>the peri substituent lies in the plane of the ring, about 2.5 Å from the reacting carbon</t>
        </is>
      </c>
      <c r="T111" s="7" t="n"/>
      <c r="U111" s="10" t="n">
        <v>-0.85</v>
      </c>
      <c r="V111" s="7" t="inlineStr">
        <is>
          <t>other -1.49 (n=106; winner had it 17 % vs 24 % at random) · unsaturated -1.30 (n=63; winner had it 10 % vs 47 % at random) · alkyl substitution -1.27 (n=224; winner had it 7 % vs 31 % at random) · deprotection -1.19 (n=179; winner had it 17 % vs 43 % at random) · aryl halide -1.01 (n=497; winner had it 27 % vs 42 % at random) · acyl substitution -0.80 (n=828; winner had it 13 % vs 31 % at random)</t>
        </is>
      </c>
      <c r="W111" s="7" t="n">
        <v>3065</v>
      </c>
      <c r="X111" s="7" t="n">
        <v>1565</v>
      </c>
      <c r="Y111" s="9" t="n">
        <v>0.1622</v>
      </c>
      <c r="Z111" s="9" t="n">
        <v>0.3307</v>
      </c>
      <c r="AA111" s="7" t="n"/>
      <c r="AB111" s="7" t="n"/>
      <c r="AC111" s="7" t="n"/>
      <c r="AD111" s="7" t="n"/>
      <c r="AE111" s="7" t="inlineStr">
        <is>
          <t>learned from the training patents (tools/int_train.py)</t>
        </is>
      </c>
      <c r="AF111" s="7" t="inlineStr">
        <is>
          <t>Clayden, Organic Chemistry</t>
        </is>
      </c>
    </row>
    <row r="112">
      <c r="A112" s="7" t="inlineStr">
        <is>
          <t>I111</t>
        </is>
      </c>
      <c r="B112" s="7" t="inlineStr">
        <is>
          <t>ring-ortho-1</t>
        </is>
      </c>
      <c r="C112" s="7" t="inlineStr">
        <is>
          <t>at least one ortho substituent</t>
        </is>
      </c>
      <c r="D112" s="7" t="inlineStr">
        <is>
          <t>ring sterics</t>
        </is>
      </c>
      <c r="E112" s="7" t="inlineStr">
        <is>
          <t>hindrance</t>
        </is>
      </c>
      <c r="F112" s="7" t="inlineStr">
        <is>
          <t>aromatic C</t>
        </is>
      </c>
      <c r="G112" s="7" t="inlineStr">
        <is>
          <t>[c;$(c:[c;$(c-[!#1;!900*])])]</t>
        </is>
      </c>
      <c r="H112" s="7" t="inlineStr"/>
      <c r="I112" s="7" t="inlineStr"/>
      <c r="J112" s="7" t="inlineStr"/>
      <c r="K112" s="7" t="inlineStr"/>
      <c r="L112" s="7" t="inlineStr"/>
      <c r="M112" s="7" t="n"/>
      <c r="N112" s="7" t="inlineStr"/>
      <c r="O112" s="7" t="inlineStr">
        <is>
          <t>yes</t>
        </is>
      </c>
      <c r="P112" s="7" t="inlineStr"/>
      <c r="Q112" s="7" t="inlineStr">
        <is>
          <t>a ring neighbour of the reacting carbon carries a substituent (also a ring-fused alkyl group)</t>
        </is>
      </c>
      <c r="R112" s="7" t="inlineStr">
        <is>
          <t>crowding next to the reacting carbon: slows attack and coupling, favours the less hindered position</t>
        </is>
      </c>
      <c r="S112" s="7" t="inlineStr">
        <is>
          <t>the new bond has to form in the plane of the ring beside a substituent</t>
        </is>
      </c>
      <c r="T112" s="7" t="n"/>
      <c r="U112" s="10" t="n">
        <v>0.18</v>
      </c>
      <c r="V112" s="7" t="inlineStr">
        <is>
          <t>carbonyl addition +0.67 (n=1340; winner had it 46 % vs 50 % at random) · unsaturated +0.49 (n=173; winner had it 42 % vs 47 % at random) · o nucleophile -0.19 (n=714; winner had it 41 % vs 50 % at random)</t>
        </is>
      </c>
      <c r="W112" s="7" t="n">
        <v>23254</v>
      </c>
      <c r="X112" s="7" t="n">
        <v>10414</v>
      </c>
      <c r="Y112" s="9" t="n">
        <v>0.4318</v>
      </c>
      <c r="Z112" s="9" t="n">
        <v>0.5085</v>
      </c>
      <c r="AA112" s="7" t="n"/>
      <c r="AB112" s="7" t="n"/>
      <c r="AC112" s="7" t="n"/>
      <c r="AD112" s="7" t="n"/>
      <c r="AE112" s="7" t="inlineStr">
        <is>
          <t>learned from the training patents (tools/int_train.py)</t>
        </is>
      </c>
      <c r="AF112" s="7" t="inlineStr">
        <is>
          <t>Clayden, Organic Chemistry</t>
        </is>
      </c>
    </row>
    <row r="113">
      <c r="A113" s="7" t="inlineStr">
        <is>
          <t>I112</t>
        </is>
      </c>
      <c r="B113" s="7" t="inlineStr">
        <is>
          <t>ring-ortho-2</t>
        </is>
      </c>
      <c r="C113" s="7" t="inlineStr">
        <is>
          <t>two ortho substituents (2,6-disubstituted)</t>
        </is>
      </c>
      <c r="D113" s="7" t="inlineStr">
        <is>
          <t>ring sterics</t>
        </is>
      </c>
      <c r="E113" s="7" t="inlineStr">
        <is>
          <t>hindrance</t>
        </is>
      </c>
      <c r="F113" s="7" t="inlineStr">
        <is>
          <t>aromatic C</t>
        </is>
      </c>
      <c r="G113" s="7" t="inlineStr">
        <is>
          <t>[c;$(c(:[c;$(c-[!#1;!900*])]):[c;$(c-[!#1;!900*])])]</t>
        </is>
      </c>
      <c r="H113" s="7" t="inlineStr"/>
      <c r="I113" s="7" t="inlineStr"/>
      <c r="J113" s="7" t="inlineStr"/>
      <c r="K113" s="7" t="inlineStr"/>
      <c r="L113" s="7" t="inlineStr"/>
      <c r="M113" s="7" t="n"/>
      <c r="N113" s="7" t="inlineStr"/>
      <c r="O113" s="7" t="inlineStr">
        <is>
          <t>yes</t>
        </is>
      </c>
      <c r="P113" s="7" t="inlineStr"/>
      <c r="Q113" s="7" t="inlineStr">
        <is>
          <t>both ring neighbours of the reacting carbon carry a substituent</t>
        </is>
      </c>
      <c r="R113" s="7" t="inlineStr">
        <is>
          <t>strongly hindered: couplings and substitutions need forcing conditions or special ligands; other positions win when they exist</t>
        </is>
      </c>
      <c r="S113" s="7" t="inlineStr">
        <is>
          <t>the reacting carbon is flanked on both sides</t>
        </is>
      </c>
      <c r="T113" s="7" t="n"/>
      <c r="U113" s="10" t="n">
        <v>0.04</v>
      </c>
      <c r="V113" s="7" t="inlineStr">
        <is>
          <t>aryl halide -0.85 (n=2011; winner had it 49 % vs 44 % at random) · alkyl substitution +0.68 (n=359; winner had it 35 % vs 35 % at random) · other +0.56 (n=166; winner had it 34 % vs 28 % at random) · n nucleophile +0.47 (n=246; winner had it 36 % vs 33 % at random) · deprotection -0.28 (n=319; winner had it 24 % vs 33 % at random)</t>
        </is>
      </c>
      <c r="W113" s="7" t="n">
        <v>8898</v>
      </c>
      <c r="X113" s="7" t="n">
        <v>4684</v>
      </c>
      <c r="Y113" s="9" t="n">
        <v>0.2693</v>
      </c>
      <c r="Z113" s="9" t="n">
        <v>0.3427</v>
      </c>
      <c r="AA113" s="7" t="n"/>
      <c r="AB113" s="7" t="n"/>
      <c r="AC113" s="7" t="n"/>
      <c r="AD113" s="7" t="n"/>
      <c r="AE113" s="7" t="inlineStr">
        <is>
          <t>learned from the training patents (tools/int_train.py)</t>
        </is>
      </c>
      <c r="AF113" s="7" t="inlineStr">
        <is>
          <t>Clayden, Organic Chemistry</t>
        </is>
      </c>
    </row>
    <row r="114">
      <c r="A114" s="7" t="inlineStr">
        <is>
          <t>I113</t>
        </is>
      </c>
      <c r="B114" s="7" t="inlineStr">
        <is>
          <t>ring-ortho-branched</t>
        </is>
      </c>
      <c r="C114" s="7" t="inlineStr">
        <is>
          <t>a branched ortho substituent</t>
        </is>
      </c>
      <c r="D114" s="7" t="inlineStr">
        <is>
          <t>ring sterics</t>
        </is>
      </c>
      <c r="E114" s="7" t="inlineStr">
        <is>
          <t>hindrance</t>
        </is>
      </c>
      <c r="F114" s="7" t="inlineStr">
        <is>
          <t>aromatic C</t>
        </is>
      </c>
      <c r="G114" s="7" t="inlineStr">
        <is>
          <t>[c;$(c:c-[CX4;D3,D4;!900*])]</t>
        </is>
      </c>
      <c r="H114" s="7" t="inlineStr"/>
      <c r="I114" s="7" t="inlineStr"/>
      <c r="J114" s="7" t="inlineStr"/>
      <c r="K114" s="7" t="inlineStr"/>
      <c r="L114" s="7" t="inlineStr"/>
      <c r="M114" s="7" t="n"/>
      <c r="N114" s="7" t="inlineStr"/>
      <c r="O114" s="7" t="inlineStr">
        <is>
          <t>yes</t>
        </is>
      </c>
      <c r="P114" s="7" t="inlineStr"/>
      <c r="Q114" s="7" t="inlineStr">
        <is>
          <t>an ortho substituent that is itself branched (isopropyl, tert-butyl, CHR2)</t>
        </is>
      </c>
      <c r="R114" s="7" t="inlineStr">
        <is>
          <t>much bulkier than an ortho methyl: blocks the position for most reagents</t>
        </is>
      </c>
      <c r="S114" s="7" t="inlineStr">
        <is>
          <t>the branched group sits over the reacting carbon</t>
        </is>
      </c>
      <c r="T114" s="7" t="n"/>
      <c r="U114" s="10" t="n">
        <v>-0.79</v>
      </c>
      <c r="V114" s="7" t="inlineStr">
        <is>
          <t>alkyl substitution -1.77 (n=325; winner had it 22 % vs 44 % at random) · o nucleophile -1.32 (n=94; winner had it 9 % vs 41 % at random) · other -0.88 (n=91; winner had it 12 % vs 25 % at random) · aryl halide -0.84 (n=679; winner had it 22 % vs 43 % at random) · unsaturated -0.83 (n=68; winner had it 24 % vs 49 % at random) · arene ch -0.83 (n=1249; winner had it 14 % vs 37 % at random)</t>
        </is>
      </c>
      <c r="W114" s="7" t="n">
        <v>4737</v>
      </c>
      <c r="X114" s="7" t="n">
        <v>2618</v>
      </c>
      <c r="Y114" s="9" t="n">
        <v>0.1963</v>
      </c>
      <c r="Z114" s="9" t="n">
        <v>0.3935</v>
      </c>
      <c r="AA114" s="7" t="n"/>
      <c r="AB114" s="7" t="n"/>
      <c r="AC114" s="7" t="n"/>
      <c r="AD114" s="7" t="n"/>
      <c r="AE114" s="7" t="inlineStr">
        <is>
          <t>learned from the training patents (tools/int_train.py)</t>
        </is>
      </c>
      <c r="AF114" s="7" t="inlineStr">
        <is>
          <t>Taft steric constants Es: i-Pr −0.47, t-Bu −1.54</t>
        </is>
      </c>
    </row>
    <row r="115">
      <c r="A115" s="7" t="inlineStr">
        <is>
          <t>I114</t>
        </is>
      </c>
      <c r="B115" s="7" t="inlineStr">
        <is>
          <t>azole-n-hindered</t>
        </is>
      </c>
      <c r="C115" s="7" t="inlineStr">
        <is>
          <t>azole nitrogen with a substituent on a neighbouring carbon</t>
        </is>
      </c>
      <c r="D115" s="7" t="inlineStr">
        <is>
          <t>ring nitrogen</t>
        </is>
      </c>
      <c r="E115" s="7" t="inlineStr">
        <is>
          <t>hindrance</t>
        </is>
      </c>
      <c r="F115" s="7" t="inlineStr">
        <is>
          <t>aromatic n</t>
        </is>
      </c>
      <c r="G115" s="7" t="inlineStr">
        <is>
          <t>[n;r5;$(n:c-[!#1;!900*])]</t>
        </is>
      </c>
      <c r="H115" s="7" t="inlineStr"/>
      <c r="I115" s="7" t="inlineStr"/>
      <c r="J115" s="7" t="inlineStr"/>
      <c r="K115" s="7" t="inlineStr"/>
      <c r="L115" s="7" t="inlineStr"/>
      <c r="M115" s="7" t="n"/>
      <c r="N115" s="7" t="inlineStr"/>
      <c r="O115" s="7" t="inlineStr">
        <is>
          <t>yes</t>
        </is>
      </c>
      <c r="P115" s="7" t="inlineStr"/>
      <c r="Q115" s="7" t="inlineStr">
        <is>
          <t>the reacting five-membered-ring N is next to a ring carbon that carries a substituent</t>
        </is>
      </c>
      <c r="R115" s="7" t="inlineStr">
        <is>
          <t>slower alkylation / arylation: the less hindered ring N of a pyrazole, imidazole or triazole reacts</t>
        </is>
      </c>
      <c r="S115" s="7" t="inlineStr">
        <is>
          <t>the substituent crowds the lone pair or the new N–R bond</t>
        </is>
      </c>
      <c r="T115" s="7" t="n"/>
      <c r="U115" s="10" t="n">
        <v>0.08</v>
      </c>
      <c r="V115" s="7" t="inlineStr">
        <is>
          <t>aryl halide -0.82 (n=178; winner had it 2 % vs 49 % at random) · acyl substitution +0.45 (n=27; winner had it 56 % vs 52 % at random) · n nucleophile -0.25 (n=34; winner had it 12 % vs 48 % at random)</t>
        </is>
      </c>
      <c r="W115" s="7" t="n">
        <v>327</v>
      </c>
      <c r="X115" s="7" t="n">
        <v>189</v>
      </c>
      <c r="Y115" s="9" t="n">
        <v>0.1865</v>
      </c>
      <c r="Z115" s="9" t="n">
        <v>0.4896</v>
      </c>
      <c r="AA115" s="7" t="n"/>
      <c r="AB115" s="7" t="n"/>
      <c r="AC115" s="7" t="n"/>
      <c r="AD115" s="7" t="n"/>
      <c r="AE115" s="7" t="inlineStr">
        <is>
          <t>learned from the training patents (tools/int_train.py)</t>
        </is>
      </c>
      <c r="AF115" s="7" t="inlineStr">
        <is>
          <t>Joule &amp; Mills, Heterocyclic Chemistry</t>
        </is>
      </c>
    </row>
    <row r="116">
      <c r="A116" s="7" t="inlineStr">
        <is>
          <t>I115</t>
        </is>
      </c>
      <c r="B116" s="7" t="inlineStr">
        <is>
          <t>azole-n-hindered-2</t>
        </is>
      </c>
      <c r="C116" s="7" t="inlineStr">
        <is>
          <t>azole nitrogen with substituents on both neighbouring carbons</t>
        </is>
      </c>
      <c r="D116" s="7" t="inlineStr">
        <is>
          <t>ring nitrogen</t>
        </is>
      </c>
      <c r="E116" s="7" t="inlineStr">
        <is>
          <t>hindrance</t>
        </is>
      </c>
      <c r="F116" s="7" t="inlineStr">
        <is>
          <t>aromatic n</t>
        </is>
      </c>
      <c r="G116" s="7" t="inlineStr">
        <is>
          <t>[n;r5;$(n(:c-[!#1;!900*]):c-[!#1;!900*])]</t>
        </is>
      </c>
      <c r="H116" s="7" t="inlineStr"/>
      <c r="I116" s="7" t="inlineStr"/>
      <c r="J116" s="7" t="inlineStr"/>
      <c r="K116" s="7" t="inlineStr"/>
      <c r="L116" s="7" t="inlineStr"/>
      <c r="M116" s="7" t="n"/>
      <c r="N116" s="7" t="inlineStr"/>
      <c r="O116" s="7" t="inlineStr">
        <is>
          <t>yes</t>
        </is>
      </c>
      <c r="P116" s="7" t="inlineStr"/>
      <c r="Q116" s="7" t="inlineStr">
        <is>
          <t>both ring carbons next to the reacting N carry substituents</t>
        </is>
      </c>
      <c r="R116" s="7" t="inlineStr">
        <is>
          <t>strongly hindered: this ring N is the last to react</t>
        </is>
      </c>
      <c r="S116" s="7" t="inlineStr">
        <is>
          <t>both sides of the lone pair are crowded</t>
        </is>
      </c>
      <c r="T116" s="7" t="n"/>
      <c r="U116" s="10" t="n">
        <v>-0.78</v>
      </c>
      <c r="V116" s="7" t="inlineStr"/>
      <c r="W116" s="7" t="n">
        <v>61</v>
      </c>
      <c r="X116" s="7" t="n">
        <v>50</v>
      </c>
      <c r="Y116" s="9" t="n">
        <v>0.082</v>
      </c>
      <c r="Z116" s="9" t="n">
        <v>0.4664</v>
      </c>
      <c r="AA116" s="7" t="n"/>
      <c r="AB116" s="7" t="n"/>
      <c r="AC116" s="7" t="n"/>
      <c r="AD116" s="7" t="n"/>
      <c r="AE116" s="7" t="inlineStr">
        <is>
          <t>learned from the training patents (tools/int_train.py)</t>
        </is>
      </c>
      <c r="AF116" s="7" t="inlineStr">
        <is>
          <t>Joule &amp; Mills, Heterocyclic Chemistry</t>
        </is>
      </c>
    </row>
    <row r="117">
      <c r="A117" s="7" t="inlineStr">
        <is>
          <t>I116</t>
        </is>
      </c>
      <c r="B117" s="7" t="inlineStr">
        <is>
          <t>azole-n-next-to-N</t>
        </is>
      </c>
      <c r="C117" s="7" t="inlineStr">
        <is>
          <t>azole nitrogen next to another ring nitrogen</t>
        </is>
      </c>
      <c r="D117" s="7" t="inlineStr">
        <is>
          <t>ring nitrogen</t>
        </is>
      </c>
      <c r="E117" s="7" t="inlineStr">
        <is>
          <t>electronic</t>
        </is>
      </c>
      <c r="F117" s="7" t="inlineStr">
        <is>
          <t>aromatic n</t>
        </is>
      </c>
      <c r="G117" s="7" t="inlineStr">
        <is>
          <t>[n;r5;$(n:n)]</t>
        </is>
      </c>
      <c r="H117" s="7" t="inlineStr"/>
      <c r="I117" s="7" t="inlineStr"/>
      <c r="J117" s="7" t="inlineStr"/>
      <c r="K117" s="7" t="inlineStr"/>
      <c r="L117" s="7" t="inlineStr"/>
      <c r="M117" s="7" t="n"/>
      <c r="N117" s="7" t="inlineStr"/>
      <c r="O117" s="7" t="inlineStr">
        <is>
          <t>yes</t>
        </is>
      </c>
      <c r="P117" s="7" t="inlineStr"/>
      <c r="Q117" s="7" t="inlineStr">
        <is>
          <t>the reacting N is bonded to another ring N (pyrazole, indazole, triazole, tetrazole)</t>
        </is>
      </c>
      <c r="R117" s="7" t="inlineStr">
        <is>
          <t>N-alkylation gives N1 / N2 regioisomer mixtures: the product ratio follows sterics and the tautomer that reacts, so the less hindered N usually wins</t>
        </is>
      </c>
      <c r="S117" s="7" t="inlineStr">
        <is>
          <t>the anion is delocalised over both N atoms</t>
        </is>
      </c>
      <c r="T117" s="7" t="n"/>
      <c r="U117" s="10" t="n">
        <v>0.91</v>
      </c>
      <c r="V117" s="7" t="inlineStr">
        <is>
          <t>alkyl substitution +2.31 (n=37; winner had it 89 % vs 50 % at random) · aryl halide +0.39 (n=70; winner had it 7 % vs 49 % at random)</t>
        </is>
      </c>
      <c r="W117" s="7" t="n">
        <v>143</v>
      </c>
      <c r="X117" s="7" t="n">
        <v>80</v>
      </c>
      <c r="Y117" s="9" t="n">
        <v>0.3776</v>
      </c>
      <c r="Z117" s="9" t="n">
        <v>0.4929</v>
      </c>
      <c r="AA117" s="7" t="n"/>
      <c r="AB117" s="7" t="n"/>
      <c r="AC117" s="7" t="n"/>
      <c r="AD117" s="7" t="n"/>
      <c r="AE117" s="7" t="inlineStr">
        <is>
          <t>learned from the training patents (tools/int_train.py)</t>
        </is>
      </c>
      <c r="AF117" s="7" t="inlineStr">
        <is>
          <t>Joule &amp; Mills, Heterocyclic Chemistry</t>
        </is>
      </c>
    </row>
    <row r="118">
      <c r="A118" s="7" t="inlineStr">
        <is>
          <t>I117</t>
        </is>
      </c>
      <c r="B118" s="7" t="inlineStr">
        <is>
          <t>azole-n-1,3</t>
        </is>
      </c>
      <c r="C118" s="7" t="inlineStr">
        <is>
          <t>azole nitrogen separated from another ring nitrogen by one carbon</t>
        </is>
      </c>
      <c r="D118" s="7" t="inlineStr">
        <is>
          <t>ring nitrogen</t>
        </is>
      </c>
      <c r="E118" s="7" t="inlineStr">
        <is>
          <t>electronic</t>
        </is>
      </c>
      <c r="F118" s="7" t="inlineStr">
        <is>
          <t>aromatic n</t>
        </is>
      </c>
      <c r="G118" s="7" t="inlineStr">
        <is>
          <t>[n;r5;$(n:c:n)]</t>
        </is>
      </c>
      <c r="H118" s="7" t="inlineStr"/>
      <c r="I118" s="7" t="inlineStr"/>
      <c r="J118" s="7" t="inlineStr"/>
      <c r="K118" s="7" t="inlineStr"/>
      <c r="L118" s="7" t="inlineStr"/>
      <c r="M118" s="7" t="n"/>
      <c r="N118" s="7" t="inlineStr"/>
      <c r="O118" s="7" t="inlineStr">
        <is>
          <t>yes</t>
        </is>
      </c>
      <c r="P118" s="7" t="inlineStr"/>
      <c r="Q118" s="7" t="inlineStr">
        <is>
          <t>imidazole, benzimidazole, purine: N–C–N</t>
        </is>
      </c>
      <c r="R118" s="7" t="inlineStr">
        <is>
          <t>the basic pyridine-type N is the nucleophile of neutral imidazoles; the anion alkylates at either N</t>
        </is>
      </c>
      <c r="S118" s="7" t="inlineStr">
        <is>
          <t>the amidine-like N–C=N unit</t>
        </is>
      </c>
      <c r="T118" s="7" t="n"/>
      <c r="U118" s="10" t="n">
        <v>-0.44</v>
      </c>
      <c r="V118" s="7" t="inlineStr">
        <is>
          <t>alkyl substitution -1.42 (n=32; winner had it 6 % vs 50 % at random) · aryl halide +0.24 (n=135; winner had it 7 % vs 47 % at random)</t>
        </is>
      </c>
      <c r="W118" s="7" t="n">
        <v>228</v>
      </c>
      <c r="X118" s="7" t="n">
        <v>131</v>
      </c>
      <c r="Y118" s="9" t="n">
        <v>0.114</v>
      </c>
      <c r="Z118" s="9" t="n">
        <v>0.4706</v>
      </c>
      <c r="AA118" s="7" t="n"/>
      <c r="AB118" s="7" t="n"/>
      <c r="AC118" s="7" t="n"/>
      <c r="AD118" s="7" t="n"/>
      <c r="AE118" s="7" t="inlineStr">
        <is>
          <t>learned from the training patents (tools/int_train.py)</t>
        </is>
      </c>
      <c r="AF118" s="7" t="inlineStr">
        <is>
          <t>Joule &amp; Mills, Heterocyclic Chemistry</t>
        </is>
      </c>
    </row>
    <row r="119">
      <c r="A119" s="7" t="inlineStr">
        <is>
          <t>I118</t>
        </is>
      </c>
      <c r="B119" s="7" t="inlineStr">
        <is>
          <t>azole-n-fused</t>
        </is>
      </c>
      <c r="C119" s="7" t="inlineStr">
        <is>
          <t>azole nitrogen next to a ring-fusion carbon</t>
        </is>
      </c>
      <c r="D119" s="7" t="inlineStr">
        <is>
          <t>ring nitrogen</t>
        </is>
      </c>
      <c r="E119" s="7" t="inlineStr">
        <is>
          <t>steric</t>
        </is>
      </c>
      <c r="F119" s="7" t="inlineStr">
        <is>
          <t>aromatic n</t>
        </is>
      </c>
      <c r="G119" s="7" t="inlineStr">
        <is>
          <t>[n;r5;$(n:[c;R2])]</t>
        </is>
      </c>
      <c r="H119" s="7" t="inlineStr"/>
      <c r="I119" s="7" t="inlineStr"/>
      <c r="J119" s="7" t="inlineStr"/>
      <c r="K119" s="7" t="inlineStr"/>
      <c r="L119" s="7" t="inlineStr"/>
      <c r="M119" s="7" t="n"/>
      <c r="N119" s="7" t="inlineStr"/>
      <c r="O119" s="7" t="inlineStr">
        <is>
          <t>yes</t>
        </is>
      </c>
      <c r="P119" s="7" t="inlineStr"/>
      <c r="Q119" s="7" t="inlineStr">
        <is>
          <t>the reacting N is bonded to a carbon shared with a second ring (indole N1, benzimidazole, indazole N1)</t>
        </is>
      </c>
      <c r="R119" s="7" t="inlineStr">
        <is>
          <t>more hindered by the peri C–H of the fused ring, but conjugation keeps the N–R product stable</t>
        </is>
      </c>
      <c r="S119" s="7" t="inlineStr">
        <is>
          <t>the fused ring crowds one side</t>
        </is>
      </c>
      <c r="T119" s="7" t="n"/>
      <c r="U119" s="10" t="n">
        <v>-0.06</v>
      </c>
      <c r="V119" s="7" t="inlineStr">
        <is>
          <t>aryl halide -1.55 (n=180; winner had it 2 % vs 47 % at random) · carbonyl addition -1.29 (n=31; winner had it 16 % vs 45 % at random) · deprotection +0.74 (n=31; winner had it 61 % vs 49 % at random) · alkyl substitution +0.72 (n=66; winner had it 45 % vs 50 % at random) · n nucleophile -0.33 (n=31; winner had it 10 % vs 45 % at random)</t>
        </is>
      </c>
      <c r="W119" s="7" t="n">
        <v>364</v>
      </c>
      <c r="X119" s="7" t="n">
        <v>168</v>
      </c>
      <c r="Y119" s="9" t="n">
        <v>0.206</v>
      </c>
      <c r="Z119" s="9" t="n">
        <v>0.4782</v>
      </c>
      <c r="AA119" s="7" t="n"/>
      <c r="AB119" s="7" t="n"/>
      <c r="AC119" s="7" t="n"/>
      <c r="AD119" s="7" t="n"/>
      <c r="AE119" s="7" t="inlineStr">
        <is>
          <t>learned from the training patents (tools/int_train.py)</t>
        </is>
      </c>
      <c r="AF119" s="7" t="inlineStr">
        <is>
          <t>Joule &amp; Mills, Heterocyclic Chemistry</t>
        </is>
      </c>
    </row>
    <row r="120">
      <c r="A120" s="7" t="inlineStr">
        <is>
          <t>I119</t>
        </is>
      </c>
      <c r="B120" s="7" t="inlineStr">
        <is>
          <t>azine-n</t>
        </is>
      </c>
      <c r="C120" s="7" t="inlineStr">
        <is>
          <t>six-membered ring nitrogen</t>
        </is>
      </c>
      <c r="D120" s="7" t="inlineStr">
        <is>
          <t>ring nitrogen</t>
        </is>
      </c>
      <c r="E120" s="7" t="inlineStr">
        <is>
          <t>electronic</t>
        </is>
      </c>
      <c r="F120" s="7" t="inlineStr">
        <is>
          <t>aromatic n</t>
        </is>
      </c>
      <c r="G120" s="7" t="inlineStr">
        <is>
          <t>[n;r6]</t>
        </is>
      </c>
      <c r="H120" s="7" t="inlineStr"/>
      <c r="I120" s="7" t="inlineStr"/>
      <c r="J120" s="7" t="inlineStr"/>
      <c r="K120" s="7" t="inlineStr"/>
      <c r="L120" s="7" t="inlineStr"/>
      <c r="M120" s="7" t="n"/>
      <c r="N120" s="7" t="inlineStr"/>
      <c r="O120" s="7" t="inlineStr">
        <is>
          <t>yes</t>
        </is>
      </c>
      <c r="P120" s="7" t="inlineStr"/>
      <c r="Q120" s="7" t="inlineStr">
        <is>
          <t>the reacting N is the N of pyridine, pyrimidine or pyridone</t>
        </is>
      </c>
      <c r="R120" s="7" t="inlineStr">
        <is>
          <t>pyridine N: quaternises with alkyl halides, forms N-oxides, binds metals; pyridone N–H vs O: N-alkylation with soft electrophiles, O-alkylation with hard ones or Ag salts</t>
        </is>
      </c>
      <c r="S120" s="7" t="inlineStr">
        <is>
          <t>the lone pair lies in the ring plane, not in the π system</t>
        </is>
      </c>
      <c r="T120" s="7" t="n"/>
      <c r="U120" s="10" t="n">
        <v>1.47</v>
      </c>
      <c r="V120" s="7" t="inlineStr">
        <is>
          <t>aryl halide +2.85 (n=231; winner had it 99 % vs 51 % at random) · n nucleophile +2.54 (n=47; winner had it 96 % vs 52 % at random) · alkyl substitution +1.53 (n=64; winner had it 75 % vs 51 % at random) · deprotection +0.40 (n=27; winner had it 41 % vs 55 % at random)</t>
        </is>
      </c>
      <c r="W120" s="7" t="n">
        <v>405</v>
      </c>
      <c r="X120" s="7" t="n">
        <v>218</v>
      </c>
      <c r="Y120" s="9" t="n">
        <v>0.8815</v>
      </c>
      <c r="Z120" s="9" t="n">
        <v>0.5177</v>
      </c>
      <c r="AA120" s="7" t="n"/>
      <c r="AB120" s="7" t="n"/>
      <c r="AC120" s="7" t="n"/>
      <c r="AD120" s="7" t="n"/>
      <c r="AE120" s="7" t="inlineStr">
        <is>
          <t>learned from the training patents (tools/int_train.py)</t>
        </is>
      </c>
      <c r="AF120" s="7" t="inlineStr">
        <is>
          <t>Joule &amp; Mills, Heterocyclic Chemistry</t>
        </is>
      </c>
    </row>
    <row r="121">
      <c r="A121" s="7" t="inlineStr">
        <is>
          <t>I120</t>
        </is>
      </c>
      <c r="B121" s="7" t="inlineStr">
        <is>
          <t>azine-n-hindered</t>
        </is>
      </c>
      <c r="C121" s="7" t="inlineStr">
        <is>
          <t>six-membered ring nitrogen with a substituent on a neighbouring carbon</t>
        </is>
      </c>
      <c r="D121" s="7" t="inlineStr">
        <is>
          <t>ring nitrogen</t>
        </is>
      </c>
      <c r="E121" s="7" t="inlineStr">
        <is>
          <t>hindrance</t>
        </is>
      </c>
      <c r="F121" s="7" t="inlineStr">
        <is>
          <t>aromatic n</t>
        </is>
      </c>
      <c r="G121" s="7" t="inlineStr">
        <is>
          <t>[n;r6;$(n:c-[!#1;!900*])]</t>
        </is>
      </c>
      <c r="H121" s="7" t="inlineStr"/>
      <c r="I121" s="7" t="inlineStr"/>
      <c r="J121" s="7" t="inlineStr"/>
      <c r="K121" s="7" t="inlineStr"/>
      <c r="L121" s="7" t="inlineStr"/>
      <c r="M121" s="7" t="n"/>
      <c r="N121" s="7" t="inlineStr"/>
      <c r="O121" s="7" t="inlineStr">
        <is>
          <t>yes</t>
        </is>
      </c>
      <c r="P121" s="7" t="inlineStr"/>
      <c r="Q121" s="7" t="inlineStr">
        <is>
          <t>the reacting ring N is next to a carbon that carries a substituent (2-substituted pyridine)</t>
        </is>
      </c>
      <c r="R121" s="7" t="inlineStr">
        <is>
          <t>slower quaternisation, N-oxidation and metal binding (2-picoline is less nucleophilic at N than pyridine)</t>
        </is>
      </c>
      <c r="S121" s="7" t="inlineStr">
        <is>
          <t>the substituent crowds the lone pair</t>
        </is>
      </c>
      <c r="T121" s="7" t="n"/>
      <c r="U121" s="10" t="n">
        <v>0.3</v>
      </c>
      <c r="V121" s="7" t="inlineStr">
        <is>
          <t>alkyl substitution +1.39 (n=244; winner had it 81 % vs 50 % at random) · aryl halide -0.73 (n=130; winner had it 46 % vs 50 % at random) · deprotection +0.71 (n=32; winner had it 72 % vs 51 % at random) · acyl substitution -0.48 (n=41; winner had it 37 % vs 49 % at random)</t>
        </is>
      </c>
      <c r="W121" s="7" t="n">
        <v>512</v>
      </c>
      <c r="X121" s="7" t="n">
        <v>228</v>
      </c>
      <c r="Y121" s="9" t="n">
        <v>0.6621</v>
      </c>
      <c r="Z121" s="9" t="n">
        <v>0.5</v>
      </c>
      <c r="AA121" s="7" t="n"/>
      <c r="AB121" s="7" t="n"/>
      <c r="AC121" s="7" t="n"/>
      <c r="AD121" s="7" t="n"/>
      <c r="AE121" s="7" t="inlineStr">
        <is>
          <t>learned from the training patents (tools/int_train.py)</t>
        </is>
      </c>
      <c r="AF121" s="7" t="inlineStr">
        <is>
          <t>Joule &amp; Mills, Heterocyclic Chemistry</t>
        </is>
      </c>
    </row>
    <row r="122">
      <c r="A122" s="7" t="inlineStr">
        <is>
          <t>I121</t>
        </is>
      </c>
      <c r="B122" s="7" t="inlineStr">
        <is>
          <t>azine-n-hindered-2</t>
        </is>
      </c>
      <c r="C122" s="7" t="inlineStr">
        <is>
          <t>six-membered ring nitrogen with substituents on both neighbouring carbons</t>
        </is>
      </c>
      <c r="D122" s="7" t="inlineStr">
        <is>
          <t>ring nitrogen</t>
        </is>
      </c>
      <c r="E122" s="7" t="inlineStr">
        <is>
          <t>hindrance</t>
        </is>
      </c>
      <c r="F122" s="7" t="inlineStr">
        <is>
          <t>aromatic n</t>
        </is>
      </c>
      <c r="G122" s="7" t="inlineStr">
        <is>
          <t>[n;r6;$(n(:c-[!#1;!900*]):c-[!#1;!900*])]</t>
        </is>
      </c>
      <c r="H122" s="7" t="inlineStr"/>
      <c r="I122" s="7" t="inlineStr"/>
      <c r="J122" s="7" t="inlineStr"/>
      <c r="K122" s="7" t="inlineStr"/>
      <c r="L122" s="7" t="inlineStr"/>
      <c r="M122" s="7" t="n"/>
      <c r="N122" s="7" t="inlineStr"/>
      <c r="O122" s="7" t="inlineStr">
        <is>
          <t>yes</t>
        </is>
      </c>
      <c r="P122" s="7" t="inlineStr"/>
      <c r="Q122" s="7" t="inlineStr">
        <is>
          <t>both carbons next to the reacting ring N carry substituents (2,6-disubstituted pyridine)</t>
        </is>
      </c>
      <c r="R122" s="7" t="inlineStr">
        <is>
          <t>a hindered base that does not alkylate or bind metals (2,6-lutidine, 2,6-di-tert-butylpyridine)</t>
        </is>
      </c>
      <c r="S122" s="7" t="inlineStr">
        <is>
          <t>both sides of the lone pair are crowded</t>
        </is>
      </c>
      <c r="T122" s="7" t="n"/>
      <c r="U122" s="10" t="n">
        <v>-1.06</v>
      </c>
      <c r="V122" s="7" t="inlineStr">
        <is>
          <t>aryl halide -1.11 (n=32; winner had it 19 % vs 40 % at random)</t>
        </is>
      </c>
      <c r="W122" s="7" t="n">
        <v>60</v>
      </c>
      <c r="X122" s="7" t="n">
        <v>54</v>
      </c>
      <c r="Y122" s="9" t="n">
        <v>0.1667</v>
      </c>
      <c r="Z122" s="9" t="n">
        <v>0.4372</v>
      </c>
      <c r="AA122" s="7" t="n"/>
      <c r="AB122" s="7" t="n"/>
      <c r="AC122" s="7" t="n"/>
      <c r="AD122" s="7" t="n"/>
      <c r="AE122" s="7" t="inlineStr">
        <is>
          <t>learned from the training patents (tools/int_train.py)</t>
        </is>
      </c>
      <c r="AF122" s="7" t="inlineStr">
        <is>
          <t>Joule &amp; Mills, Heterocyclic Chemistry</t>
        </is>
      </c>
    </row>
    <row r="123">
      <c r="A123" s="7" t="inlineStr">
        <is>
          <t>I122</t>
        </is>
      </c>
      <c r="B123" s="7" t="inlineStr">
        <is>
          <t>sp3-methyl</t>
        </is>
      </c>
      <c r="C123" s="7" t="inlineStr">
        <is>
          <t>methyl-type carbon (no carbon substituent)</t>
        </is>
      </c>
      <c r="D123" s="7" t="inlineStr">
        <is>
          <t>sp3 carbon: substitution degree</t>
        </is>
      </c>
      <c r="E123" s="7" t="inlineStr">
        <is>
          <t>steric</t>
        </is>
      </c>
      <c r="F123" s="7" t="inlineStr">
        <is>
          <t>sp3 C</t>
        </is>
      </c>
      <c r="G123" s="7" t="inlineStr">
        <is>
          <t>[C;X4;!$(C-[#6;!900*])]</t>
        </is>
      </c>
      <c r="H123" s="7" t="inlineStr"/>
      <c r="I123" s="7" t="inlineStr"/>
      <c r="J123" s="7" t="inlineStr"/>
      <c r="K123" s="7" t="inlineStr"/>
      <c r="L123" s="7" t="inlineStr"/>
      <c r="M123" s="7" t="n"/>
      <c r="N123" s="7" t="inlineStr"/>
      <c r="O123" s="7" t="inlineStr">
        <is>
          <t>yes</t>
        </is>
      </c>
      <c r="P123" s="7" t="inlineStr"/>
      <c r="Q123" s="7" t="inlineStr">
        <is>
          <t>the attacked carbon had no carbon substituent (CH3–X); only unchanged carbons are counted, the sp3-&lt;degree&gt;-at-&lt;atom&gt; rows below count all carbon neighbours</t>
        </is>
      </c>
      <c r="R123" s="7" t="inlineStr">
        <is>
          <t>the fastest SN2 and the least hindered position; no cation possible</t>
        </is>
      </c>
      <c r="S123" s="7" t="inlineStr">
        <is>
          <t>no substituent blocks the backside; no alkyl group stabilises a cation</t>
        </is>
      </c>
      <c r="T123" s="7" t="n"/>
      <c r="U123" s="10" t="n">
        <v>0.04</v>
      </c>
      <c r="V123" s="7" t="inlineStr">
        <is>
          <t>alkyl substitution +1.72 (n=248; winner had it 42 % vs 46 % at random) · other +1.05 (n=301; winner had it 40 % vs 37 % at random) · acyl substitution -0.82 (n=2658; winner had it 10 % vs 49 % at random) · aryl halide -0.75 (n=349; winner had it 7 % vs 46 % at random) · arene ch -0.71 (n=25; winner had it 16 % vs 48 % at random) · deprotection +0.62 (n=246; winner had it 26 % vs 47 % at random)</t>
        </is>
      </c>
      <c r="W123" s="7" t="n">
        <v>6136</v>
      </c>
      <c r="X123" s="7" t="n">
        <v>3686</v>
      </c>
      <c r="Y123" s="9" t="n">
        <v>0.117</v>
      </c>
      <c r="Z123" s="9" t="n">
        <v>0.4532</v>
      </c>
      <c r="AA123" s="7" t="n"/>
      <c r="AB123" s="7" t="n"/>
      <c r="AC123" s="7" t="n"/>
      <c r="AD123" s="7" t="n"/>
      <c r="AE123" s="7" t="inlineStr">
        <is>
          <t>learned from the training patents (tools/int_train.py)</t>
        </is>
      </c>
      <c r="AF123" s="7" t="inlineStr">
        <is>
          <t>Clayden, Organic Chemistry (SN2)</t>
        </is>
      </c>
    </row>
    <row r="124">
      <c r="A124" s="7" t="inlineStr">
        <is>
          <t>I123</t>
        </is>
      </c>
      <c r="B124" s="7" t="inlineStr">
        <is>
          <t>sp3-primary</t>
        </is>
      </c>
      <c r="C124" s="7" t="inlineStr">
        <is>
          <t>primary carbon (one carbon substituent)</t>
        </is>
      </c>
      <c r="D124" s="7" t="inlineStr">
        <is>
          <t>sp3 carbon: substitution degree</t>
        </is>
      </c>
      <c r="E124" s="7" t="inlineStr">
        <is>
          <t>steric</t>
        </is>
      </c>
      <c r="F124" s="7" t="inlineStr">
        <is>
          <t>sp3 C</t>
        </is>
      </c>
      <c r="G124" s="7" t="inlineStr">
        <is>
          <t>[C;X4;$(C-[#6;!900*]);!$(C(-[#6;!900*])-[#6;!900*])]</t>
        </is>
      </c>
      <c r="H124" s="7" t="inlineStr"/>
      <c r="I124" s="7" t="inlineStr"/>
      <c r="J124" s="7" t="inlineStr"/>
      <c r="K124" s="7" t="inlineStr"/>
      <c r="L124" s="7" t="inlineStr"/>
      <c r="M124" s="7" t="n"/>
      <c r="N124" s="7" t="inlineStr"/>
      <c r="O124" s="7" t="inlineStr">
        <is>
          <t>yes</t>
        </is>
      </c>
      <c r="P124" s="7" t="inlineStr"/>
      <c r="Q124" s="7" t="inlineStr">
        <is>
          <t>the attacked carbon had one carbon substituent (R–CH2–X)</t>
        </is>
      </c>
      <c r="R124" s="7" t="inlineStr">
        <is>
          <t>open: SN2 fast, E2 with bulky bases</t>
        </is>
      </c>
      <c r="S124" s="7" t="inlineStr">
        <is>
          <t>one substituent only: the backside is open</t>
        </is>
      </c>
      <c r="T124" s="7" t="n"/>
      <c r="U124" s="10" t="n">
        <v>-0.05</v>
      </c>
      <c r="V124" s="7" t="inlineStr">
        <is>
          <t>acyl substitution +1.15 (n=3504; winner had it 71 % vs 49 % at random) · carbonyl addition -1.12 (n=4281; winner had it 9 % vs 51 % at random) · deprotection +0.79 (n=780; winner had it 54 % vs 49 % at random) · alkyl substitution -0.54 (n=558; winner had it 23 % vs 49 % at random) · arene ch -0.51 (n=109; winner had it 39 % vs 48 % at random) · aryl halide -0.46 (n=875; winner had it 17 % vs 51 % at random)</t>
        </is>
      </c>
      <c r="W124" s="7" t="n">
        <v>11421</v>
      </c>
      <c r="X124" s="7" t="n">
        <v>6349</v>
      </c>
      <c r="Y124" s="9" t="n">
        <v>0.3689</v>
      </c>
      <c r="Z124" s="9" t="n">
        <v>0.4967</v>
      </c>
      <c r="AA124" s="7" t="n"/>
      <c r="AB124" s="7" t="n"/>
      <c r="AC124" s="7" t="n"/>
      <c r="AD124" s="7" t="n"/>
      <c r="AE124" s="7" t="inlineStr">
        <is>
          <t>learned from the training patents (tools/int_train.py)</t>
        </is>
      </c>
      <c r="AF124" s="7" t="inlineStr">
        <is>
          <t>Clayden, Organic Chemistry (SN2)</t>
        </is>
      </c>
    </row>
    <row r="125">
      <c r="A125" s="7" t="inlineStr">
        <is>
          <t>I124</t>
        </is>
      </c>
      <c r="B125" s="7" t="inlineStr">
        <is>
          <t>sp3-secondary</t>
        </is>
      </c>
      <c r="C125" s="7" t="inlineStr">
        <is>
          <t>secondary carbon (two carbon substituents)</t>
        </is>
      </c>
      <c r="D125" s="7" t="inlineStr">
        <is>
          <t>sp3 carbon: substitution degree</t>
        </is>
      </c>
      <c r="E125" s="7" t="inlineStr">
        <is>
          <t>steric</t>
        </is>
      </c>
      <c r="F125" s="7" t="inlineStr">
        <is>
          <t>sp3 C</t>
        </is>
      </c>
      <c r="G125" s="7" t="inlineStr">
        <is>
          <t>[C;X4;$(C(-[#6;!900*])-[#6;!900*]);!$(C(-[#6;!900*])(-[#6;!900*])-[#6;!900*])]</t>
        </is>
      </c>
      <c r="H125" s="7" t="inlineStr"/>
      <c r="I125" s="7" t="inlineStr"/>
      <c r="J125" s="7" t="inlineStr"/>
      <c r="K125" s="7" t="inlineStr"/>
      <c r="L125" s="7" t="inlineStr"/>
      <c r="M125" s="7" t="n"/>
      <c r="N125" s="7" t="inlineStr"/>
      <c r="O125" s="7" t="inlineStr">
        <is>
          <t>yes</t>
        </is>
      </c>
      <c r="P125" s="7" t="inlineStr"/>
      <c r="Q125" s="7" t="inlineStr">
        <is>
          <t>the attacked carbon had two carbon substituents (R2CH–X)</t>
        </is>
      </c>
      <c r="R125" s="7" t="inlineStr">
        <is>
          <t>SN2 slower; SN1, E1 and E2 compete</t>
        </is>
      </c>
      <c r="S125" s="7" t="inlineStr">
        <is>
          <t>two substituents crowd the backside and stabilise a cation</t>
        </is>
      </c>
      <c r="T125" s="7" t="n"/>
      <c r="U125" s="10" t="n">
        <v>0.26</v>
      </c>
      <c r="V125" s="7" t="inlineStr">
        <is>
          <t>carbonyl addition +2.29 (n=5063; winner had it 96 % vs 49 % at random) · aryl halide +0.94 (n=905; winner had it 94 % vs 49 % at random) · other -0.44 (n=413; winner had it 76 % vs 58 % at random) · deprotection -0.40 (n=579; winner had it 58 % vs 53 % at random) · o nucleophile -0.34 (n=157; winner had it 45 % vs 57 % at random) · acyl substitution -0.01 (n=1076; winner had it 79 % vs 55 % at random)</t>
        </is>
      </c>
      <c r="W125" s="7" t="n">
        <v>9910</v>
      </c>
      <c r="X125" s="7" t="n">
        <v>5301</v>
      </c>
      <c r="Y125" s="9" t="n">
        <v>0.8764</v>
      </c>
      <c r="Z125" s="9" t="n">
        <v>0.5134</v>
      </c>
      <c r="AA125" s="7" t="n"/>
      <c r="AB125" s="7" t="n"/>
      <c r="AC125" s="7" t="n"/>
      <c r="AD125" s="7" t="n"/>
      <c r="AE125" s="7" t="inlineStr">
        <is>
          <t>learned from the training patents (tools/int_train.py)</t>
        </is>
      </c>
      <c r="AF125" s="7" t="inlineStr">
        <is>
          <t>Clayden, Organic Chemistry (SN2 / SN1)</t>
        </is>
      </c>
    </row>
    <row r="126">
      <c r="A126" s="7" t="inlineStr">
        <is>
          <t>I125</t>
        </is>
      </c>
      <c r="B126" s="7" t="inlineStr">
        <is>
          <t>sp3-tertiary</t>
        </is>
      </c>
      <c r="C126" s="7" t="inlineStr">
        <is>
          <t>tertiary carbon (three carbon substituents)</t>
        </is>
      </c>
      <c r="D126" s="7" t="inlineStr">
        <is>
          <t>sp3 carbon: substitution degree</t>
        </is>
      </c>
      <c r="E126" s="7" t="inlineStr">
        <is>
          <t>steric</t>
        </is>
      </c>
      <c r="F126" s="7" t="inlineStr">
        <is>
          <t>sp3 C</t>
        </is>
      </c>
      <c r="G126" s="7" t="inlineStr">
        <is>
          <t>[C;X4;$(C(-[#6;!900*])(-[#6;!900*])-[#6;!900*])]</t>
        </is>
      </c>
      <c r="H126" s="7" t="inlineStr"/>
      <c r="I126" s="7" t="inlineStr"/>
      <c r="J126" s="7" t="inlineStr"/>
      <c r="K126" s="7" t="inlineStr"/>
      <c r="L126" s="7" t="inlineStr"/>
      <c r="M126" s="7" t="n"/>
      <c r="N126" s="7" t="inlineStr"/>
      <c r="O126" s="7" t="inlineStr">
        <is>
          <t>yes</t>
        </is>
      </c>
      <c r="P126" s="7" t="inlineStr"/>
      <c r="Q126" s="7" t="inlineStr">
        <is>
          <t>the attacked carbon had three carbon substituents (R3C–X)</t>
        </is>
      </c>
      <c r="R126" s="7" t="inlineStr">
        <is>
          <t>no SN2: SN1 / E1 through the cation, or E2</t>
        </is>
      </c>
      <c r="S126" s="7" t="inlineStr">
        <is>
          <t>the backside is shielded; three alkyl groups stabilise the cation</t>
        </is>
      </c>
      <c r="T126" s="7" t="n"/>
      <c r="U126" s="10" t="n">
        <v>-0.74</v>
      </c>
      <c r="V126" s="7" t="inlineStr">
        <is>
          <t>acyl substitution -1.35 (n=47; winner had it 30 % vs 38 % at random) · other -0.80 (n=46; winner had it 70 % vs 50 % at random) · carbonyl addition -0.79 (n=105; winner had it 42 % vs 44 % at random) · o nucleophile -0.74 (n=42; winner had it 67 % vs 50 % at random) · deprotection -0.56 (n=49; winner had it 49 % vs 46 % at random) · alkyl substitution -0.34 (n=101; winner had it 78 % vs 51 % at random)</t>
        </is>
      </c>
      <c r="W126" s="7" t="n">
        <v>420</v>
      </c>
      <c r="X126" s="7" t="n">
        <v>289</v>
      </c>
      <c r="Y126" s="9" t="n">
        <v>0.5619</v>
      </c>
      <c r="Z126" s="9" t="n">
        <v>0.4719</v>
      </c>
      <c r="AA126" s="7" t="n"/>
      <c r="AB126" s="7" t="n"/>
      <c r="AC126" s="7" t="n"/>
      <c r="AD126" s="7" t="n"/>
      <c r="AE126" s="7" t="inlineStr">
        <is>
          <t>learned from the training patents (tools/int_train.py)</t>
        </is>
      </c>
      <c r="AF126" s="7" t="inlineStr">
        <is>
          <t>Clayden, Organic Chemistry (SN1)</t>
        </is>
      </c>
    </row>
    <row r="127">
      <c r="A127" s="7" t="inlineStr">
        <is>
          <t>I126</t>
        </is>
      </c>
      <c r="B127" s="7" t="inlineStr">
        <is>
          <t>sp3-benzylic</t>
        </is>
      </c>
      <c r="C127" s="7" t="inlineStr">
        <is>
          <t>benzylic carbon</t>
        </is>
      </c>
      <c r="D127" s="7" t="inlineStr">
        <is>
          <t>sp3 carbon: neighbour effect</t>
        </is>
      </c>
      <c r="E127" s="7" t="inlineStr">
        <is>
          <t>electronic</t>
        </is>
      </c>
      <c r="F127" s="7" t="inlineStr">
        <is>
          <t>sp3 C</t>
        </is>
      </c>
      <c r="G127" s="7" t="inlineStr">
        <is>
          <t>[C;X4;$(C-[c;!900*])]</t>
        </is>
      </c>
      <c r="H127" s="7" t="inlineStr"/>
      <c r="I127" s="7" t="inlineStr"/>
      <c r="J127" s="7" t="inlineStr"/>
      <c r="K127" s="7" t="inlineStr"/>
      <c r="L127" s="7" t="inlineStr"/>
      <c r="M127" s="7" t="n"/>
      <c r="N127" s="7" t="inlineStr"/>
      <c r="O127" s="7" t="inlineStr">
        <is>
          <t>yes</t>
        </is>
      </c>
      <c r="P127" s="7" t="inlineStr"/>
      <c r="Q127" s="7" t="inlineStr">
        <is>
          <t>the reacting carbon is attached to an aromatic ring</t>
        </is>
      </c>
      <c r="R127" s="7" t="inlineStr">
        <is>
          <t>SN1 and SN2 both fast; radical and oxidation chemistry at this C–H; easily inserted by metals</t>
        </is>
      </c>
      <c r="S127" s="7" t="inlineStr">
        <is>
          <t>the ring stabilises the cation, the radical and the SN2 transition state</t>
        </is>
      </c>
      <c r="T127" s="7" t="n"/>
      <c r="U127" s="10" t="n">
        <v>0.9</v>
      </c>
      <c r="V127" s="7" t="inlineStr">
        <is>
          <t>deprotection +1.75 (n=963; winner had it 82 % vs 45 % at random) · other +1.33 (n=565; winner had it 65 % vs 40 % at random) · aryl halide +1.25 (n=544; winner had it 84 % vs 46 % at random) · unsaturated +1.13 (n=78; winner had it 60 % vs 38 % at random) · alkyl substitution +1.10 (n=1110; winner had it 69 % vs 44 % at random) · acyl substitution +1.06 (n=2560; winner had it 71 % vs 44 % at random)</t>
        </is>
      </c>
      <c r="W127" s="7" t="n">
        <v>9319</v>
      </c>
      <c r="X127" s="7" t="n">
        <v>5079</v>
      </c>
      <c r="Y127" s="9" t="n">
        <v>0.6854</v>
      </c>
      <c r="Z127" s="9" t="n">
        <v>0.4442</v>
      </c>
      <c r="AA127" s="7" t="n"/>
      <c r="AB127" s="7" t="n"/>
      <c r="AC127" s="7" t="n"/>
      <c r="AD127" s="7" t="n"/>
      <c r="AE127" s="7" t="inlineStr">
        <is>
          <t>learned from the training patents (tools/int_train.py)</t>
        </is>
      </c>
      <c r="AF127" s="7" t="inlineStr">
        <is>
          <t>Clayden, Organic Chemistry</t>
        </is>
      </c>
    </row>
    <row r="128">
      <c r="A128" s="7" t="inlineStr">
        <is>
          <t>I127</t>
        </is>
      </c>
      <c r="B128" s="7" t="inlineStr">
        <is>
          <t>sp3-allylic</t>
        </is>
      </c>
      <c r="C128" s="7" t="inlineStr">
        <is>
          <t>allylic carbon</t>
        </is>
      </c>
      <c r="D128" s="7" t="inlineStr">
        <is>
          <t>sp3 carbon: neighbour effect</t>
        </is>
      </c>
      <c r="E128" s="7" t="inlineStr">
        <is>
          <t>electronic</t>
        </is>
      </c>
      <c r="F128" s="7" t="inlineStr">
        <is>
          <t>sp3 C</t>
        </is>
      </c>
      <c r="G128" s="7" t="inlineStr">
        <is>
          <t>[C;X4;$(C-[C;X3;!$(C=O);!900*]=C)]</t>
        </is>
      </c>
      <c r="H128" s="7" t="inlineStr"/>
      <c r="I128" s="7" t="inlineStr"/>
      <c r="J128" s="7" t="inlineStr"/>
      <c r="K128" s="7" t="inlineStr"/>
      <c r="L128" s="7" t="inlineStr"/>
      <c r="M128" s="7" t="n"/>
      <c r="N128" s="7" t="inlineStr"/>
      <c r="O128" s="7" t="inlineStr">
        <is>
          <t>yes</t>
        </is>
      </c>
      <c r="P128" s="7" t="inlineStr"/>
      <c r="Q128" s="7" t="inlineStr">
        <is>
          <t>the reacting carbon is attached to a C=C</t>
        </is>
      </c>
      <c r="R128" s="7" t="inlineStr">
        <is>
          <t>SN1 and SN2 fast; SN2′ and allylic transposition possible; radical reactions at this C–H</t>
        </is>
      </c>
      <c r="S128" s="7" t="inlineStr">
        <is>
          <t>the π bond stabilises the cation, the radical and the transition state</t>
        </is>
      </c>
      <c r="T128" s="7" t="n"/>
      <c r="U128" s="10" t="n">
        <v>0.46</v>
      </c>
      <c r="V128" s="7" t="inlineStr">
        <is>
          <t>unsaturated +1.83 (n=73; winner had it 84 % vs 37 % at random) · alkyl substitution +0.66 (n=120; winner had it 38 % vs 38 % at random) · other +0.63 (n=123; winner had it 19 % vs 32 % at random) · carbonyl addition -0.27 (n=324; winner had it 48 % vs 44 % at random) · n nucleophile +0.00 (n=58; winner had it 21 % vs 39 % at random)</t>
        </is>
      </c>
      <c r="W128" s="7" t="n">
        <v>1210</v>
      </c>
      <c r="X128" s="7" t="n">
        <v>799</v>
      </c>
      <c r="Y128" s="9" t="n">
        <v>0.4256</v>
      </c>
      <c r="Z128" s="9" t="n">
        <v>0.3987</v>
      </c>
      <c r="AA128" s="7" t="n"/>
      <c r="AB128" s="7" t="n"/>
      <c r="AC128" s="7" t="n"/>
      <c r="AD128" s="7" t="n"/>
      <c r="AE128" s="7" t="inlineStr">
        <is>
          <t>learned from the training patents (tools/int_train.py)</t>
        </is>
      </c>
      <c r="AF128" s="7" t="inlineStr">
        <is>
          <t>Clayden, Organic Chemistry</t>
        </is>
      </c>
    </row>
    <row r="129">
      <c r="A129" s="7" t="inlineStr">
        <is>
          <t>I128</t>
        </is>
      </c>
      <c r="B129" s="7" t="inlineStr">
        <is>
          <t>sp3-propargylic</t>
        </is>
      </c>
      <c r="C129" s="7" t="inlineStr">
        <is>
          <t>propargylic carbon</t>
        </is>
      </c>
      <c r="D129" s="7" t="inlineStr">
        <is>
          <t>sp3 carbon: neighbour effect</t>
        </is>
      </c>
      <c r="E129" s="7" t="inlineStr">
        <is>
          <t>electronic</t>
        </is>
      </c>
      <c r="F129" s="7" t="inlineStr">
        <is>
          <t>sp3 C</t>
        </is>
      </c>
      <c r="G129" s="7" t="inlineStr">
        <is>
          <t>[C;X4;$(C-[C;X2;!900*]#[#6])]</t>
        </is>
      </c>
      <c r="H129" s="7" t="inlineStr"/>
      <c r="I129" s="7" t="inlineStr"/>
      <c r="J129" s="7" t="inlineStr"/>
      <c r="K129" s="7" t="inlineStr"/>
      <c r="L129" s="7" t="inlineStr"/>
      <c r="M129" s="7" t="n"/>
      <c r="N129" s="7" t="inlineStr"/>
      <c r="O129" s="7" t="inlineStr">
        <is>
          <t>yes</t>
        </is>
      </c>
      <c r="P129" s="7" t="inlineStr"/>
      <c r="Q129" s="7" t="inlineStr">
        <is>
          <t>the reacting carbon is attached to a C≡C</t>
        </is>
      </c>
      <c r="R129" s="7" t="inlineStr">
        <is>
          <t>SN2 fast (like allylic); SN2′ gives allenes</t>
        </is>
      </c>
      <c r="S129" s="7" t="inlineStr">
        <is>
          <t>the π system activates the transition state</t>
        </is>
      </c>
      <c r="T129" s="7" t="n"/>
      <c r="U129" s="10" t="n">
        <v>1.31</v>
      </c>
      <c r="V129" s="7" t="inlineStr"/>
      <c r="W129" s="7" t="n">
        <v>82</v>
      </c>
      <c r="X129" s="7" t="n">
        <v>62</v>
      </c>
      <c r="Y129" s="9" t="n">
        <v>0.6098</v>
      </c>
      <c r="Z129" s="9" t="n">
        <v>0.3662</v>
      </c>
      <c r="AA129" s="7" t="n"/>
      <c r="AB129" s="7" t="n"/>
      <c r="AC129" s="7" t="n"/>
      <c r="AD129" s="7" t="n"/>
      <c r="AE129" s="7" t="inlineStr">
        <is>
          <t>learned from the training patents (tools/int_train.py)</t>
        </is>
      </c>
      <c r="AF129" s="7" t="inlineStr">
        <is>
          <t>Clayden, Organic Chemistry</t>
        </is>
      </c>
    </row>
    <row r="130">
      <c r="A130" s="7" t="inlineStr">
        <is>
          <t>I129</t>
        </is>
      </c>
      <c r="B130" s="7" t="inlineStr">
        <is>
          <t>sp3-alpha-carbonyl</t>
        </is>
      </c>
      <c r="C130" s="7" t="inlineStr">
        <is>
          <t>carbon α to a carbonyl group</t>
        </is>
      </c>
      <c r="D130" s="7" t="inlineStr">
        <is>
          <t>sp3 carbon: neighbour effect</t>
        </is>
      </c>
      <c r="E130" s="7" t="inlineStr">
        <is>
          <t>electronic</t>
        </is>
      </c>
      <c r="F130" s="7" t="inlineStr">
        <is>
          <t>sp3 C</t>
        </is>
      </c>
      <c r="G130" s="7" t="inlineStr">
        <is>
          <t>[C;X4;$(C-[C;X3;!900*]=[O,N,S])]</t>
        </is>
      </c>
      <c r="H130" s="7" t="inlineStr"/>
      <c r="I130" s="7" t="inlineStr"/>
      <c r="J130" s="7" t="inlineStr"/>
      <c r="K130" s="7" t="inlineStr"/>
      <c r="L130" s="7" t="inlineStr"/>
      <c r="M130" s="7" t="n"/>
      <c r="N130" s="7" t="inlineStr"/>
      <c r="O130" s="7" t="inlineStr">
        <is>
          <t>yes</t>
        </is>
      </c>
      <c r="P130" s="7" t="inlineStr"/>
      <c r="Q130" s="7" t="inlineStr">
        <is>
          <t>the reacting carbon is next to a C=O or C=N</t>
        </is>
      </c>
      <c r="R130" s="7" t="inlineStr">
        <is>
          <t>SN2 much faster (α-halo ketones are among the most reactive alkylating agents); the C–H is acidic: enolate chemistry</t>
        </is>
      </c>
      <c r="S130" s="7" t="inlineStr">
        <is>
          <t>the π* of the C=O lowers the SN2 transition state; the C–H is acidic</t>
        </is>
      </c>
      <c r="T130" s="7" t="n"/>
      <c r="U130" s="10" t="n">
        <v>2.21</v>
      </c>
      <c r="V130" s="7" t="inlineStr">
        <is>
          <t>carbonyl addition +3.57 (n=1624; winner had it 89 % vs 41 % at random) · n nucleophile +3.39 (n=137; winner had it 92 % vs 32 % at random) · alkyl substitution +3.34 (n=1516; winner had it 94 % vs 40 % at random) · acyl substitution +2.90 (n=1987; winner had it 87 % vs 41 % at random) · aryl halide +2.88 (n=472; winner had it 92 % vs 45 % at random) · other +2.79 (n=539; winner had it 81 % vs 33 % at random)</t>
        </is>
      </c>
      <c r="W130" s="7" t="n">
        <v>7078</v>
      </c>
      <c r="X130" s="7" t="n">
        <v>4157</v>
      </c>
      <c r="Y130" s="9" t="n">
        <v>0.8594000000000001</v>
      </c>
      <c r="Z130" s="9" t="n">
        <v>0.3985</v>
      </c>
      <c r="AA130" s="7" t="n"/>
      <c r="AB130" s="7" t="n"/>
      <c r="AC130" s="7" t="n"/>
      <c r="AD130" s="7" t="n"/>
      <c r="AE130" s="7" t="inlineStr">
        <is>
          <t>learned from the training patents (tools/int_train.py)</t>
        </is>
      </c>
      <c r="AF130" s="7" t="inlineStr">
        <is>
          <t>Clayden, Organic Chemistry</t>
        </is>
      </c>
    </row>
    <row r="131">
      <c r="A131" s="7" t="inlineStr">
        <is>
          <t>I130</t>
        </is>
      </c>
      <c r="B131" s="7" t="inlineStr">
        <is>
          <t>sp3-alpha-nitrile</t>
        </is>
      </c>
      <c r="C131" s="7" t="inlineStr">
        <is>
          <t>carbon α to a nitrile</t>
        </is>
      </c>
      <c r="D131" s="7" t="inlineStr">
        <is>
          <t>sp3 carbon: neighbour effect</t>
        </is>
      </c>
      <c r="E131" s="7" t="inlineStr">
        <is>
          <t>electronic</t>
        </is>
      </c>
      <c r="F131" s="7" t="inlineStr">
        <is>
          <t>sp3 C</t>
        </is>
      </c>
      <c r="G131" s="7" t="inlineStr">
        <is>
          <t>[C;X4;$(C-[C;X2;!900*]#N)]</t>
        </is>
      </c>
      <c r="H131" s="7" t="inlineStr"/>
      <c r="I131" s="7" t="inlineStr"/>
      <c r="J131" s="7" t="inlineStr"/>
      <c r="K131" s="7" t="inlineStr"/>
      <c r="L131" s="7" t="inlineStr"/>
      <c r="M131" s="7" t="n"/>
      <c r="N131" s="7" t="inlineStr"/>
      <c r="O131" s="7" t="inlineStr">
        <is>
          <t>yes</t>
        </is>
      </c>
      <c r="P131" s="7" t="inlineStr"/>
      <c r="Q131" s="7" t="inlineStr">
        <is>
          <t>the reacting carbon is next to a C≡N</t>
        </is>
      </c>
      <c r="R131" s="7" t="inlineStr">
        <is>
          <t>SN2 fast; the C–H is acidic (acetonitrile pKa 31 in DMSO)</t>
        </is>
      </c>
      <c r="S131" s="7" t="inlineStr">
        <is>
          <t>the nitrile lowers the SN2 transition state and acidifies the C–H</t>
        </is>
      </c>
      <c r="T131" s="7" t="n"/>
      <c r="U131" s="10" t="n">
        <v>2.39</v>
      </c>
      <c r="V131" s="7" t="inlineStr">
        <is>
          <t>alkyl substitution +3.65 (n=166; winner had it 100 % vs 45 % at random) · acyl substitution +3.43 (n=139; winner had it 97 % vs 44 % at random) · aryl halide +2.61 (n=86; winner had it 95 % vs 46 % at random) · carbonyl addition +2.58 (n=95; winner had it 83 % vs 41 % at random)</t>
        </is>
      </c>
      <c r="W131" s="7" t="n">
        <v>552</v>
      </c>
      <c r="X131" s="7" t="n">
        <v>392</v>
      </c>
      <c r="Y131" s="9" t="n">
        <v>0.9149</v>
      </c>
      <c r="Z131" s="9" t="n">
        <v>0.4311</v>
      </c>
      <c r="AA131" s="7" t="n"/>
      <c r="AB131" s="7" t="n"/>
      <c r="AC131" s="7" t="n"/>
      <c r="AD131" s="7" t="n"/>
      <c r="AE131" s="7" t="inlineStr">
        <is>
          <t>learned from the training patents (tools/int_train.py)</t>
        </is>
      </c>
      <c r="AF131" s="7" t="inlineStr">
        <is>
          <t>Clayden, Organic Chemistry</t>
        </is>
      </c>
    </row>
    <row r="132">
      <c r="A132" s="7" t="inlineStr">
        <is>
          <t>I131</t>
        </is>
      </c>
      <c r="B132" s="7" t="inlineStr">
        <is>
          <t>sp3-alpha-CF3</t>
        </is>
      </c>
      <c r="C132" s="7" t="inlineStr">
        <is>
          <t>carbon next to a CF3 group</t>
        </is>
      </c>
      <c r="D132" s="7" t="inlineStr">
        <is>
          <t>sp3 carbon: neighbour effect</t>
        </is>
      </c>
      <c r="E132" s="7" t="inlineStr">
        <is>
          <t>electronic</t>
        </is>
      </c>
      <c r="F132" s="7" t="inlineStr">
        <is>
          <t>sp3 C</t>
        </is>
      </c>
      <c r="G132" s="7" t="inlineStr">
        <is>
          <t>[C;X4;$(C-[C;!900*](F)(F)F)]</t>
        </is>
      </c>
      <c r="H132" s="7" t="inlineStr"/>
      <c r="I132" s="7" t="inlineStr"/>
      <c r="J132" s="7" t="inlineStr"/>
      <c r="K132" s="7" t="inlineStr"/>
      <c r="L132" s="7" t="inlineStr"/>
      <c r="M132" s="7" t="n"/>
      <c r="N132" s="7" t="inlineStr"/>
      <c r="O132" s="7" t="inlineStr">
        <is>
          <t>yes</t>
        </is>
      </c>
      <c r="P132" s="7" t="inlineStr"/>
      <c r="Q132" s="7" t="inlineStr">
        <is>
          <t>the reacting carbon carries a CF3 group it already had (a CF3 the reaction put there does not count)</t>
        </is>
      </c>
      <c r="R132" s="7" t="inlineStr">
        <is>
          <t>SN2 and SN1 slowed: the CF3 destabilises positive charge and the transition state</t>
        </is>
      </c>
      <c r="S132" s="7" t="inlineStr">
        <is>
          <t>the CF3 group withdraws strongly by induction (Taft σ* +2.61)</t>
        </is>
      </c>
      <c r="T132" s="7" t="n"/>
      <c r="U132" s="10" t="n">
        <v>-0.03</v>
      </c>
      <c r="V132" s="7" t="inlineStr">
        <is>
          <t>carbonyl addition +0.76 (n=93; winner had it 69 % vs 49 % at random)</t>
        </is>
      </c>
      <c r="W132" s="7" t="n">
        <v>273</v>
      </c>
      <c r="X132" s="7" t="n">
        <v>189</v>
      </c>
      <c r="Y132" s="9" t="n">
        <v>0.4615</v>
      </c>
      <c r="Z132" s="9" t="n">
        <v>0.4472</v>
      </c>
      <c r="AA132" s="7" t="n"/>
      <c r="AB132" s="7" t="n"/>
      <c r="AC132" s="7" t="n"/>
      <c r="AD132" s="7" t="n"/>
      <c r="AE132" s="7" t="inlineStr">
        <is>
          <t>learned from the training patents (tools/int_train.py)</t>
        </is>
      </c>
      <c r="AF132" s="7" t="inlineStr">
        <is>
          <t>Hansch, Leo, Taft; Taft σ* values</t>
        </is>
      </c>
    </row>
    <row r="133">
      <c r="A133" s="7" t="inlineStr">
        <is>
          <t>I132</t>
        </is>
      </c>
      <c r="B133" s="7" t="inlineStr">
        <is>
          <t>sp3-alpha-halogen</t>
        </is>
      </c>
      <c r="C133" s="7" t="inlineStr">
        <is>
          <t>a halogen stays on the reacting carbon</t>
        </is>
      </c>
      <c r="D133" s="7" t="inlineStr">
        <is>
          <t>sp3 carbon: neighbour effect</t>
        </is>
      </c>
      <c r="E133" s="7" t="inlineStr">
        <is>
          <t>electronic</t>
        </is>
      </c>
      <c r="F133" s="7" t="inlineStr">
        <is>
          <t>sp3 C</t>
        </is>
      </c>
      <c r="G133" s="7" t="inlineStr">
        <is>
          <t>[C;X4;$(C-[F,Cl,Br,I;!900*])]</t>
        </is>
      </c>
      <c r="H133" s="7" t="inlineStr"/>
      <c r="I133" s="7" t="inlineStr"/>
      <c r="J133" s="7" t="inlineStr"/>
      <c r="K133" s="7" t="inlineStr"/>
      <c r="L133" s="7" t="inlineStr"/>
      <c r="M133" s="7" t="n"/>
      <c r="N133" s="7" t="inlineStr"/>
      <c r="O133" s="7" t="inlineStr">
        <is>
          <t>yes</t>
        </is>
      </c>
      <c r="P133" s="7" t="inlineStr"/>
      <c r="Q133" s="7" t="inlineStr">
        <is>
          <t>the reacting carbon keeps a halogen (CHX2, CX3)</t>
        </is>
      </c>
      <c r="R133" s="7" t="inlineStr">
        <is>
          <t>SN2 slowed (inductive, steric); SN1 favoured by lone-pair donation (Cl, Br)</t>
        </is>
      </c>
      <c r="S133" s="7" t="inlineStr">
        <is>
          <t>a halogen both withdraws and donates a lone pair</t>
        </is>
      </c>
      <c r="T133" s="7" t="n"/>
      <c r="U133" s="10" t="n">
        <v>-1.21</v>
      </c>
      <c r="V133" s="7" t="inlineStr">
        <is>
          <t>other -1.90 (n=154; winner had it 3 % vs 32 % at random) · n nucleophile -1.55 (n=41; winner had it 0 % vs 21 % at random) · deprotection -1.50 (n=91; winner had it 7 % vs 30 % at random) · o nucleophile -1.50 (n=32; winner had it 3 % vs 46 % at random) · alkyl substitution -1.25 (n=62; winner had it 21 % vs 46 % at random) · carbonyl addition -0.96 (n=67; winner had it 12 % vs 42 % at random)</t>
        </is>
      </c>
      <c r="W133" s="7" t="n">
        <v>582</v>
      </c>
      <c r="X133" s="7" t="n">
        <v>406</v>
      </c>
      <c r="Y133" s="9" t="n">
        <v>0.09619999999999999</v>
      </c>
      <c r="Z133" s="9" t="n">
        <v>0.3638</v>
      </c>
      <c r="AA133" s="7" t="n"/>
      <c r="AB133" s="7" t="n"/>
      <c r="AC133" s="7" t="n"/>
      <c r="AD133" s="7" t="n"/>
      <c r="AE133" s="7" t="inlineStr">
        <is>
          <t>learned from the training patents (tools/int_train.py)</t>
        </is>
      </c>
      <c r="AF133" s="7" t="inlineStr">
        <is>
          <t>Clayden, Organic Chemistry</t>
        </is>
      </c>
    </row>
    <row r="134">
      <c r="A134" s="7" t="inlineStr">
        <is>
          <t>I133</t>
        </is>
      </c>
      <c r="B134" s="7" t="inlineStr">
        <is>
          <t>sp3-alpha-oxygen</t>
        </is>
      </c>
      <c r="C134" s="7" t="inlineStr">
        <is>
          <t>an oxygen stays on the reacting carbon</t>
        </is>
      </c>
      <c r="D134" s="7" t="inlineStr">
        <is>
          <t>sp3 carbon: neighbour effect</t>
        </is>
      </c>
      <c r="E134" s="7" t="inlineStr">
        <is>
          <t>electronic</t>
        </is>
      </c>
      <c r="F134" s="7" t="inlineStr">
        <is>
          <t>sp3 C</t>
        </is>
      </c>
      <c r="G134" s="7" t="inlineStr">
        <is>
          <t>[C;X4;$(C-[OX2;!900*])]</t>
        </is>
      </c>
      <c r="H134" s="7" t="inlineStr"/>
      <c r="I134" s="7" t="inlineStr"/>
      <c r="J134" s="7" t="inlineStr"/>
      <c r="K134" s="7" t="inlineStr"/>
      <c r="L134" s="7" t="inlineStr"/>
      <c r="M134" s="7" t="n"/>
      <c r="N134" s="7" t="inlineStr"/>
      <c r="O134" s="7" t="inlineStr">
        <is>
          <t>yes</t>
        </is>
      </c>
      <c r="P134" s="7" t="inlineStr"/>
      <c r="Q134" s="7" t="inlineStr">
        <is>
          <t>the reacting carbon keeps an OR group (acetal carbon, α-alkoxy halide)</t>
        </is>
      </c>
      <c r="R134" s="7" t="inlineStr">
        <is>
          <t>SN1 very fast (oxocarbenium ion): α-alkoxy halides such as MOMCl are strongly activated; SN2 at an acetal carbon is unusual</t>
        </is>
      </c>
      <c r="S134" s="7" t="inlineStr">
        <is>
          <t>the O lone pair stabilises the cation</t>
        </is>
      </c>
      <c r="T134" s="7" t="n"/>
      <c r="U134" s="10" t="n">
        <v>-0.47</v>
      </c>
      <c r="V134" s="7" t="inlineStr">
        <is>
          <t>carbonyl addition -1.90 (n=3745; winner had it 1 % vs 48 % at random) · alkyl substitution -1.47 (n=1213; winner had it 8 % vs 45 % at random) · acyl substitution -0.94 (n=2007; winner had it 11 % vs 45 % at random) · aryl halide -0.75 (n=735; winner had it 4 % vs 47 % at random) · o nucleophile +0.58 (n=213; winner had it 51 % vs 48 % at random) · deprotection +0.38 (n=614; winner had it 38 % vs 44 % at random)</t>
        </is>
      </c>
      <c r="W134" s="7" t="n">
        <v>9191</v>
      </c>
      <c r="X134" s="7" t="n">
        <v>5386</v>
      </c>
      <c r="Y134" s="9" t="n">
        <v>0.0985</v>
      </c>
      <c r="Z134" s="9" t="n">
        <v>0.4552</v>
      </c>
      <c r="AA134" s="7" t="n"/>
      <c r="AB134" s="7" t="n"/>
      <c r="AC134" s="7" t="n"/>
      <c r="AD134" s="7" t="n"/>
      <c r="AE134" s="7" t="inlineStr">
        <is>
          <t>learned from the training patents (tools/int_train.py)</t>
        </is>
      </c>
      <c r="AF134" s="7" t="inlineStr">
        <is>
          <t>Clayden, Organic Chemistry</t>
        </is>
      </c>
    </row>
    <row r="135">
      <c r="A135" s="7" t="inlineStr">
        <is>
          <t>I134</t>
        </is>
      </c>
      <c r="B135" s="7" t="inlineStr">
        <is>
          <t>sp3-alpha-nitrogen</t>
        </is>
      </c>
      <c r="C135" s="7" t="inlineStr">
        <is>
          <t>a nitrogen stays on the reacting carbon</t>
        </is>
      </c>
      <c r="D135" s="7" t="inlineStr">
        <is>
          <t>sp3 carbon: neighbour effect</t>
        </is>
      </c>
      <c r="E135" s="7" t="inlineStr">
        <is>
          <t>electronic</t>
        </is>
      </c>
      <c r="F135" s="7" t="inlineStr">
        <is>
          <t>sp3 C</t>
        </is>
      </c>
      <c r="G135" s="7" t="inlineStr">
        <is>
          <t>[C;X4;$(C-[NX3;+0;!900*])]</t>
        </is>
      </c>
      <c r="H135" s="7" t="inlineStr"/>
      <c r="I135" s="7" t="inlineStr"/>
      <c r="J135" s="7" t="inlineStr"/>
      <c r="K135" s="7" t="inlineStr"/>
      <c r="L135" s="7" t="inlineStr"/>
      <c r="M135" s="7" t="n"/>
      <c r="N135" s="7" t="inlineStr"/>
      <c r="O135" s="7" t="inlineStr">
        <is>
          <t>yes</t>
        </is>
      </c>
      <c r="P135" s="7" t="inlineStr"/>
      <c r="Q135" s="7" t="inlineStr">
        <is>
          <t>the reacting carbon keeps an amino group (aminal, α-amino)</t>
        </is>
      </c>
      <c r="R135" s="7" t="inlineStr">
        <is>
          <t>SN1 very fast (iminium ion); the α-amino C–H is easily oxidised</t>
        </is>
      </c>
      <c r="S135" s="7" t="inlineStr">
        <is>
          <t>the N lone pair stabilises the cation</t>
        </is>
      </c>
      <c r="T135" s="7" t="n"/>
      <c r="U135" s="10" t="n">
        <v>-0.3</v>
      </c>
      <c r="V135" s="7" t="inlineStr">
        <is>
          <t>alkyl substitution -0.81 (n=559; winner had it 20 % vs 40 % at random) · carbonyl addition -0.79 (n=3341; winner had it 2 % vs 46 % at random) · other -0.66 (n=326; winner had it 26 % vs 37 % at random) · unsaturated -0.52 (n=26; winner had it 31 % vs 37 % at random) · n nucleophile +0.27 (n=132; winner had it 48 % vs 43 % at random) · deprotection +0.25 (n=382; winner had it 34 % vs 45 % at random)</t>
        </is>
      </c>
      <c r="W135" s="7" t="n">
        <v>7272</v>
      </c>
      <c r="X135" s="7" t="n">
        <v>3827</v>
      </c>
      <c r="Y135" s="9" t="n">
        <v>0.1242</v>
      </c>
      <c r="Z135" s="9" t="n">
        <v>0.455</v>
      </c>
      <c r="AA135" s="7" t="n"/>
      <c r="AB135" s="7" t="n"/>
      <c r="AC135" s="7" t="n"/>
      <c r="AD135" s="7" t="n"/>
      <c r="AE135" s="7" t="inlineStr">
        <is>
          <t>learned from the training patents (tools/int_train.py)</t>
        </is>
      </c>
      <c r="AF135" s="7" t="inlineStr">
        <is>
          <t>Clayden, Organic Chemistry</t>
        </is>
      </c>
    </row>
    <row r="136">
      <c r="A136" s="7" t="inlineStr">
        <is>
          <t>I135</t>
        </is>
      </c>
      <c r="B136" s="7" t="inlineStr">
        <is>
          <t>sp3-neopentyl</t>
        </is>
      </c>
      <c r="C136" s="7" t="inlineStr">
        <is>
          <t>neopentyl-type carbon (β-quaternary)</t>
        </is>
      </c>
      <c r="D136" s="7" t="inlineStr">
        <is>
          <t>sp3 carbon: neighbour effect</t>
        </is>
      </c>
      <c r="E136" s="7" t="inlineStr">
        <is>
          <t>hindrance</t>
        </is>
      </c>
      <c r="F136" s="7" t="inlineStr">
        <is>
          <t>sp3 C</t>
        </is>
      </c>
      <c r="G136" s="7" t="inlineStr">
        <is>
          <t>[C;X4;$(C-[C;X4;D4;!900*;!$(C(F)(F)F)])]</t>
        </is>
      </c>
      <c r="H136" s="7" t="inlineStr"/>
      <c r="I136" s="7" t="inlineStr"/>
      <c r="J136" s="7" t="inlineStr"/>
      <c r="K136" s="7" t="inlineStr"/>
      <c r="L136" s="7" t="inlineStr"/>
      <c r="M136" s="7" t="n"/>
      <c r="N136" s="7" t="inlineStr"/>
      <c r="O136" s="7" t="inlineStr">
        <is>
          <t>yes</t>
        </is>
      </c>
      <c r="P136" s="7" t="inlineStr"/>
      <c r="Q136" s="7" t="inlineStr">
        <is>
          <t>the carbon next to the reacting one is quaternary (CH2–CMe3)</t>
        </is>
      </c>
      <c r="R136" s="7" t="inlineStr">
        <is>
          <t>SN2 essentially blocked (about 10^5 slower than ethyl); SN1 gives rearrangement</t>
        </is>
      </c>
      <c r="S136" s="7" t="inlineStr">
        <is>
          <t>the tert-butyl group shields the backside of the CH2</t>
        </is>
      </c>
      <c r="T136" s="7" t="n"/>
      <c r="U136" s="10" t="n">
        <v>-0.43</v>
      </c>
      <c r="V136" s="7" t="inlineStr">
        <is>
          <t>alkyl substitution -1.31 (n=354; winner had it 8 % vs 42 % at random) · acyl substitution -0.85 (n=973; winner had it 26 % vs 42 % at random) · carbonyl addition -0.81 (n=738; winner had it 31 % vs 44 % at random) · aryl halide -0.69 (n=119; winner had it 19 % vs 44 % at random) · n nucleophile -0.56 (n=65; winner had it 26 % vs 42 % at random) · deprotection -0.52 (n=196; winner had it 22 % vs 42 % at random)</t>
        </is>
      </c>
      <c r="W136" s="7" t="n">
        <v>2855</v>
      </c>
      <c r="X136" s="7" t="n">
        <v>1780</v>
      </c>
      <c r="Y136" s="9" t="n">
        <v>0.2634</v>
      </c>
      <c r="Z136" s="9" t="n">
        <v>0.4278</v>
      </c>
      <c r="AA136" s="7" t="n"/>
      <c r="AB136" s="7" t="n"/>
      <c r="AC136" s="7" t="n"/>
      <c r="AD136" s="7" t="n"/>
      <c r="AE136" s="7" t="inlineStr">
        <is>
          <t>learned from the training patents (tools/int_train.py)</t>
        </is>
      </c>
      <c r="AF136" s="7" t="inlineStr">
        <is>
          <t>Clayden, Organic Chemistry (SN2); Streitwieser relative rates; Taft Es −1.74</t>
        </is>
      </c>
    </row>
    <row r="137">
      <c r="A137" s="7" t="inlineStr">
        <is>
          <t>I136</t>
        </is>
      </c>
      <c r="B137" s="7" t="inlineStr">
        <is>
          <t>sp3-beta-branched</t>
        </is>
      </c>
      <c r="C137" s="7" t="inlineStr">
        <is>
          <t>β-branched carbon (isobutyl-type)</t>
        </is>
      </c>
      <c r="D137" s="7" t="inlineStr">
        <is>
          <t>sp3 carbon: neighbour effect</t>
        </is>
      </c>
      <c r="E137" s="7" t="inlineStr">
        <is>
          <t>hindrance</t>
        </is>
      </c>
      <c r="F137" s="7" t="inlineStr">
        <is>
          <t>sp3 C</t>
        </is>
      </c>
      <c r="G137" s="7" t="inlineStr">
        <is>
          <t>[C;X4;$(C-[C;X4;H1;!900*]([#6])[#6])]</t>
        </is>
      </c>
      <c r="H137" s="7" t="inlineStr"/>
      <c r="I137" s="7" t="inlineStr"/>
      <c r="J137" s="7" t="inlineStr"/>
      <c r="K137" s="7" t="inlineStr"/>
      <c r="L137" s="7" t="inlineStr"/>
      <c r="M137" s="7" t="n"/>
      <c r="N137" s="7" t="inlineStr"/>
      <c r="O137" s="7" t="inlineStr">
        <is>
          <t>yes</t>
        </is>
      </c>
      <c r="P137" s="7" t="inlineStr"/>
      <c r="Q137" s="7" t="inlineStr">
        <is>
          <t>the carbon next to the reacting one carries two further carbons (CH2–CHR2)</t>
        </is>
      </c>
      <c r="R137" s="7" t="inlineStr">
        <is>
          <t>SN2 about 30-fold slower than for an unbranched chain; E2 gets competitive</t>
        </is>
      </c>
      <c r="S137" s="7" t="inlineStr">
        <is>
          <t>the branch crowds the approach of the nucleophile</t>
        </is>
      </c>
      <c r="T137" s="7" t="n"/>
      <c r="U137" s="10" t="n">
        <v>0.25</v>
      </c>
      <c r="V137" s="7" t="inlineStr">
        <is>
          <t>o nucleophile +0.89 (n=189; winner had it 66 % vs 48 % at random) · carbonyl addition -0.13 (n=824; winner had it 47 % vs 45 % at random) · aryl halide -0.04 (n=145; winner had it 54 % vs 48 % at random)</t>
        </is>
      </c>
      <c r="W137" s="7" t="n">
        <v>2608</v>
      </c>
      <c r="X137" s="7" t="n">
        <v>1659</v>
      </c>
      <c r="Y137" s="9" t="n">
        <v>0.4831</v>
      </c>
      <c r="Z137" s="9" t="n">
        <v>0.4447</v>
      </c>
      <c r="AA137" s="7" t="n"/>
      <c r="AB137" s="7" t="n"/>
      <c r="AC137" s="7" t="n"/>
      <c r="AD137" s="7" t="n"/>
      <c r="AE137" s="7" t="inlineStr">
        <is>
          <t>learned from the training patents (tools/int_train.py)</t>
        </is>
      </c>
      <c r="AF137" s="7" t="inlineStr">
        <is>
          <t>Clayden, Organic Chemistry (SN2); Streitwieser relative rates; Taft Es −0.93</t>
        </is>
      </c>
    </row>
    <row r="138">
      <c r="A138" s="7" t="inlineStr">
        <is>
          <t>I137</t>
        </is>
      </c>
      <c r="B138" s="7" t="inlineStr">
        <is>
          <t>sp3-beta-opened</t>
        </is>
      </c>
      <c r="C138" s="7" t="inlineStr">
        <is>
          <t>carbon next to a carbon that now bears the O, N or S the reaction released from it (ring opening)</t>
        </is>
      </c>
      <c r="D138" s="7" t="inlineStr">
        <is>
          <t>sp3 carbon: neighbour effect</t>
        </is>
      </c>
      <c r="E138" s="7" t="inlineStr">
        <is>
          <t>electronic</t>
        </is>
      </c>
      <c r="F138" s="7" t="inlineStr">
        <is>
          <t>sp3 C</t>
        </is>
      </c>
      <c r="G138" s="7" t="inlineStr">
        <is>
          <t>[C;X4;$(C-[CX4;!900*]-[900O,900N,900S]);!$(C1-[CX4;!900*]-[900O,900N,900S]-1)]</t>
        </is>
      </c>
      <c r="H138" s="7" t="inlineStr"/>
      <c r="I138" s="7" t="inlineStr"/>
      <c r="J138" s="7" t="inlineStr"/>
      <c r="K138" s="7" t="inlineStr"/>
      <c r="L138" s="7" t="inlineStr"/>
      <c r="M138" s="7" t="n"/>
      <c r="N138" s="7" t="inlineStr"/>
      <c r="O138" s="7" t="inlineStr">
        <is>
          <t>yes</t>
        </is>
      </c>
      <c r="P138" s="7" t="inlineStr"/>
      <c r="Q138" s="7" t="inlineStr">
        <is>
          <t>the neighbouring carbon keeps a heteroatom whose bond to the reacting carbon was broken (epoxide, aziridine, cyclic sulfate opened at this carbon; a three-membered ring closed onto this carbon does not count)</t>
        </is>
      </c>
      <c r="R138" s="7" t="inlineStr">
        <is>
          <t>regioselectivity of ring opening: nucleophiles attack the less hindered carbon of an epoxide under basic or neutral conditions (SN2), the more substituted carbon under acid; the β-hydroxy / β-amino group left behind can chelate</t>
        </is>
      </c>
      <c r="S138" s="7" t="inlineStr">
        <is>
          <t>the strained ring is opened at the carbon the pattern marks</t>
        </is>
      </c>
      <c r="T138" s="7" t="n"/>
      <c r="U138" s="10" t="n">
        <v>-0.15</v>
      </c>
      <c r="V138" s="7" t="inlineStr">
        <is>
          <t>acyl substitution -0.67 (n=52; winner had it 0 % vs 50 % at random)</t>
        </is>
      </c>
      <c r="W138" s="7" t="n">
        <v>88</v>
      </c>
      <c r="X138" s="7" t="n">
        <v>73</v>
      </c>
      <c r="Y138" s="9" t="n">
        <v>0.1023</v>
      </c>
      <c r="Z138" s="9" t="n">
        <v>0.5114</v>
      </c>
      <c r="AA138" s="7" t="n"/>
      <c r="AB138" s="7" t="n"/>
      <c r="AC138" s="7" t="n"/>
      <c r="AD138" s="7" t="n"/>
      <c r="AE138" s="7" t="inlineStr">
        <is>
          <t>learned from the training patents (tools/int_train.py)</t>
        </is>
      </c>
      <c r="AF138" s="7" t="inlineStr">
        <is>
          <t>Clayden, Organic Chemistry (epoxide opening)</t>
        </is>
      </c>
    </row>
    <row r="139">
      <c r="A139" s="7" t="inlineStr">
        <is>
          <t>I138</t>
        </is>
      </c>
      <c r="B139" s="7" t="inlineStr">
        <is>
          <t>sp3-ring3</t>
        </is>
      </c>
      <c r="C139" s="7" t="inlineStr">
        <is>
          <t>carbon in a three-membered ring (epoxide, aziridine, cyclopropane)</t>
        </is>
      </c>
      <c r="D139" s="7" t="inlineStr">
        <is>
          <t>sp3 carbon: ring</t>
        </is>
      </c>
      <c r="E139" s="7" t="inlineStr">
        <is>
          <t>geometry</t>
        </is>
      </c>
      <c r="F139" s="7" t="inlineStr">
        <is>
          <t>sp3 C</t>
        </is>
      </c>
      <c r="G139" s="7" t="inlineStr">
        <is>
          <t>[C;X4;r3]</t>
        </is>
      </c>
      <c r="H139" s="7" t="inlineStr"/>
      <c r="I139" s="7" t="inlineStr"/>
      <c r="J139" s="7" t="inlineStr"/>
      <c r="K139" s="7" t="inlineStr"/>
      <c r="L139" s="7" t="inlineStr"/>
      <c r="M139" s="7" t="n"/>
      <c r="N139" s="7" t="inlineStr"/>
      <c r="O139" s="7" t="inlineStr">
        <is>
          <t>yes</t>
        </is>
      </c>
      <c r="P139" s="7" t="inlineStr"/>
      <c r="Q139" s="7" t="inlineStr">
        <is>
          <t>the reacting carbon is in a ring of 3 atoms in the product</t>
        </is>
      </c>
      <c r="R139" s="7" t="inlineStr">
        <is>
          <t>a strained ring was formed or kept at this carbon: three-membered rings form by intramolecular SN2 (halohydrin to epoxide), carbene or peracid addition, and open easily with nucleophiles or acid</t>
        </is>
      </c>
      <c r="S139" s="7" t="inlineStr">
        <is>
          <t>ring size sets strain and the geometry of the attack</t>
        </is>
      </c>
      <c r="T139" s="7" t="n"/>
      <c r="U139" s="10" t="n">
        <v>-0.97</v>
      </c>
      <c r="V139" s="7" t="inlineStr">
        <is>
          <t>alkyl substitution -1.10 (n=36; winner had it 0 % vs 32 % at random) · acyl substitution -1.06 (n=49; winner had it 2 % vs 39 % at random) · carbonyl addition -0.77 (n=37; winner had it 8 % vs 35 % at random)</t>
        </is>
      </c>
      <c r="W139" s="7" t="n">
        <v>181</v>
      </c>
      <c r="X139" s="7" t="n">
        <v>135</v>
      </c>
      <c r="Y139" s="9" t="n">
        <v>0.0221</v>
      </c>
      <c r="Z139" s="9" t="n">
        <v>0.3458</v>
      </c>
      <c r="AA139" s="7" t="n"/>
      <c r="AB139" s="7" t="n"/>
      <c r="AC139" s="7" t="n"/>
      <c r="AD139" s="7" t="n"/>
      <c r="AE139" s="7" t="inlineStr">
        <is>
          <t>learned from the training patents (tools/int_train.py)</t>
        </is>
      </c>
      <c r="AF139" s="7" t="inlineStr">
        <is>
          <t>Clayden, Organic Chemistry (ring strain)</t>
        </is>
      </c>
    </row>
    <row r="140">
      <c r="A140" s="7" t="inlineStr">
        <is>
          <t>I139</t>
        </is>
      </c>
      <c r="B140" s="7" t="inlineStr">
        <is>
          <t>sp3-ring4</t>
        </is>
      </c>
      <c r="C140" s="7" t="inlineStr">
        <is>
          <t>carbon in a four-membered ring (oxetane, azetidine, cyclobutane)</t>
        </is>
      </c>
      <c r="D140" s="7" t="inlineStr">
        <is>
          <t>sp3 carbon: ring</t>
        </is>
      </c>
      <c r="E140" s="7" t="inlineStr">
        <is>
          <t>geometry</t>
        </is>
      </c>
      <c r="F140" s="7" t="inlineStr">
        <is>
          <t>sp3 C</t>
        </is>
      </c>
      <c r="G140" s="7" t="inlineStr">
        <is>
          <t>[C;X4;r4]</t>
        </is>
      </c>
      <c r="H140" s="7" t="inlineStr"/>
      <c r="I140" s="7" t="inlineStr"/>
      <c r="J140" s="7" t="inlineStr"/>
      <c r="K140" s="7" t="inlineStr"/>
      <c r="L140" s="7" t="inlineStr"/>
      <c r="M140" s="7" t="n"/>
      <c r="N140" s="7" t="inlineStr"/>
      <c r="O140" s="7" t="inlineStr">
        <is>
          <t>yes</t>
        </is>
      </c>
      <c r="P140" s="7" t="inlineStr"/>
      <c r="Q140" s="7" t="inlineStr">
        <is>
          <t>the reacting carbon is in a ring of 4 atoms in the product</t>
        </is>
      </c>
      <c r="R140" s="7" t="inlineStr">
        <is>
          <t>a strained ring was formed or kept at this carbon; four-membered rings form slowly and open easily under acid</t>
        </is>
      </c>
      <c r="S140" s="7" t="inlineStr">
        <is>
          <t>ring size sets strain and the geometry of the attack</t>
        </is>
      </c>
      <c r="T140" s="7" t="n"/>
      <c r="U140" s="10" t="n">
        <v>-0.06</v>
      </c>
      <c r="V140" s="7" t="inlineStr"/>
      <c r="W140" s="7" t="n">
        <v>221</v>
      </c>
      <c r="X140" s="7" t="n">
        <v>137</v>
      </c>
      <c r="Y140" s="9" t="n">
        <v>0.457</v>
      </c>
      <c r="Z140" s="9" t="n">
        <v>0.43</v>
      </c>
      <c r="AA140" s="7" t="n"/>
      <c r="AB140" s="7" t="n"/>
      <c r="AC140" s="7" t="n"/>
      <c r="AD140" s="7" t="n"/>
      <c r="AE140" s="7" t="inlineStr">
        <is>
          <t>learned from the training patents (tools/int_train.py)</t>
        </is>
      </c>
      <c r="AF140" s="7" t="inlineStr">
        <is>
          <t>Clayden, Organic Chemistry (ring strain)</t>
        </is>
      </c>
    </row>
    <row r="141">
      <c r="A141" s="7" t="inlineStr">
        <is>
          <t>I140</t>
        </is>
      </c>
      <c r="B141" s="7" t="inlineStr">
        <is>
          <t>sp3-ring5</t>
        </is>
      </c>
      <c r="C141" s="7" t="inlineStr">
        <is>
          <t>carbon in a five-membered ring</t>
        </is>
      </c>
      <c r="D141" s="7" t="inlineStr">
        <is>
          <t>sp3 carbon: ring</t>
        </is>
      </c>
      <c r="E141" s="7" t="inlineStr">
        <is>
          <t>geometry</t>
        </is>
      </c>
      <c r="F141" s="7" t="inlineStr">
        <is>
          <t>sp3 C</t>
        </is>
      </c>
      <c r="G141" s="7" t="inlineStr">
        <is>
          <t>[C;X4;r5]</t>
        </is>
      </c>
      <c r="H141" s="7" t="inlineStr"/>
      <c r="I141" s="7" t="inlineStr"/>
      <c r="J141" s="7" t="inlineStr"/>
      <c r="K141" s="7" t="inlineStr"/>
      <c r="L141" s="7" t="inlineStr"/>
      <c r="M141" s="7" t="n"/>
      <c r="N141" s="7" t="inlineStr"/>
      <c r="O141" s="7" t="inlineStr">
        <is>
          <t>yes</t>
        </is>
      </c>
      <c r="P141" s="7" t="inlineStr"/>
      <c r="Q141" s="7" t="inlineStr">
        <is>
          <t>the reacting carbon is in a ring of 5 atoms in the product</t>
        </is>
      </c>
      <c r="R141" s="7" t="inlineStr">
        <is>
          <t>a five-membered ring carbon: five-membered rings close easily (5-exo); SN2 at cyclopentyl is not slowed by ring strain the way it is at cyclohexyl</t>
        </is>
      </c>
      <c r="S141" s="7" t="inlineStr">
        <is>
          <t>ring size sets strain and the geometry of the attack</t>
        </is>
      </c>
      <c r="T141" s="7" t="n"/>
      <c r="U141" s="10" t="n">
        <v>0.77</v>
      </c>
      <c r="V141" s="7" t="inlineStr">
        <is>
          <t>o nucleophile +1.24 (n=109; winner had it 74 % vs 47 % at random) · arene ch +1.22 (n=27; winner had it 56 % vs 42 % at random) · deprotection +1.04 (n=164; winner had it 62 % vs 44 % at random) · carbonyl addition +0.94 (n=880; winner had it 50 % vs 49 % at random) · other +0.83 (n=160; winner had it 51 % vs 41 % at random) · aryl halide +0.78 (n=116; winner had it 65 % vs 53 % at random)</t>
        </is>
      </c>
      <c r="W141" s="7" t="n">
        <v>2297</v>
      </c>
      <c r="X141" s="7" t="n">
        <v>1336</v>
      </c>
      <c r="Y141" s="9" t="n">
        <v>0.5451</v>
      </c>
      <c r="Z141" s="9" t="n">
        <v>0.4665</v>
      </c>
      <c r="AA141" s="7" t="n"/>
      <c r="AB141" s="7" t="n"/>
      <c r="AC141" s="7" t="n"/>
      <c r="AD141" s="7" t="n"/>
      <c r="AE141" s="7" t="inlineStr">
        <is>
          <t>learned from the training patents (tools/int_train.py)</t>
        </is>
      </c>
      <c r="AF141" s="7" t="inlineStr">
        <is>
          <t>Clayden, Organic Chemistry (ring strain)</t>
        </is>
      </c>
    </row>
    <row r="142">
      <c r="A142" s="7" t="inlineStr">
        <is>
          <t>I141</t>
        </is>
      </c>
      <c r="B142" s="7" t="inlineStr">
        <is>
          <t>sp3-ring6</t>
        </is>
      </c>
      <c r="C142" s="7" t="inlineStr">
        <is>
          <t>carbon in a six-membered ring</t>
        </is>
      </c>
      <c r="D142" s="7" t="inlineStr">
        <is>
          <t>sp3 carbon: ring</t>
        </is>
      </c>
      <c r="E142" s="7" t="inlineStr">
        <is>
          <t>geometry</t>
        </is>
      </c>
      <c r="F142" s="7" t="inlineStr">
        <is>
          <t>sp3 C</t>
        </is>
      </c>
      <c r="G142" s="7" t="inlineStr">
        <is>
          <t>[C;X4;r6]</t>
        </is>
      </c>
      <c r="H142" s="7" t="inlineStr"/>
      <c r="I142" s="7" t="inlineStr"/>
      <c r="J142" s="7" t="inlineStr"/>
      <c r="K142" s="7" t="inlineStr"/>
      <c r="L142" s="7" t="inlineStr"/>
      <c r="M142" s="7" t="n"/>
      <c r="N142" s="7" t="inlineStr"/>
      <c r="O142" s="7" t="inlineStr">
        <is>
          <t>yes</t>
        </is>
      </c>
      <c r="P142" s="7" t="inlineStr"/>
      <c r="Q142" s="7" t="inlineStr">
        <is>
          <t>the reacting carbon is in a ring of 6 atoms in the product</t>
        </is>
      </c>
      <c r="R142" s="7" t="inlineStr">
        <is>
          <t>a six-membered ring carbon: SN2 at cyclohexyl is much slower than at cyclopentyl or at an open-chain secondary carbon; axial or equatorial position decides E2 (anti-periplanar H) and the face of attack</t>
        </is>
      </c>
      <c r="S142" s="7" t="inlineStr">
        <is>
          <t>ring size sets strain and the geometry of the attack</t>
        </is>
      </c>
      <c r="T142" s="7" t="n"/>
      <c r="U142" s="10" t="n">
        <v>0.77</v>
      </c>
      <c r="V142" s="7" t="inlineStr">
        <is>
          <t>acyl substitution +1.50 (n=554; winner had it 81 % vs 55 % at random) · o nucleophile +1.15 (n=196; winner had it 77 % vs 51 % at random) · aryl halide +1.12 (n=252; winner had it 75 % vs 54 % at random) · deprotection +0.99 (n=285; winner had it 58 % vs 51 % at random) · n nucleophile +0.88 (n=77; winner had it 70 % vs 52 % at random) · carbonyl addition +0.85 (n=2194; winner had it 73 % vs 53 % at random)</t>
        </is>
      </c>
      <c r="W142" s="7" t="n">
        <v>4239</v>
      </c>
      <c r="X142" s="7" t="n">
        <v>2290</v>
      </c>
      <c r="Y142" s="9" t="n">
        <v>0.7028</v>
      </c>
      <c r="Z142" s="9" t="n">
        <v>0.5252</v>
      </c>
      <c r="AA142" s="7" t="n"/>
      <c r="AB142" s="7" t="n"/>
      <c r="AC142" s="7" t="n"/>
      <c r="AD142" s="7" t="n"/>
      <c r="AE142" s="7" t="inlineStr">
        <is>
          <t>learned from the training patents (tools/int_train.py)</t>
        </is>
      </c>
      <c r="AF142" s="7" t="inlineStr">
        <is>
          <t>Clayden, Organic Chemistry (ring strain)</t>
        </is>
      </c>
    </row>
    <row r="143">
      <c r="A143" s="7" t="inlineStr">
        <is>
          <t>I142</t>
        </is>
      </c>
      <c r="B143" s="7" t="inlineStr">
        <is>
          <t>sp3-methyl-at-O</t>
        </is>
      </c>
      <c r="C143" s="7" t="inlineStr">
        <is>
          <t>methyl carbon that now carries an oxygen</t>
        </is>
      </c>
      <c r="D143" s="7" t="inlineStr">
        <is>
          <t>sp3 carbon: where the new group went</t>
        </is>
      </c>
      <c r="E143" s="7" t="inlineStr">
        <is>
          <t>steric</t>
        </is>
      </c>
      <c r="F143" s="7" t="inlineStr">
        <is>
          <t>sp3 C</t>
        </is>
      </c>
      <c r="G143" s="7" t="inlineStr">
        <is>
          <t>[C;X4;!$(C-[#6]);$(C-[900O])]</t>
        </is>
      </c>
      <c r="H143" s="7" t="inlineStr"/>
      <c r="I143" s="7" t="inlineStr"/>
      <c r="J143" s="7" t="inlineStr"/>
      <c r="K143" s="7" t="inlineStr"/>
      <c r="L143" s="7" t="inlineStr"/>
      <c r="M143" s="7" t="n"/>
      <c r="N143" s="7" t="inlineStr"/>
      <c r="O143" s="7" t="inlineStr">
        <is>
          <t>yes</t>
        </is>
      </c>
      <c r="P143" s="7" t="inlineStr"/>
      <c r="Q143" s="7" t="inlineStr">
        <is>
          <t>the reacting carbon (no carbon substituent) is bonded to an oxygen the reaction put there</t>
        </is>
      </c>
      <c r="R143" s="7" t="inlineStr">
        <is>
          <t>regioselectivity of additions and ring openings: the new group goes to the more substituted carbon in cationic / SN1-like reactions (Markovnikov: hydration, hydrohalogenation, halohydrin, acid-catalysed epoxide opening), to the less substituted carbon in SN2-like, radical and hydroboration reactions (anti-Markovnikov: base-catalysed epoxide opening, hydroboration, radical HBr)</t>
        </is>
      </c>
      <c r="S143" s="7" t="inlineStr">
        <is>
          <t>the two ends of the old double bond (or ring) differ in how well they carry positive charge or how open they are to attack</t>
        </is>
      </c>
      <c r="T143" s="7" t="n"/>
      <c r="U143" s="10" t="n">
        <v>-1.54</v>
      </c>
      <c r="V143" s="7" t="inlineStr">
        <is>
          <t>acyl substitution -2.49 (n=1090; winner had it 1 % vs 50 % at random) · aryl halide -1.80 (n=42; winner had it 0 % vs 47 % at random) · carbonyl addition -1.77 (n=407; winner had it 0 % vs 44 % at random) · o nucleophile -1.76 (n=66; winner had it 5 % vs 48 % at random) · deprotection -1.49 (n=28; winner had it 11 % vs 50 % at random) · alkyl substitution -1.16 (n=26; winner had it 27 % vs 47 % at random)</t>
        </is>
      </c>
      <c r="W143" s="7" t="n">
        <v>1674</v>
      </c>
      <c r="X143" s="7" t="n">
        <v>1142</v>
      </c>
      <c r="Y143" s="9" t="n">
        <v>0.0125</v>
      </c>
      <c r="Z143" s="9" t="n">
        <v>0.4807</v>
      </c>
      <c r="AA143" s="7" t="n"/>
      <c r="AB143" s="7" t="n"/>
      <c r="AC143" s="7" t="n"/>
      <c r="AD143" s="7" t="n"/>
      <c r="AE143" s="7" t="inlineStr">
        <is>
          <t>learned from the training patents (tools/int_train.py)</t>
        </is>
      </c>
      <c r="AF143" s="7" t="inlineStr">
        <is>
          <t>Clayden, Organic Chemistry (alkene additions, epoxide opening)</t>
        </is>
      </c>
    </row>
    <row r="144">
      <c r="A144" s="7" t="inlineStr">
        <is>
          <t>I143</t>
        </is>
      </c>
      <c r="B144" s="7" t="inlineStr">
        <is>
          <t>sp3-methyl-at-N</t>
        </is>
      </c>
      <c r="C144" s="7" t="inlineStr">
        <is>
          <t>methyl carbon that now carries a nitrogen</t>
        </is>
      </c>
      <c r="D144" s="7" t="inlineStr">
        <is>
          <t>sp3 carbon: where the new group went</t>
        </is>
      </c>
      <c r="E144" s="7" t="inlineStr">
        <is>
          <t>steric</t>
        </is>
      </c>
      <c r="F144" s="7" t="inlineStr">
        <is>
          <t>sp3 C</t>
        </is>
      </c>
      <c r="G144" s="7" t="inlineStr">
        <is>
          <t>[C;X4;!$(C-[#6]);$(C-[900N])]</t>
        </is>
      </c>
      <c r="H144" s="7" t="inlineStr"/>
      <c r="I144" s="7" t="inlineStr"/>
      <c r="J144" s="7" t="inlineStr"/>
      <c r="K144" s="7" t="inlineStr"/>
      <c r="L144" s="7" t="inlineStr"/>
      <c r="M144" s="7" t="n"/>
      <c r="N144" s="7" t="inlineStr"/>
      <c r="O144" s="7" t="inlineStr">
        <is>
          <t>yes</t>
        </is>
      </c>
      <c r="P144" s="7" t="inlineStr"/>
      <c r="Q144" s="7" t="inlineStr">
        <is>
          <t>the reacting carbon (no carbon substituent) is bonded to a nitrogen the reaction put there</t>
        </is>
      </c>
      <c r="R144" s="7" t="inlineStr">
        <is>
          <t>regioselectivity of additions and ring openings: the new group goes to the more substituted carbon in cationic / SN1-like reactions (Markovnikov: hydration, hydrohalogenation, halohydrin, acid-catalysed epoxide opening), to the less substituted carbon in SN2-like, radical and hydroboration reactions (anti-Markovnikov: base-catalysed epoxide opening, hydroboration, radical HBr)</t>
        </is>
      </c>
      <c r="S144" s="7" t="inlineStr">
        <is>
          <t>the two ends of the old double bond (or ring) differ in how well they carry positive charge or how open they are to attack</t>
        </is>
      </c>
      <c r="T144" s="7" t="n"/>
      <c r="U144" s="10" t="n">
        <v>-1.52</v>
      </c>
      <c r="V144" s="7" t="inlineStr">
        <is>
          <t>carbonyl addition -2.07 (n=601; winner had it 0 % vs 48 % at random) · n nucleophile -1.85 (n=34; winner had it 6 % vs 48 % at random) · acyl substitution -1.27 (n=39; winner had it 5 % vs 52 % at random)</t>
        </is>
      </c>
      <c r="W144" s="7" t="n">
        <v>718</v>
      </c>
      <c r="X144" s="7" t="n">
        <v>423</v>
      </c>
      <c r="Y144" s="9" t="n">
        <v>0.008399999999999999</v>
      </c>
      <c r="Z144" s="9" t="n">
        <v>0.4814</v>
      </c>
      <c r="AA144" s="7" t="n"/>
      <c r="AB144" s="7" t="n"/>
      <c r="AC144" s="7" t="n"/>
      <c r="AD144" s="7" t="n"/>
      <c r="AE144" s="7" t="inlineStr">
        <is>
          <t>learned from the training patents (tools/int_train.py)</t>
        </is>
      </c>
      <c r="AF144" s="7" t="inlineStr">
        <is>
          <t>Clayden, Organic Chemistry (alkene additions, epoxide opening)</t>
        </is>
      </c>
    </row>
    <row r="145">
      <c r="A145" s="7" t="inlineStr">
        <is>
          <t>I144</t>
        </is>
      </c>
      <c r="B145" s="7" t="inlineStr">
        <is>
          <t>sp3-methyl-at-S</t>
        </is>
      </c>
      <c r="C145" s="7" t="inlineStr">
        <is>
          <t>methyl carbon that now carries a sulfur</t>
        </is>
      </c>
      <c r="D145" s="7" t="inlineStr">
        <is>
          <t>sp3 carbon: where the new group went</t>
        </is>
      </c>
      <c r="E145" s="7" t="inlineStr">
        <is>
          <t>steric</t>
        </is>
      </c>
      <c r="F145" s="7" t="inlineStr">
        <is>
          <t>sp3 C</t>
        </is>
      </c>
      <c r="G145" s="7" t="inlineStr">
        <is>
          <t>[C;X4;!$(C-[#6]);$(C-[900S])]</t>
        </is>
      </c>
      <c r="H145" s="7" t="inlineStr"/>
      <c r="I145" s="7" t="inlineStr"/>
      <c r="J145" s="7" t="inlineStr"/>
      <c r="K145" s="7" t="inlineStr"/>
      <c r="L145" s="7" t="inlineStr"/>
      <c r="M145" s="7" t="n"/>
      <c r="N145" s="7" t="inlineStr"/>
      <c r="O145" s="7" t="inlineStr">
        <is>
          <t>yes</t>
        </is>
      </c>
      <c r="P145" s="7" t="inlineStr"/>
      <c r="Q145" s="7" t="inlineStr">
        <is>
          <t>the reacting carbon (no carbon substituent) is bonded to a sulfur the reaction put there</t>
        </is>
      </c>
      <c r="R145" s="7" t="inlineStr">
        <is>
          <t>regioselectivity of additions and ring openings: the new group goes to the more substituted carbon in cationic / SN1-like reactions (Markovnikov: hydration, hydrohalogenation, halohydrin, acid-catalysed epoxide opening), to the less substituted carbon in SN2-like, radical and hydroboration reactions (anti-Markovnikov: base-catalysed epoxide opening, hydroboration, radical HBr)</t>
        </is>
      </c>
      <c r="S145" s="7" t="inlineStr">
        <is>
          <t>the two ends of the old double bond (or ring) differ in how well they carry positive charge or how open they are to attack</t>
        </is>
      </c>
      <c r="T145" s="7" t="n"/>
      <c r="U145" s="10" t="n">
        <v>0.18</v>
      </c>
      <c r="V145" s="7" t="inlineStr"/>
      <c r="W145" s="7" t="n">
        <v>34</v>
      </c>
      <c r="X145" s="7" t="n">
        <v>22</v>
      </c>
      <c r="Y145" s="9" t="n">
        <v>0.3235</v>
      </c>
      <c r="Z145" s="9" t="n">
        <v>0.4672</v>
      </c>
      <c r="AA145" s="7" t="n"/>
      <c r="AB145" s="7" t="n"/>
      <c r="AC145" s="7" t="n"/>
      <c r="AD145" s="7" t="n"/>
      <c r="AE145" s="7" t="inlineStr">
        <is>
          <t>learned from the training patents (tools/int_train.py)</t>
        </is>
      </c>
      <c r="AF145" s="7" t="inlineStr">
        <is>
          <t>Clayden, Organic Chemistry (alkene additions, epoxide opening)</t>
        </is>
      </c>
    </row>
    <row r="146">
      <c r="A146" s="7" t="inlineStr">
        <is>
          <t>I145</t>
        </is>
      </c>
      <c r="B146" s="7" t="inlineStr">
        <is>
          <t>sp3-methyl-at-X</t>
        </is>
      </c>
      <c r="C146" s="7" t="inlineStr">
        <is>
          <t>methyl carbon that now carries a halogen</t>
        </is>
      </c>
      <c r="D146" s="7" t="inlineStr">
        <is>
          <t>sp3 carbon: where the new group went</t>
        </is>
      </c>
      <c r="E146" s="7" t="inlineStr">
        <is>
          <t>steric</t>
        </is>
      </c>
      <c r="F146" s="7" t="inlineStr">
        <is>
          <t>sp3 C</t>
        </is>
      </c>
      <c r="G146" s="7" t="inlineStr">
        <is>
          <t>[C;X4;!$(C-[#6]);$(C-[900F,900Cl,900Br,900I])]</t>
        </is>
      </c>
      <c r="H146" s="7" t="inlineStr"/>
      <c r="I146" s="7" t="inlineStr"/>
      <c r="J146" s="7" t="inlineStr"/>
      <c r="K146" s="7" t="inlineStr"/>
      <c r="L146" s="7" t="inlineStr"/>
      <c r="M146" s="7" t="n"/>
      <c r="N146" s="7" t="inlineStr"/>
      <c r="O146" s="7" t="inlineStr">
        <is>
          <t>yes</t>
        </is>
      </c>
      <c r="P146" s="7" t="inlineStr"/>
      <c r="Q146" s="7" t="inlineStr">
        <is>
          <t>the reacting carbon (no carbon substituent) is bonded to a halogen the reaction put there</t>
        </is>
      </c>
      <c r="R146" s="7" t="inlineStr">
        <is>
          <t>regioselectivity of additions and ring openings: the new group goes to the more substituted carbon in cationic / SN1-like reactions (Markovnikov: hydration, hydrohalogenation, halohydrin, acid-catalysed epoxide opening), to the less substituted carbon in SN2-like, radical and hydroboration reactions (anti-Markovnikov: base-catalysed epoxide opening, hydroboration, radical HBr)</t>
        </is>
      </c>
      <c r="S146" s="7" t="inlineStr">
        <is>
          <t>the two ends of the old double bond (or ring) differ in how well they carry positive charge or how open they are to attack</t>
        </is>
      </c>
      <c r="T146" s="7" t="n"/>
      <c r="U146" s="10" t="n">
        <v>-1.26</v>
      </c>
      <c r="V146" s="7" t="inlineStr">
        <is>
          <t>other -2.10 (n=45; winner had it 4 % vs 50 % at random) · alkyl substitution -1.66 (n=32; winner had it 9 % vs 50 % at random) · deprotection -1.35 (n=39; winner had it 5 % vs 55 % at random) · carbonyl addition -1.32 (n=118; winner had it 0 % vs 47 % at random) · acyl substitution -1.29 (n=589; winner had it 1 % vs 49 % at random) · o nucleophile -1.07 (n=27; winner had it 19 % vs 52 % at random)</t>
        </is>
      </c>
      <c r="W146" s="7" t="n">
        <v>858</v>
      </c>
      <c r="X146" s="7" t="n">
        <v>655</v>
      </c>
      <c r="Y146" s="9" t="n">
        <v>0.0198</v>
      </c>
      <c r="Z146" s="9" t="n">
        <v>0.4886</v>
      </c>
      <c r="AA146" s="7" t="n"/>
      <c r="AB146" s="7" t="n"/>
      <c r="AC146" s="7" t="n"/>
      <c r="AD146" s="7" t="n"/>
      <c r="AE146" s="7" t="inlineStr">
        <is>
          <t>learned from the training patents (tools/int_train.py)</t>
        </is>
      </c>
      <c r="AF146" s="7" t="inlineStr">
        <is>
          <t>Clayden, Organic Chemistry (alkene additions, epoxide opening)</t>
        </is>
      </c>
    </row>
    <row r="147">
      <c r="A147" s="7" t="inlineStr">
        <is>
          <t>I146</t>
        </is>
      </c>
      <c r="B147" s="7" t="inlineStr">
        <is>
          <t>sp3-methyl-at-M</t>
        </is>
      </c>
      <c r="C147" s="7" t="inlineStr">
        <is>
          <t>methyl carbon that now carries a boron, silicon or phosphorus</t>
        </is>
      </c>
      <c r="D147" s="7" t="inlineStr">
        <is>
          <t>sp3 carbon: where the new group went</t>
        </is>
      </c>
      <c r="E147" s="7" t="inlineStr">
        <is>
          <t>steric</t>
        </is>
      </c>
      <c r="F147" s="7" t="inlineStr">
        <is>
          <t>sp3 C</t>
        </is>
      </c>
      <c r="G147" s="7" t="inlineStr">
        <is>
          <t>[C;X4;!$(C-[#6]);$(C-[900B,900Si,900P])]</t>
        </is>
      </c>
      <c r="H147" s="7" t="inlineStr"/>
      <c r="I147" s="7" t="inlineStr"/>
      <c r="J147" s="7" t="inlineStr"/>
      <c r="K147" s="7" t="inlineStr"/>
      <c r="L147" s="7" t="inlineStr"/>
      <c r="M147" s="7" t="n"/>
      <c r="N147" s="7" t="inlineStr"/>
      <c r="O147" s="7" t="inlineStr">
        <is>
          <t>yes</t>
        </is>
      </c>
      <c r="P147" s="7" t="inlineStr"/>
      <c r="Q147" s="7" t="inlineStr">
        <is>
          <t>the reacting carbon (no carbon substituent) is bonded to a boron, silicon or phosphorus the reaction put there</t>
        </is>
      </c>
      <c r="R147" s="7" t="inlineStr">
        <is>
          <t>regioselectivity of additions and ring openings: the new group goes to the more substituted carbon in cationic / SN1-like reactions (Markovnikov: hydration, hydrohalogenation, halohydrin, acid-catalysed epoxide opening), to the less substituted carbon in SN2-like, radical and hydroboration reactions (anti-Markovnikov: base-catalysed epoxide opening, hydroboration, radical HBr)</t>
        </is>
      </c>
      <c r="S147" s="7" t="inlineStr">
        <is>
          <t>the two ends of the old double bond (or ring) differ in how well they carry positive charge or how open they are to attack</t>
        </is>
      </c>
      <c r="T147" s="7" t="n"/>
      <c r="U147" s="10" t="n">
        <v>0.38</v>
      </c>
      <c r="V147" s="7" t="inlineStr"/>
      <c r="W147" s="7" t="n">
        <v>16</v>
      </c>
      <c r="X147" s="7" t="n">
        <v>16</v>
      </c>
      <c r="Y147" s="9" t="n">
        <v>0.625</v>
      </c>
      <c r="Z147" s="9" t="n">
        <v>0.4531</v>
      </c>
      <c r="AA147" s="7" t="n"/>
      <c r="AB147" s="7" t="n"/>
      <c r="AC147" s="7" t="n"/>
      <c r="AD147" s="7" t="n"/>
      <c r="AE147" s="7" t="inlineStr">
        <is>
          <t>too few contests in the recorded reactions to learn a weight (the weight is shrunk to about zero): the textbook effect is advisory</t>
        </is>
      </c>
      <c r="AF147" s="7" t="inlineStr">
        <is>
          <t>Clayden, Organic Chemistry (alkene additions, epoxide opening)</t>
        </is>
      </c>
    </row>
    <row r="148">
      <c r="A148" s="7" t="inlineStr">
        <is>
          <t>I147</t>
        </is>
      </c>
      <c r="B148" s="7" t="inlineStr">
        <is>
          <t>sp3-methyl-at-C</t>
        </is>
      </c>
      <c r="C148" s="7" t="inlineStr">
        <is>
          <t>methyl carbon that now carries a carbon</t>
        </is>
      </c>
      <c r="D148" s="7" t="inlineStr">
        <is>
          <t>sp3 carbon: where the new group went</t>
        </is>
      </c>
      <c r="E148" s="7" t="inlineStr">
        <is>
          <t>steric</t>
        </is>
      </c>
      <c r="F148" s="7" t="inlineStr">
        <is>
          <t>sp3 C</t>
        </is>
      </c>
      <c r="G148" s="7" t="inlineStr">
        <is>
          <t>[C;X4;!$(C-[#6;!900*]);$(C-[900C,900c])]</t>
        </is>
      </c>
      <c r="H148" s="7" t="inlineStr"/>
      <c r="I148" s="7" t="inlineStr"/>
      <c r="J148" s="7" t="inlineStr"/>
      <c r="K148" s="7" t="inlineStr"/>
      <c r="L148" s="7" t="inlineStr"/>
      <c r="M148" s="7" t="n"/>
      <c r="N148" s="7" t="inlineStr"/>
      <c r="O148" s="7" t="inlineStr">
        <is>
          <t>yes</t>
        </is>
      </c>
      <c r="P148" s="7" t="inlineStr"/>
      <c r="Q148" s="7" t="inlineStr">
        <is>
          <t>the reacting carbon (no carbon substituent besides the new bond) is bonded to a carbon the reaction put there</t>
        </is>
      </c>
      <c r="R148" s="7" t="inlineStr">
        <is>
          <t>regioselectivity of additions and ring openings: the new group goes to the more substituted carbon in cationic / SN1-like reactions (Markovnikov: hydration, hydrohalogenation, halohydrin, acid-catalysed epoxide opening), to the less substituted carbon in SN2-like, radical and hydroboration reactions (anti-Markovnikov: base-catalysed epoxide opening, hydroboration, radical HBr)</t>
        </is>
      </c>
      <c r="S148" s="7" t="inlineStr">
        <is>
          <t>the two ends of the old double bond (or ring) differ in how well they carry positive charge or how open they are to attack</t>
        </is>
      </c>
      <c r="T148" s="7" t="n"/>
      <c r="U148" s="10" t="n">
        <v>0.22</v>
      </c>
      <c r="V148" s="7" t="inlineStr">
        <is>
          <t>acyl substitution +1.30 (n=742; winner had it 33 % vs 47 % at random) · deprotection -0.67 (n=145; winner had it 28 % vs 44 % at random) · other -0.62 (n=31; winner had it 29 % vs 40 % at random)</t>
        </is>
      </c>
      <c r="W148" s="7" t="n">
        <v>2385</v>
      </c>
      <c r="X148" s="7" t="n">
        <v>1435</v>
      </c>
      <c r="Y148" s="9" t="n">
        <v>0.2231</v>
      </c>
      <c r="Z148" s="9" t="n">
        <v>0.4197</v>
      </c>
      <c r="AA148" s="7" t="n"/>
      <c r="AB148" s="7" t="n"/>
      <c r="AC148" s="7" t="n"/>
      <c r="AD148" s="7" t="n"/>
      <c r="AE148" s="7" t="inlineStr">
        <is>
          <t>learned from the training patents (tools/int_train.py)</t>
        </is>
      </c>
      <c r="AF148" s="7" t="inlineStr">
        <is>
          <t>Clayden, Organic Chemistry (alkene additions, epoxide opening)</t>
        </is>
      </c>
    </row>
    <row r="149">
      <c r="A149" s="7" t="inlineStr">
        <is>
          <t>I148</t>
        </is>
      </c>
      <c r="B149" s="7" t="inlineStr">
        <is>
          <t>sp3-primary-at-O</t>
        </is>
      </c>
      <c r="C149" s="7" t="inlineStr">
        <is>
          <t>primary carbon that now carries an oxygen</t>
        </is>
      </c>
      <c r="D149" s="7" t="inlineStr">
        <is>
          <t>sp3 carbon: where the new group went</t>
        </is>
      </c>
      <c r="E149" s="7" t="inlineStr">
        <is>
          <t>steric</t>
        </is>
      </c>
      <c r="F149" s="7" t="inlineStr">
        <is>
          <t>sp3 C</t>
        </is>
      </c>
      <c r="G149" s="7" t="inlineStr">
        <is>
          <t>[C;X4;$(C-[#6]);!$(C(-[#6])-[#6]);$(C-[900O])]</t>
        </is>
      </c>
      <c r="H149" s="7" t="inlineStr"/>
      <c r="I149" s="7" t="inlineStr"/>
      <c r="J149" s="7" t="inlineStr"/>
      <c r="K149" s="7" t="inlineStr"/>
      <c r="L149" s="7" t="inlineStr"/>
      <c r="M149" s="7" t="n"/>
      <c r="N149" s="7" t="inlineStr"/>
      <c r="O149" s="7" t="inlineStr">
        <is>
          <t>yes</t>
        </is>
      </c>
      <c r="P149" s="7" t="inlineStr"/>
      <c r="Q149" s="7" t="inlineStr">
        <is>
          <t>the reacting carbon (one carbon substituent) is bonded to an oxygen the reaction put there</t>
        </is>
      </c>
      <c r="R149" s="7" t="inlineStr">
        <is>
          <t>regioselectivity of additions and ring openings: the new group goes to the more substituted carbon in cationic / SN1-like reactions (Markovnikov: hydration, hydrohalogenation, halohydrin, acid-catalysed epoxide opening), to the less substituted carbon in SN2-like, radical and hydroboration reactions (anti-Markovnikov: base-catalysed epoxide opening, hydroboration, radical HBr)</t>
        </is>
      </c>
      <c r="S149" s="7" t="inlineStr">
        <is>
          <t>the two ends of the old double bond (or ring) differ in how well they carry positive charge or how open they are to attack</t>
        </is>
      </c>
      <c r="T149" s="7" t="n"/>
      <c r="U149" s="10" t="n">
        <v>0.16</v>
      </c>
      <c r="V149" s="7" t="inlineStr">
        <is>
          <t>unsaturated +1.32 (n=124; winner had it 86 % vs 49 % at random) · o nucleophile +0.93 (n=104; winner had it 84 % vs 49 % at random) · aryl halide -0.48 (n=309; winner had it 7 % vs 52 % at random) · alkyl substitution -0.30 (n=91; winner had it 13 % vs 50 % at random)</t>
        </is>
      </c>
      <c r="W149" s="7" t="n">
        <v>3685</v>
      </c>
      <c r="X149" s="7" t="n">
        <v>2396</v>
      </c>
      <c r="Y149" s="9" t="n">
        <v>0.3742</v>
      </c>
      <c r="Z149" s="9" t="n">
        <v>0.4982</v>
      </c>
      <c r="AA149" s="7" t="n"/>
      <c r="AB149" s="7" t="n"/>
      <c r="AC149" s="7" t="n"/>
      <c r="AD149" s="7" t="n"/>
      <c r="AE149" s="7" t="inlineStr">
        <is>
          <t>learned from the training patents (tools/int_train.py)</t>
        </is>
      </c>
      <c r="AF149" s="7" t="inlineStr">
        <is>
          <t>Clayden, Organic Chemistry (alkene additions, epoxide opening)</t>
        </is>
      </c>
    </row>
    <row r="150">
      <c r="A150" s="7" t="inlineStr">
        <is>
          <t>I149</t>
        </is>
      </c>
      <c r="B150" s="7" t="inlineStr">
        <is>
          <t>sp3-primary-at-N</t>
        </is>
      </c>
      <c r="C150" s="7" t="inlineStr">
        <is>
          <t>primary carbon that now carries a nitrogen</t>
        </is>
      </c>
      <c r="D150" s="7" t="inlineStr">
        <is>
          <t>sp3 carbon: where the new group went</t>
        </is>
      </c>
      <c r="E150" s="7" t="inlineStr">
        <is>
          <t>steric</t>
        </is>
      </c>
      <c r="F150" s="7" t="inlineStr">
        <is>
          <t>sp3 C</t>
        </is>
      </c>
      <c r="G150" s="7" t="inlineStr">
        <is>
          <t>[C;X4;$(C-[#6]);!$(C(-[#6])-[#6]);$(C-[900N])]</t>
        </is>
      </c>
      <c r="H150" s="7" t="inlineStr"/>
      <c r="I150" s="7" t="inlineStr"/>
      <c r="J150" s="7" t="inlineStr"/>
      <c r="K150" s="7" t="inlineStr"/>
      <c r="L150" s="7" t="inlineStr"/>
      <c r="M150" s="7" t="n"/>
      <c r="N150" s="7" t="inlineStr"/>
      <c r="O150" s="7" t="inlineStr">
        <is>
          <t>yes</t>
        </is>
      </c>
      <c r="P150" s="7" t="inlineStr"/>
      <c r="Q150" s="7" t="inlineStr">
        <is>
          <t>the reacting carbon (one carbon substituent) is bonded to a nitrogen the reaction put there</t>
        </is>
      </c>
      <c r="R150" s="7" t="inlineStr">
        <is>
          <t>regioselectivity of additions and ring openings: the new group goes to the more substituted carbon in cationic / SN1-like reactions (Markovnikov: hydration, hydrohalogenation, halohydrin, acid-catalysed epoxide opening), to the less substituted carbon in SN2-like, radical and hydroboration reactions (anti-Markovnikov: base-catalysed epoxide opening, hydroboration, radical HBr)</t>
        </is>
      </c>
      <c r="S150" s="7" t="inlineStr">
        <is>
          <t>the two ends of the old double bond (or ring) differ in how well they carry positive charge or how open they are to attack</t>
        </is>
      </c>
      <c r="T150" s="7" t="n"/>
      <c r="U150" s="10" t="n">
        <v>-0.15</v>
      </c>
      <c r="V150" s="7" t="inlineStr">
        <is>
          <t>carbonyl addition -0.51 (n=860; winner had it 1 % vs 49 % at random) · n nucleophile +0.45 (n=55; winner had it 69 % vs 46 % at random)</t>
        </is>
      </c>
      <c r="W150" s="7" t="n">
        <v>1083</v>
      </c>
      <c r="X150" s="7" t="n">
        <v>589</v>
      </c>
      <c r="Y150" s="9" t="n">
        <v>0.1034</v>
      </c>
      <c r="Z150" s="9" t="n">
        <v>0.4851</v>
      </c>
      <c r="AA150" s="7" t="n"/>
      <c r="AB150" s="7" t="n"/>
      <c r="AC150" s="7" t="n"/>
      <c r="AD150" s="7" t="n"/>
      <c r="AE150" s="7" t="inlineStr">
        <is>
          <t>learned from the training patents (tools/int_train.py)</t>
        </is>
      </c>
      <c r="AF150" s="7" t="inlineStr">
        <is>
          <t>Clayden, Organic Chemistry (alkene additions, epoxide opening)</t>
        </is>
      </c>
    </row>
    <row r="151">
      <c r="A151" s="7" t="inlineStr">
        <is>
          <t>I150</t>
        </is>
      </c>
      <c r="B151" s="7" t="inlineStr">
        <is>
          <t>sp3-primary-at-S</t>
        </is>
      </c>
      <c r="C151" s="7" t="inlineStr">
        <is>
          <t>primary carbon that now carries a sulfur</t>
        </is>
      </c>
      <c r="D151" s="7" t="inlineStr">
        <is>
          <t>sp3 carbon: where the new group went</t>
        </is>
      </c>
      <c r="E151" s="7" t="inlineStr">
        <is>
          <t>steric</t>
        </is>
      </c>
      <c r="F151" s="7" t="inlineStr">
        <is>
          <t>sp3 C</t>
        </is>
      </c>
      <c r="G151" s="7" t="inlineStr">
        <is>
          <t>[C;X4;$(C-[#6]);!$(C(-[#6])-[#6]);$(C-[900S])]</t>
        </is>
      </c>
      <c r="H151" s="7" t="inlineStr"/>
      <c r="I151" s="7" t="inlineStr"/>
      <c r="J151" s="7" t="inlineStr"/>
      <c r="K151" s="7" t="inlineStr"/>
      <c r="L151" s="7" t="inlineStr"/>
      <c r="M151" s="7" t="n"/>
      <c r="N151" s="7" t="inlineStr"/>
      <c r="O151" s="7" t="inlineStr">
        <is>
          <t>yes</t>
        </is>
      </c>
      <c r="P151" s="7" t="inlineStr"/>
      <c r="Q151" s="7" t="inlineStr">
        <is>
          <t>the reacting carbon (one carbon substituent) is bonded to a sulfur the reaction put there</t>
        </is>
      </c>
      <c r="R151" s="7" t="inlineStr">
        <is>
          <t>regioselectivity of additions and ring openings: the new group goes to the more substituted carbon in cationic / SN1-like reactions (Markovnikov: hydration, hydrohalogenation, halohydrin, acid-catalysed epoxide opening), to the less substituted carbon in SN2-like, radical and hydroboration reactions (anti-Markovnikov: base-catalysed epoxide opening, hydroboration, radical HBr)</t>
        </is>
      </c>
      <c r="S151" s="7" t="inlineStr">
        <is>
          <t>the two ends of the old double bond (or ring) differ in how well they carry positive charge or how open they are to attack</t>
        </is>
      </c>
      <c r="T151" s="7" t="n"/>
      <c r="U151" s="10" t="n">
        <v>-0.1</v>
      </c>
      <c r="V151" s="7" t="inlineStr">
        <is>
          <t>deprotection +0.25 (n=25; winner had it 92 % vs 50 % at random)</t>
        </is>
      </c>
      <c r="W151" s="7" t="n">
        <v>134</v>
      </c>
      <c r="X151" s="7" t="n">
        <v>81</v>
      </c>
      <c r="Y151" s="9" t="n">
        <v>0.3507</v>
      </c>
      <c r="Z151" s="9" t="n">
        <v>0.4999</v>
      </c>
      <c r="AA151" s="7" t="n"/>
      <c r="AB151" s="7" t="n"/>
      <c r="AC151" s="7" t="n"/>
      <c r="AD151" s="7" t="n"/>
      <c r="AE151" s="7" t="inlineStr">
        <is>
          <t>learned from the training patents (tools/int_train.py)</t>
        </is>
      </c>
      <c r="AF151" s="7" t="inlineStr">
        <is>
          <t>Clayden, Organic Chemistry (alkene additions, epoxide opening)</t>
        </is>
      </c>
    </row>
    <row r="152">
      <c r="A152" s="7" t="inlineStr">
        <is>
          <t>I151</t>
        </is>
      </c>
      <c r="B152" s="7" t="inlineStr">
        <is>
          <t>sp3-primary-at-X</t>
        </is>
      </c>
      <c r="C152" s="7" t="inlineStr">
        <is>
          <t>primary carbon that now carries a halogen</t>
        </is>
      </c>
      <c r="D152" s="7" t="inlineStr">
        <is>
          <t>sp3 carbon: where the new group went</t>
        </is>
      </c>
      <c r="E152" s="7" t="inlineStr">
        <is>
          <t>steric</t>
        </is>
      </c>
      <c r="F152" s="7" t="inlineStr">
        <is>
          <t>sp3 C</t>
        </is>
      </c>
      <c r="G152" s="7" t="inlineStr">
        <is>
          <t>[C;X4;$(C-[#6]);!$(C(-[#6])-[#6]);$(C-[900F,900Cl,900Br,900I])]</t>
        </is>
      </c>
      <c r="H152" s="7" t="inlineStr"/>
      <c r="I152" s="7" t="inlineStr"/>
      <c r="J152" s="7" t="inlineStr"/>
      <c r="K152" s="7" t="inlineStr"/>
      <c r="L152" s="7" t="inlineStr"/>
      <c r="M152" s="7" t="n"/>
      <c r="N152" s="7" t="inlineStr"/>
      <c r="O152" s="7" t="inlineStr">
        <is>
          <t>yes</t>
        </is>
      </c>
      <c r="P152" s="7" t="inlineStr"/>
      <c r="Q152" s="7" t="inlineStr">
        <is>
          <t>the reacting carbon (one carbon substituent) is bonded to a halogen the reaction put there</t>
        </is>
      </c>
      <c r="R152" s="7" t="inlineStr">
        <is>
          <t>regioselectivity of additions and ring openings: the new group goes to the more substituted carbon in cationic / SN1-like reactions (Markovnikov: hydration, hydrohalogenation, halohydrin, acid-catalysed epoxide opening), to the less substituted carbon in SN2-like, radical and hydroboration reactions (anti-Markovnikov: base-catalysed epoxide opening, hydroboration, radical HBr)</t>
        </is>
      </c>
      <c r="S152" s="7" t="inlineStr">
        <is>
          <t>the two ends of the old double bond (or ring) differ in how well they carry positive charge or how open they are to attack</t>
        </is>
      </c>
      <c r="T152" s="7" t="n"/>
      <c r="U152" s="10" t="n">
        <v>0.47</v>
      </c>
      <c r="V152" s="7" t="inlineStr">
        <is>
          <t>carbonyl addition +1.60 (n=301; winner had it 42 % vs 47 % at random) · alkyl substitution +0.88 (n=53; winner had it 62 % vs 48 % at random) · o nucleophile -0.30 (n=41; winner had it 49 % vs 43 % at random) · acyl substitution -0.27 (n=701; winner had it 84 % vs 50 % at random) · deprotection +0.16 (n=71; winner had it 70 % vs 41 % at random)</t>
        </is>
      </c>
      <c r="W152" s="7" t="n">
        <v>1281</v>
      </c>
      <c r="X152" s="7" t="n">
        <v>978</v>
      </c>
      <c r="Y152" s="9" t="n">
        <v>0.6924</v>
      </c>
      <c r="Z152" s="9" t="n">
        <v>0.4809</v>
      </c>
      <c r="AA152" s="7" t="n"/>
      <c r="AB152" s="7" t="n"/>
      <c r="AC152" s="7" t="n"/>
      <c r="AD152" s="7" t="n"/>
      <c r="AE152" s="7" t="inlineStr">
        <is>
          <t>learned from the training patents (tools/int_train.py)</t>
        </is>
      </c>
      <c r="AF152" s="7" t="inlineStr">
        <is>
          <t>Clayden, Organic Chemistry (alkene additions, epoxide opening)</t>
        </is>
      </c>
    </row>
    <row r="153">
      <c r="A153" s="7" t="inlineStr">
        <is>
          <t>I152</t>
        </is>
      </c>
      <c r="B153" s="7" t="inlineStr">
        <is>
          <t>sp3-primary-at-M</t>
        </is>
      </c>
      <c r="C153" s="7" t="inlineStr">
        <is>
          <t>primary carbon that now carries a boron, silicon or phosphorus</t>
        </is>
      </c>
      <c r="D153" s="7" t="inlineStr">
        <is>
          <t>sp3 carbon: where the new group went</t>
        </is>
      </c>
      <c r="E153" s="7" t="inlineStr">
        <is>
          <t>steric</t>
        </is>
      </c>
      <c r="F153" s="7" t="inlineStr">
        <is>
          <t>sp3 C</t>
        </is>
      </c>
      <c r="G153" s="7" t="inlineStr">
        <is>
          <t>[C;X4;$(C-[#6]);!$(C(-[#6])-[#6]);$(C-[900B,900Si,900P])]</t>
        </is>
      </c>
      <c r="H153" s="7" t="inlineStr"/>
      <c r="I153" s="7" t="inlineStr"/>
      <c r="J153" s="7" t="inlineStr"/>
      <c r="K153" s="7" t="inlineStr"/>
      <c r="L153" s="7" t="inlineStr"/>
      <c r="M153" s="7" t="n"/>
      <c r="N153" s="7" t="inlineStr"/>
      <c r="O153" s="7" t="inlineStr">
        <is>
          <t>yes</t>
        </is>
      </c>
      <c r="P153" s="7" t="inlineStr"/>
      <c r="Q153" s="7" t="inlineStr">
        <is>
          <t>the reacting carbon (one carbon substituent) is bonded to a boron, silicon or phosphorus the reaction put there</t>
        </is>
      </c>
      <c r="R153" s="7" t="inlineStr">
        <is>
          <t>regioselectivity of additions and ring openings: the new group goes to the more substituted carbon in cationic / SN1-like reactions (Markovnikov: hydration, hydrohalogenation, halohydrin, acid-catalysed epoxide opening), to the less substituted carbon in SN2-like, radical and hydroboration reactions (anti-Markovnikov: base-catalysed epoxide opening, hydroboration, radical HBr)</t>
        </is>
      </c>
      <c r="S153" s="7" t="inlineStr">
        <is>
          <t>the two ends of the old double bond (or ring) differ in how well they carry positive charge or how open they are to attack</t>
        </is>
      </c>
      <c r="T153" s="7" t="n"/>
      <c r="U153" s="10" t="n">
        <v>0.1</v>
      </c>
      <c r="V153" s="7" t="inlineStr"/>
      <c r="W153" s="7" t="n">
        <v>81</v>
      </c>
      <c r="X153" s="7" t="n">
        <v>57</v>
      </c>
      <c r="Y153" s="9" t="n">
        <v>0.2346</v>
      </c>
      <c r="Z153" s="9" t="n">
        <v>0.3608</v>
      </c>
      <c r="AA153" s="7" t="n"/>
      <c r="AB153" s="7" t="n"/>
      <c r="AC153" s="7" t="n"/>
      <c r="AD153" s="7" t="n"/>
      <c r="AE153" s="7" t="inlineStr">
        <is>
          <t>learned from the training patents (tools/int_train.py)</t>
        </is>
      </c>
      <c r="AF153" s="7" t="inlineStr">
        <is>
          <t>Clayden, Organic Chemistry (alkene additions, epoxide opening)</t>
        </is>
      </c>
    </row>
    <row r="154">
      <c r="A154" s="7" t="inlineStr">
        <is>
          <t>I153</t>
        </is>
      </c>
      <c r="B154" s="7" t="inlineStr">
        <is>
          <t>sp3-primary-at-C</t>
        </is>
      </c>
      <c r="C154" s="7" t="inlineStr">
        <is>
          <t>primary carbon that now carries a carbon</t>
        </is>
      </c>
      <c r="D154" s="7" t="inlineStr">
        <is>
          <t>sp3 carbon: where the new group went</t>
        </is>
      </c>
      <c r="E154" s="7" t="inlineStr">
        <is>
          <t>steric</t>
        </is>
      </c>
      <c r="F154" s="7" t="inlineStr">
        <is>
          <t>sp3 C</t>
        </is>
      </c>
      <c r="G154" s="7" t="inlineStr">
        <is>
          <t>[C;X4;$(C-[#6;!900*]);!$(C(-[#6;!900*])-[#6;!900*]);$(C-[900C,900c])]</t>
        </is>
      </c>
      <c r="H154" s="7" t="inlineStr"/>
      <c r="I154" s="7" t="inlineStr"/>
      <c r="J154" s="7" t="inlineStr"/>
      <c r="K154" s="7" t="inlineStr"/>
      <c r="L154" s="7" t="inlineStr"/>
      <c r="M154" s="7" t="n"/>
      <c r="N154" s="7" t="inlineStr"/>
      <c r="O154" s="7" t="inlineStr">
        <is>
          <t>yes</t>
        </is>
      </c>
      <c r="P154" s="7" t="inlineStr"/>
      <c r="Q154" s="7" t="inlineStr">
        <is>
          <t>the reacting carbon (one carbon substituent besides the new bond) is bonded to a carbon the reaction put there</t>
        </is>
      </c>
      <c r="R154" s="7" t="inlineStr">
        <is>
          <t>regioselectivity of additions and ring openings: the new group goes to the more substituted carbon in cationic / SN1-like reactions (Markovnikov: hydration, hydrohalogenation, halohydrin, acid-catalysed epoxide opening), to the less substituted carbon in SN2-like, radical and hydroboration reactions (anti-Markovnikov: base-catalysed epoxide opening, hydroboration, radical HBr)</t>
        </is>
      </c>
      <c r="S154" s="7" t="inlineStr">
        <is>
          <t>the two ends of the old double bond (or ring) differ in how well they carry positive charge or how open they are to attack</t>
        </is>
      </c>
      <c r="T154" s="7" t="n"/>
      <c r="U154" s="10" t="n">
        <v>-0.54</v>
      </c>
      <c r="V154" s="7" t="inlineStr">
        <is>
          <t>acyl substitution -1.74 (n=1409; winner had it 42 % vs 47 % at random) · o nucleophile -1.21 (n=84; winner had it 32 % vs 54 % at random) · carbonyl addition +1.06 (n=1378; winner had it 18 % vs 52 % at random) · n nucleophile -0.97 (n=156; winner had it 31 % vs 41 % at random) · arene ch -0.97 (n=53; winner had it 49 % vs 51 % at random) · aryl halide -0.87 (n=678; winner had it 17 % vs 51 % at random)</t>
        </is>
      </c>
      <c r="W154" s="7" t="n">
        <v>5056</v>
      </c>
      <c r="X154" s="7" t="n">
        <v>2944</v>
      </c>
      <c r="Y154" s="9" t="n">
        <v>0.2953</v>
      </c>
      <c r="Z154" s="9" t="n">
        <v>0.4942</v>
      </c>
      <c r="AA154" s="7" t="n"/>
      <c r="AB154" s="7" t="n"/>
      <c r="AC154" s="7" t="n"/>
      <c r="AD154" s="7" t="n"/>
      <c r="AE154" s="7" t="inlineStr">
        <is>
          <t>learned from the training patents (tools/int_train.py)</t>
        </is>
      </c>
      <c r="AF154" s="7" t="inlineStr">
        <is>
          <t>Clayden, Organic Chemistry (alkene additions, epoxide opening)</t>
        </is>
      </c>
    </row>
    <row r="155">
      <c r="A155" s="7" t="inlineStr">
        <is>
          <t>I154</t>
        </is>
      </c>
      <c r="B155" s="7" t="inlineStr">
        <is>
          <t>sp3-secondary-at-O</t>
        </is>
      </c>
      <c r="C155" s="7" t="inlineStr">
        <is>
          <t>secondary carbon that now carries an oxygen</t>
        </is>
      </c>
      <c r="D155" s="7" t="inlineStr">
        <is>
          <t>sp3 carbon: where the new group went</t>
        </is>
      </c>
      <c r="E155" s="7" t="inlineStr">
        <is>
          <t>steric</t>
        </is>
      </c>
      <c r="F155" s="7" t="inlineStr">
        <is>
          <t>sp3 C</t>
        </is>
      </c>
      <c r="G155" s="7" t="inlineStr">
        <is>
          <t>[C;X4;$(C(-[#6])-[#6]);!$(C(-[#6])(-[#6])-[#6]);$(C-[900O])]</t>
        </is>
      </c>
      <c r="H155" s="7" t="inlineStr"/>
      <c r="I155" s="7" t="inlineStr"/>
      <c r="J155" s="7" t="inlineStr"/>
      <c r="K155" s="7" t="inlineStr"/>
      <c r="L155" s="7" t="inlineStr"/>
      <c r="M155" s="7" t="n"/>
      <c r="N155" s="7" t="inlineStr"/>
      <c r="O155" s="7" t="inlineStr">
        <is>
          <t>yes</t>
        </is>
      </c>
      <c r="P155" s="7" t="inlineStr"/>
      <c r="Q155" s="7" t="inlineStr">
        <is>
          <t>the reacting carbon (two carbon substituents) is bonded to an oxygen the reaction put there</t>
        </is>
      </c>
      <c r="R155" s="7" t="inlineStr">
        <is>
          <t>regioselectivity of additions and ring openings: the new group goes to the more substituted carbon in cationic / SN1-like reactions (Markovnikov: hydration, hydrohalogenation, halohydrin, acid-catalysed epoxide opening), to the less substituted carbon in SN2-like, radical and hydroboration reactions (anti-Markovnikov: base-catalysed epoxide opening, hydroboration, radical HBr)</t>
        </is>
      </c>
      <c r="S155" s="7" t="inlineStr">
        <is>
          <t>the two ends of the old double bond (or ring) differ in how well they carry positive charge or how open they are to attack</t>
        </is>
      </c>
      <c r="T155" s="7" t="n"/>
      <c r="U155" s="10" t="n">
        <v>0.57</v>
      </c>
      <c r="V155" s="7" t="inlineStr">
        <is>
          <t>deprotection +1.34 (n=155; winner had it 32 % vs 51 % at random) · carbonyl addition +1.01 (n=2398; winner had it 74 % vs 47 % at random) · aryl halide +0.87 (n=369; winner had it 45 % vs 48 % at random) · unsaturated -0.64 (n=125; winner had it 13 % vs 51 % at random) · o nucleophile +0.58 (n=42; winner had it 38 % vs 57 % at random) · acyl substitution +0.52 (n=227; winner had it 48 % vs 49 % at random)</t>
        </is>
      </c>
      <c r="W155" s="7" t="n">
        <v>3473</v>
      </c>
      <c r="X155" s="7" t="n">
        <v>2038</v>
      </c>
      <c r="Y155" s="9" t="n">
        <v>0.6435</v>
      </c>
      <c r="Z155" s="9" t="n">
        <v>0.4792</v>
      </c>
      <c r="AA155" s="7" t="n"/>
      <c r="AB155" s="7" t="n"/>
      <c r="AC155" s="7" t="n"/>
      <c r="AD155" s="7" t="n"/>
      <c r="AE155" s="7" t="inlineStr">
        <is>
          <t>learned from the training patents (tools/int_train.py)</t>
        </is>
      </c>
      <c r="AF155" s="7" t="inlineStr">
        <is>
          <t>Clayden, Organic Chemistry (alkene additions, epoxide opening)</t>
        </is>
      </c>
    </row>
    <row r="156">
      <c r="A156" s="7" t="inlineStr">
        <is>
          <t>I155</t>
        </is>
      </c>
      <c r="B156" s="7" t="inlineStr">
        <is>
          <t>sp3-secondary-at-N</t>
        </is>
      </c>
      <c r="C156" s="7" t="inlineStr">
        <is>
          <t>secondary carbon that now carries a nitrogen</t>
        </is>
      </c>
      <c r="D156" s="7" t="inlineStr">
        <is>
          <t>sp3 carbon: where the new group went</t>
        </is>
      </c>
      <c r="E156" s="7" t="inlineStr">
        <is>
          <t>steric</t>
        </is>
      </c>
      <c r="F156" s="7" t="inlineStr">
        <is>
          <t>sp3 C</t>
        </is>
      </c>
      <c r="G156" s="7" t="inlineStr">
        <is>
          <t>[C;X4;$(C(-[#6])-[#6]);!$(C(-[#6])(-[#6])-[#6]);$(C-[900N])]</t>
        </is>
      </c>
      <c r="H156" s="7" t="inlineStr"/>
      <c r="I156" s="7" t="inlineStr"/>
      <c r="J156" s="7" t="inlineStr"/>
      <c r="K156" s="7" t="inlineStr"/>
      <c r="L156" s="7" t="inlineStr"/>
      <c r="M156" s="7" t="n"/>
      <c r="N156" s="7" t="inlineStr"/>
      <c r="O156" s="7" t="inlineStr">
        <is>
          <t>yes</t>
        </is>
      </c>
      <c r="P156" s="7" t="inlineStr"/>
      <c r="Q156" s="7" t="inlineStr">
        <is>
          <t>the reacting carbon (two carbon substituents) is bonded to a nitrogen the reaction put there</t>
        </is>
      </c>
      <c r="R156" s="7" t="inlineStr">
        <is>
          <t>regioselectivity of additions and ring openings: the new group goes to the more substituted carbon in cationic / SN1-like reactions (Markovnikov: hydration, hydrohalogenation, halohydrin, acid-catalysed epoxide opening), to the less substituted carbon in SN2-like, radical and hydroboration reactions (anti-Markovnikov: base-catalysed epoxide opening, hydroboration, radical HBr)</t>
        </is>
      </c>
      <c r="S156" s="7" t="inlineStr">
        <is>
          <t>the two ends of the old double bond (or ring) differ in how well they carry positive charge or how open they are to attack</t>
        </is>
      </c>
      <c r="T156" s="7" t="n"/>
      <c r="U156" s="10" t="n">
        <v>0.71</v>
      </c>
      <c r="V156" s="7" t="inlineStr">
        <is>
          <t>acyl substitution +1.18 (n=56; winner had it 86 % vs 53 % at random) · deprotection +1.13 (n=27; winner had it 70 % vs 50 % at random) · aryl halide +0.94 (n=25; winner had it 92 % vs 50 % at random) · carbonyl addition +0.81 (n=1377; winner had it 98 % vs 48 % at random)</t>
        </is>
      </c>
      <c r="W156" s="7" t="n">
        <v>1557</v>
      </c>
      <c r="X156" s="7" t="n">
        <v>789</v>
      </c>
      <c r="Y156" s="9" t="n">
        <v>0.9634</v>
      </c>
      <c r="Z156" s="9" t="n">
        <v>0.4877</v>
      </c>
      <c r="AA156" s="7" t="n"/>
      <c r="AB156" s="7" t="n"/>
      <c r="AC156" s="7" t="n"/>
      <c r="AD156" s="7" t="n"/>
      <c r="AE156" s="7" t="inlineStr">
        <is>
          <t>learned from the training patents (tools/int_train.py)</t>
        </is>
      </c>
      <c r="AF156" s="7" t="inlineStr">
        <is>
          <t>Clayden, Organic Chemistry (alkene additions, epoxide opening)</t>
        </is>
      </c>
    </row>
    <row r="157">
      <c r="A157" s="7" t="inlineStr">
        <is>
          <t>I156</t>
        </is>
      </c>
      <c r="B157" s="7" t="inlineStr">
        <is>
          <t>sp3-secondary-at-S</t>
        </is>
      </c>
      <c r="C157" s="7" t="inlineStr">
        <is>
          <t>secondary carbon that now carries a sulfur</t>
        </is>
      </c>
      <c r="D157" s="7" t="inlineStr">
        <is>
          <t>sp3 carbon: where the new group went</t>
        </is>
      </c>
      <c r="E157" s="7" t="inlineStr">
        <is>
          <t>steric</t>
        </is>
      </c>
      <c r="F157" s="7" t="inlineStr">
        <is>
          <t>sp3 C</t>
        </is>
      </c>
      <c r="G157" s="7" t="inlineStr">
        <is>
          <t>[C;X4;$(C(-[#6])-[#6]);!$(C(-[#6])(-[#6])-[#6]);$(C-[900S])]</t>
        </is>
      </c>
      <c r="H157" s="7" t="inlineStr"/>
      <c r="I157" s="7" t="inlineStr"/>
      <c r="J157" s="7" t="inlineStr"/>
      <c r="K157" s="7" t="inlineStr"/>
      <c r="L157" s="7" t="inlineStr"/>
      <c r="M157" s="7" t="n"/>
      <c r="N157" s="7" t="inlineStr"/>
      <c r="O157" s="7" t="inlineStr">
        <is>
          <t>yes</t>
        </is>
      </c>
      <c r="P157" s="7" t="inlineStr"/>
      <c r="Q157" s="7" t="inlineStr">
        <is>
          <t>the reacting carbon (two carbon substituents) is bonded to a sulfur the reaction put there</t>
        </is>
      </c>
      <c r="R157" s="7" t="inlineStr">
        <is>
          <t>regioselectivity of additions and ring openings: the new group goes to the more substituted carbon in cationic / SN1-like reactions (Markovnikov: hydration, hydrohalogenation, halohydrin, acid-catalysed epoxide opening), to the less substituted carbon in SN2-like, radical and hydroboration reactions (anti-Markovnikov: base-catalysed epoxide opening, hydroboration, radical HBr)</t>
        </is>
      </c>
      <c r="S157" s="7" t="inlineStr">
        <is>
          <t>the two ends of the old double bond (or ring) differ in how well they carry positive charge or how open they are to attack</t>
        </is>
      </c>
      <c r="T157" s="7" t="n"/>
      <c r="U157" s="10" t="n">
        <v>0.15</v>
      </c>
      <c r="V157" s="7" t="inlineStr">
        <is>
          <t>unsaturated +0.90 (n=30; winner had it 90 % vs 51 % at random)</t>
        </is>
      </c>
      <c r="W157" s="7" t="n">
        <v>129</v>
      </c>
      <c r="X157" s="7" t="n">
        <v>75</v>
      </c>
      <c r="Y157" s="9" t="n">
        <v>0.6977</v>
      </c>
      <c r="Z157" s="9" t="n">
        <v>0.4913</v>
      </c>
      <c r="AA157" s="7" t="n"/>
      <c r="AB157" s="7" t="n"/>
      <c r="AC157" s="7" t="n"/>
      <c r="AD157" s="7" t="n"/>
      <c r="AE157" s="7" t="inlineStr">
        <is>
          <t>learned from the training patents (tools/int_train.py)</t>
        </is>
      </c>
      <c r="AF157" s="7" t="inlineStr">
        <is>
          <t>Clayden, Organic Chemistry (alkene additions, epoxide opening)</t>
        </is>
      </c>
    </row>
    <row r="158">
      <c r="A158" s="7" t="inlineStr">
        <is>
          <t>I157</t>
        </is>
      </c>
      <c r="B158" s="7" t="inlineStr">
        <is>
          <t>sp3-secondary-at-X</t>
        </is>
      </c>
      <c r="C158" s="7" t="inlineStr">
        <is>
          <t>secondary carbon that now carries a halogen</t>
        </is>
      </c>
      <c r="D158" s="7" t="inlineStr">
        <is>
          <t>sp3 carbon: where the new group went</t>
        </is>
      </c>
      <c r="E158" s="7" t="inlineStr">
        <is>
          <t>steric</t>
        </is>
      </c>
      <c r="F158" s="7" t="inlineStr">
        <is>
          <t>sp3 C</t>
        </is>
      </c>
      <c r="G158" s="7" t="inlineStr">
        <is>
          <t>[C;X4;$(C(-[#6])-[#6]);!$(C(-[#6])(-[#6])-[#6]);$(C-[900F,900Cl,900Br,900I])]</t>
        </is>
      </c>
      <c r="H158" s="7" t="inlineStr"/>
      <c r="I158" s="7" t="inlineStr"/>
      <c r="J158" s="7" t="inlineStr"/>
      <c r="K158" s="7" t="inlineStr"/>
      <c r="L158" s="7" t="inlineStr"/>
      <c r="M158" s="7" t="n"/>
      <c r="N158" s="7" t="inlineStr"/>
      <c r="O158" s="7" t="inlineStr">
        <is>
          <t>yes</t>
        </is>
      </c>
      <c r="P158" s="7" t="inlineStr"/>
      <c r="Q158" s="7" t="inlineStr">
        <is>
          <t>the reacting carbon (two carbon substituents) is bonded to a halogen the reaction put there</t>
        </is>
      </c>
      <c r="R158" s="7" t="inlineStr">
        <is>
          <t>regioselectivity of additions and ring openings: the new group goes to the more substituted carbon in cationic / SN1-like reactions (Markovnikov: hydration, hydrohalogenation, halohydrin, acid-catalysed epoxide opening), to the less substituted carbon in SN2-like, radical and hydroboration reactions (anti-Markovnikov: base-catalysed epoxide opening, hydroboration, radical HBr)</t>
        </is>
      </c>
      <c r="S158" s="7" t="inlineStr">
        <is>
          <t>the two ends of the old double bond (or ring) differ in how well they carry positive charge or how open they are to attack</t>
        </is>
      </c>
      <c r="T158" s="7" t="n"/>
      <c r="U158" s="10" t="n">
        <v>0.42</v>
      </c>
      <c r="V158" s="7" t="inlineStr">
        <is>
          <t>other +1.26 (n=51; winner had it 86 % vs 60 % at random) · acyl substitution +1.10 (n=122; winner had it 89 % vs 54 % at random) · carbonyl addition -0.68 (n=191; winner had it 93 % vs 57 % at random) · deprotection +0.53 (n=44; winner had it 52 % vs 60 % at random)</t>
        </is>
      </c>
      <c r="W158" s="7" t="n">
        <v>476</v>
      </c>
      <c r="X158" s="7" t="n">
        <v>383</v>
      </c>
      <c r="Y158" s="9" t="n">
        <v>0.8298</v>
      </c>
      <c r="Z158" s="9" t="n">
        <v>0.5649999999999999</v>
      </c>
      <c r="AA158" s="7" t="n"/>
      <c r="AB158" s="7" t="n"/>
      <c r="AC158" s="7" t="n"/>
      <c r="AD158" s="7" t="n"/>
      <c r="AE158" s="7" t="inlineStr">
        <is>
          <t>learned from the training patents (tools/int_train.py)</t>
        </is>
      </c>
      <c r="AF158" s="7" t="inlineStr">
        <is>
          <t>Clayden, Organic Chemistry (alkene additions, epoxide opening)</t>
        </is>
      </c>
    </row>
    <row r="159">
      <c r="A159" s="7" t="inlineStr">
        <is>
          <t>I158</t>
        </is>
      </c>
      <c r="B159" s="7" t="inlineStr">
        <is>
          <t>sp3-secondary-at-M</t>
        </is>
      </c>
      <c r="C159" s="7" t="inlineStr">
        <is>
          <t>secondary carbon that now carries a boron, silicon or phosphorus</t>
        </is>
      </c>
      <c r="D159" s="7" t="inlineStr">
        <is>
          <t>sp3 carbon: where the new group went</t>
        </is>
      </c>
      <c r="E159" s="7" t="inlineStr">
        <is>
          <t>steric</t>
        </is>
      </c>
      <c r="F159" s="7" t="inlineStr">
        <is>
          <t>sp3 C</t>
        </is>
      </c>
      <c r="G159" s="7" t="inlineStr">
        <is>
          <t>[C;X4;$(C(-[#6])-[#6]);!$(C(-[#6])(-[#6])-[#6]);$(C-[900B,900Si,900P])]</t>
        </is>
      </c>
      <c r="H159" s="7" t="inlineStr"/>
      <c r="I159" s="7" t="inlineStr"/>
      <c r="J159" s="7" t="inlineStr"/>
      <c r="K159" s="7" t="inlineStr"/>
      <c r="L159" s="7" t="inlineStr"/>
      <c r="M159" s="7" t="n"/>
      <c r="N159" s="7" t="inlineStr"/>
      <c r="O159" s="7" t="inlineStr">
        <is>
          <t>yes</t>
        </is>
      </c>
      <c r="P159" s="7" t="inlineStr"/>
      <c r="Q159" s="7" t="inlineStr">
        <is>
          <t>the reacting carbon (two carbon substituents) is bonded to a boron, silicon or phosphorus the reaction put there</t>
        </is>
      </c>
      <c r="R159" s="7" t="inlineStr">
        <is>
          <t>regioselectivity of additions and ring openings: the new group goes to the more substituted carbon in cationic / SN1-like reactions (Markovnikov: hydration, hydrohalogenation, halohydrin, acid-catalysed epoxide opening), to the less substituted carbon in SN2-like, radical and hydroboration reactions (anti-Markovnikov: base-catalysed epoxide opening, hydroboration, radical HBr)</t>
        </is>
      </c>
      <c r="S159" s="7" t="inlineStr">
        <is>
          <t>the two ends of the old double bond (or ring) differ in how well they carry positive charge or how open they are to attack</t>
        </is>
      </c>
      <c r="T159" s="7" t="n"/>
      <c r="U159" s="10" t="n">
        <v>-0.49</v>
      </c>
      <c r="V159" s="7" t="inlineStr"/>
      <c r="W159" s="7" t="n">
        <v>71</v>
      </c>
      <c r="X159" s="7" t="n">
        <v>47</v>
      </c>
      <c r="Y159" s="9" t="n">
        <v>0.7465000000000001</v>
      </c>
      <c r="Z159" s="9" t="n">
        <v>0.6424</v>
      </c>
      <c r="AA159" s="7" t="n"/>
      <c r="AB159" s="7" t="n"/>
      <c r="AC159" s="7" t="n"/>
      <c r="AD159" s="7" t="n"/>
      <c r="AE159" s="7" t="inlineStr">
        <is>
          <t>learned from the training patents (tools/int_train.py)</t>
        </is>
      </c>
      <c r="AF159" s="7" t="inlineStr">
        <is>
          <t>Clayden, Organic Chemistry (alkene additions, epoxide opening)</t>
        </is>
      </c>
    </row>
    <row r="160">
      <c r="A160" s="7" t="inlineStr">
        <is>
          <t>I159</t>
        </is>
      </c>
      <c r="B160" s="7" t="inlineStr">
        <is>
          <t>sp3-secondary-at-C</t>
        </is>
      </c>
      <c r="C160" s="7" t="inlineStr">
        <is>
          <t>secondary carbon that now carries a carbon</t>
        </is>
      </c>
      <c r="D160" s="7" t="inlineStr">
        <is>
          <t>sp3 carbon: where the new group went</t>
        </is>
      </c>
      <c r="E160" s="7" t="inlineStr">
        <is>
          <t>steric</t>
        </is>
      </c>
      <c r="F160" s="7" t="inlineStr">
        <is>
          <t>sp3 C</t>
        </is>
      </c>
      <c r="G160" s="7" t="inlineStr">
        <is>
          <t>[C;X4;$(C(-[#6;!900*])-[#6;!900*]);!$(C(-[#6;!900*])(-[#6;!900*])-[#6;!900*]);$(C-[900C,900c])]</t>
        </is>
      </c>
      <c r="H160" s="7" t="inlineStr"/>
      <c r="I160" s="7" t="inlineStr"/>
      <c r="J160" s="7" t="inlineStr"/>
      <c r="K160" s="7" t="inlineStr"/>
      <c r="L160" s="7" t="inlineStr"/>
      <c r="M160" s="7" t="n"/>
      <c r="N160" s="7" t="inlineStr"/>
      <c r="O160" s="7" t="inlineStr">
        <is>
          <t>yes</t>
        </is>
      </c>
      <c r="P160" s="7" t="inlineStr"/>
      <c r="Q160" s="7" t="inlineStr">
        <is>
          <t>the reacting carbon (two carbon substituents besides the new bond) is bonded to a carbon the reaction put there</t>
        </is>
      </c>
      <c r="R160" s="7" t="inlineStr">
        <is>
          <t>regioselectivity of additions and ring openings: the new group goes to the more substituted carbon in cationic / SN1-like reactions (Markovnikov: hydration, hydrohalogenation, halohydrin, acid-catalysed epoxide opening), to the less substituted carbon in SN2-like, radical and hydroboration reactions (anti-Markovnikov: base-catalysed epoxide opening, hydroboration, radical HBr)</t>
        </is>
      </c>
      <c r="S160" s="7" t="inlineStr">
        <is>
          <t>the two ends of the old double bond (or ring) differ in how well they carry positive charge or how open they are to attack</t>
        </is>
      </c>
      <c r="T160" s="7" t="n"/>
      <c r="U160" s="10" t="n">
        <v>-1.13</v>
      </c>
      <c r="V160" s="7" t="inlineStr">
        <is>
          <t>carbonyl addition -2.53 (n=1364; winner had it 88 % vs 52 % at random) · aryl halide -2.06 (n=688; winner had it 92 % vs 50 % at random) · unsaturated -1.56 (n=60; winner had it 47 % vs 60 % at random) · n nucleophile -1.36 (n=114; winner had it 74 % vs 64 % at random) · acyl substitution -1.31 (n=791; winner had it 79 % vs 55 % at random) · o nucleophile -1.26 (n=40; winner had it 40 % vs 55 % at random)</t>
        </is>
      </c>
      <c r="W160" s="7" t="n">
        <v>5037</v>
      </c>
      <c r="X160" s="7" t="n">
        <v>2899</v>
      </c>
      <c r="Y160" s="9" t="n">
        <v>0.8231000000000001</v>
      </c>
      <c r="Z160" s="9" t="n">
        <v>0.533</v>
      </c>
      <c r="AA160" s="7" t="n"/>
      <c r="AB160" s="7" t="n"/>
      <c r="AC160" s="7" t="n"/>
      <c r="AD160" s="7" t="n"/>
      <c r="AE160" s="7" t="inlineStr">
        <is>
          <t>learned from the training patents (tools/int_train.py)</t>
        </is>
      </c>
      <c r="AF160" s="7" t="inlineStr">
        <is>
          <t>Clayden, Organic Chemistry (alkene additions, epoxide opening)</t>
        </is>
      </c>
    </row>
    <row r="161">
      <c r="A161" s="7" t="inlineStr">
        <is>
          <t>I160</t>
        </is>
      </c>
      <c r="B161" s="7" t="inlineStr">
        <is>
          <t>sp3-tertiary-at-O</t>
        </is>
      </c>
      <c r="C161" s="7" t="inlineStr">
        <is>
          <t>tertiary carbon that now carries an oxygen</t>
        </is>
      </c>
      <c r="D161" s="7" t="inlineStr">
        <is>
          <t>sp3 carbon: where the new group went</t>
        </is>
      </c>
      <c r="E161" s="7" t="inlineStr">
        <is>
          <t>steric</t>
        </is>
      </c>
      <c r="F161" s="7" t="inlineStr">
        <is>
          <t>sp3 C</t>
        </is>
      </c>
      <c r="G161" s="7" t="inlineStr">
        <is>
          <t>[C;X4;$(C(-[#6])(-[#6])-[#6]);$(C-[900O])]</t>
        </is>
      </c>
      <c r="H161" s="7" t="inlineStr"/>
      <c r="I161" s="7" t="inlineStr"/>
      <c r="J161" s="7" t="inlineStr"/>
      <c r="K161" s="7" t="inlineStr"/>
      <c r="L161" s="7" t="inlineStr"/>
      <c r="M161" s="7" t="n"/>
      <c r="N161" s="7" t="inlineStr"/>
      <c r="O161" s="7" t="inlineStr">
        <is>
          <t>yes</t>
        </is>
      </c>
      <c r="P161" s="7" t="inlineStr"/>
      <c r="Q161" s="7" t="inlineStr">
        <is>
          <t>the reacting carbon (three carbon substituents) is bonded to an oxygen the reaction put there</t>
        </is>
      </c>
      <c r="R161" s="7" t="inlineStr">
        <is>
          <t>regioselectivity of additions and ring openings: the new group goes to the more substituted carbon in cationic / SN1-like reactions (Markovnikov: hydration, hydrohalogenation, halohydrin, acid-catalysed epoxide opening), to the less substituted carbon in SN2-like, radical and hydroboration reactions (anti-Markovnikov: base-catalysed epoxide opening, hydroboration, radical HBr)</t>
        </is>
      </c>
      <c r="S161" s="7" t="inlineStr">
        <is>
          <t>the two ends of the old double bond (or ring) differ in how well they carry positive charge or how open they are to attack</t>
        </is>
      </c>
      <c r="T161" s="7" t="n"/>
      <c r="U161" s="10" t="n">
        <v>3.51</v>
      </c>
      <c r="V161" s="7" t="inlineStr">
        <is>
          <t>carbonyl addition +4.83 (n=861; winner had it 100 % vs 49 % at random) · deprotection +4.81 (n=125; winner had it 98 % vs 49 % at random) · aryl halide +4.42 (n=352; winner had it 100 % vs 50 % at random) · acyl substitution +3.95 (n=88; winner had it 99 % vs 54 % at random) · alkyl substitution +3.76 (n=79; winner had it 100 % vs 50 % at random)</t>
        </is>
      </c>
      <c r="W161" s="7" t="n">
        <v>1524</v>
      </c>
      <c r="X161" s="7" t="n">
        <v>813</v>
      </c>
      <c r="Y161" s="9" t="n">
        <v>0.9941</v>
      </c>
      <c r="Z161" s="9" t="n">
        <v>0.4972</v>
      </c>
      <c r="AA161" s="7" t="n"/>
      <c r="AB161" s="7" t="n"/>
      <c r="AC161" s="7" t="n"/>
      <c r="AD161" s="7" t="n"/>
      <c r="AE161" s="7" t="inlineStr">
        <is>
          <t>learned from the training patents (tools/int_train.py)</t>
        </is>
      </c>
      <c r="AF161" s="7" t="inlineStr">
        <is>
          <t>Clayden, Organic Chemistry (alkene additions, epoxide opening)</t>
        </is>
      </c>
    </row>
    <row r="162">
      <c r="A162" s="7" t="inlineStr">
        <is>
          <t>I161</t>
        </is>
      </c>
      <c r="B162" s="7" t="inlineStr">
        <is>
          <t>sp3-tertiary-at-N</t>
        </is>
      </c>
      <c r="C162" s="7" t="inlineStr">
        <is>
          <t>tertiary carbon that now carries a nitrogen</t>
        </is>
      </c>
      <c r="D162" s="7" t="inlineStr">
        <is>
          <t>sp3 carbon: where the new group went</t>
        </is>
      </c>
      <c r="E162" s="7" t="inlineStr">
        <is>
          <t>steric</t>
        </is>
      </c>
      <c r="F162" s="7" t="inlineStr">
        <is>
          <t>sp3 C</t>
        </is>
      </c>
      <c r="G162" s="7" t="inlineStr">
        <is>
          <t>[C;X4;$(C(-[#6])(-[#6])-[#6]);$(C-[900N])]</t>
        </is>
      </c>
      <c r="H162" s="7" t="inlineStr"/>
      <c r="I162" s="7" t="inlineStr"/>
      <c r="J162" s="7" t="inlineStr"/>
      <c r="K162" s="7" t="inlineStr"/>
      <c r="L162" s="7" t="inlineStr"/>
      <c r="M162" s="7" t="n"/>
      <c r="N162" s="7" t="inlineStr"/>
      <c r="O162" s="7" t="inlineStr">
        <is>
          <t>yes</t>
        </is>
      </c>
      <c r="P162" s="7" t="inlineStr"/>
      <c r="Q162" s="7" t="inlineStr">
        <is>
          <t>the reacting carbon (three carbon substituents) is bonded to a nitrogen the reaction put there</t>
        </is>
      </c>
      <c r="R162" s="7" t="inlineStr">
        <is>
          <t>regioselectivity of additions and ring openings: the new group goes to the more substituted carbon in cationic / SN1-like reactions (Markovnikov: hydration, hydrohalogenation, halohydrin, acid-catalysed epoxide opening), to the less substituted carbon in SN2-like, radical and hydroboration reactions (anti-Markovnikov: base-catalysed epoxide opening, hydroboration, radical HBr)</t>
        </is>
      </c>
      <c r="S162" s="7" t="inlineStr">
        <is>
          <t>the two ends of the old double bond (or ring) differ in how well they carry positive charge or how open they are to attack</t>
        </is>
      </c>
      <c r="T162" s="7" t="n"/>
      <c r="U162" s="10" t="n">
        <v>1.23</v>
      </c>
      <c r="V162" s="7" t="inlineStr">
        <is>
          <t>carbonyl addition +2.07 (n=41; winner had it 100 % vs 44 % at random)</t>
        </is>
      </c>
      <c r="W162" s="7" t="n">
        <v>55</v>
      </c>
      <c r="X162" s="7" t="n">
        <v>40</v>
      </c>
      <c r="Y162" s="9" t="n">
        <v>0.9273</v>
      </c>
      <c r="Z162" s="9" t="n">
        <v>0.457</v>
      </c>
      <c r="AA162" s="7" t="n"/>
      <c r="AB162" s="7" t="n"/>
      <c r="AC162" s="7" t="n"/>
      <c r="AD162" s="7" t="n"/>
      <c r="AE162" s="7" t="inlineStr">
        <is>
          <t>learned from the training patents (tools/int_train.py)</t>
        </is>
      </c>
      <c r="AF162" s="7" t="inlineStr">
        <is>
          <t>Clayden, Organic Chemistry (alkene additions, epoxide opening)</t>
        </is>
      </c>
    </row>
    <row r="163">
      <c r="A163" s="7" t="inlineStr">
        <is>
          <t>I162</t>
        </is>
      </c>
      <c r="B163" s="7" t="inlineStr">
        <is>
          <t>sp3-tertiary-at-S</t>
        </is>
      </c>
      <c r="C163" s="7" t="inlineStr">
        <is>
          <t>tertiary carbon that now carries a sulfur</t>
        </is>
      </c>
      <c r="D163" s="7" t="inlineStr">
        <is>
          <t>sp3 carbon: where the new group went</t>
        </is>
      </c>
      <c r="E163" s="7" t="inlineStr">
        <is>
          <t>steric</t>
        </is>
      </c>
      <c r="F163" s="7" t="inlineStr">
        <is>
          <t>sp3 C</t>
        </is>
      </c>
      <c r="G163" s="7" t="inlineStr">
        <is>
          <t>[C;X4;$(C(-[#6])(-[#6])-[#6]);$(C-[900S])]</t>
        </is>
      </c>
      <c r="H163" s="7" t="inlineStr"/>
      <c r="I163" s="7" t="inlineStr"/>
      <c r="J163" s="7" t="inlineStr"/>
      <c r="K163" s="7" t="inlineStr"/>
      <c r="L163" s="7" t="inlineStr"/>
      <c r="M163" s="7" t="n"/>
      <c r="N163" s="7" t="inlineStr"/>
      <c r="O163" s="7" t="inlineStr">
        <is>
          <t>yes</t>
        </is>
      </c>
      <c r="P163" s="7" t="inlineStr"/>
      <c r="Q163" s="7" t="inlineStr">
        <is>
          <t>the reacting carbon (three carbon substituents) is bonded to a sulfur the reaction put there</t>
        </is>
      </c>
      <c r="R163" s="7" t="inlineStr">
        <is>
          <t>regioselectivity of additions and ring openings: the new group goes to the more substituted carbon in cationic / SN1-like reactions (Markovnikov: hydration, hydrohalogenation, halohydrin, acid-catalysed epoxide opening), to the less substituted carbon in SN2-like, radical and hydroboration reactions (anti-Markovnikov: base-catalysed epoxide opening, hydroboration, radical HBr)</t>
        </is>
      </c>
      <c r="S163" s="7" t="inlineStr">
        <is>
          <t>the two ends of the old double bond (or ring) differ in how well they carry positive charge or how open they are to attack</t>
        </is>
      </c>
      <c r="T163" s="7" t="n"/>
      <c r="U163" s="10" t="n">
        <v>0.1</v>
      </c>
      <c r="V163" s="7" t="inlineStr"/>
      <c r="W163" s="7" t="n">
        <v>13</v>
      </c>
      <c r="X163" s="7" t="n">
        <v>8</v>
      </c>
      <c r="Y163" s="9" t="n">
        <v>0.5385</v>
      </c>
      <c r="Z163" s="9" t="n">
        <v>0.5064</v>
      </c>
      <c r="AA163" s="7" t="n"/>
      <c r="AB163" s="7" t="n"/>
      <c r="AC163" s="7" t="n"/>
      <c r="AD163" s="7" t="n"/>
      <c r="AE163" s="7" t="inlineStr">
        <is>
          <t>too few contests in the recorded reactions to learn a weight (the weight is shrunk to about zero): the textbook effect is advisory</t>
        </is>
      </c>
      <c r="AF163" s="7" t="inlineStr">
        <is>
          <t>Clayden, Organic Chemistry (alkene additions, epoxide opening)</t>
        </is>
      </c>
    </row>
    <row r="164">
      <c r="A164" s="7" t="inlineStr">
        <is>
          <t>I163</t>
        </is>
      </c>
      <c r="B164" s="7" t="inlineStr">
        <is>
          <t>sp3-tertiary-at-X</t>
        </is>
      </c>
      <c r="C164" s="7" t="inlineStr">
        <is>
          <t>tertiary carbon that now carries a halogen</t>
        </is>
      </c>
      <c r="D164" s="7" t="inlineStr">
        <is>
          <t>sp3 carbon: where the new group went</t>
        </is>
      </c>
      <c r="E164" s="7" t="inlineStr">
        <is>
          <t>steric</t>
        </is>
      </c>
      <c r="F164" s="7" t="inlineStr">
        <is>
          <t>sp3 C</t>
        </is>
      </c>
      <c r="G164" s="7" t="inlineStr">
        <is>
          <t>[C;X4;$(C(-[#6])(-[#6])-[#6]);$(C-[900F,900Cl,900Br,900I])]</t>
        </is>
      </c>
      <c r="H164" s="7" t="inlineStr"/>
      <c r="I164" s="7" t="inlineStr"/>
      <c r="J164" s="7" t="inlineStr"/>
      <c r="K164" s="7" t="inlineStr"/>
      <c r="L164" s="7" t="inlineStr"/>
      <c r="M164" s="7" t="n"/>
      <c r="N164" s="7" t="inlineStr"/>
      <c r="O164" s="7" t="inlineStr">
        <is>
          <t>yes</t>
        </is>
      </c>
      <c r="P164" s="7" t="inlineStr"/>
      <c r="Q164" s="7" t="inlineStr">
        <is>
          <t>the reacting carbon (three carbon substituents) is bonded to a halogen the reaction put there</t>
        </is>
      </c>
      <c r="R164" s="7" t="inlineStr">
        <is>
          <t>regioselectivity of additions and ring openings: the new group goes to the more substituted carbon in cationic / SN1-like reactions (Markovnikov: hydration, hydrohalogenation, halohydrin, acid-catalysed epoxide opening), to the less substituted carbon in SN2-like, radical and hydroboration reactions (anti-Markovnikov: base-catalysed epoxide opening, hydroboration, radical HBr)</t>
        </is>
      </c>
      <c r="S164" s="7" t="inlineStr">
        <is>
          <t>the two ends of the old double bond (or ring) differ in how well they carry positive charge or how open they are to attack</t>
        </is>
      </c>
      <c r="T164" s="7" t="n"/>
      <c r="U164" s="10" t="n">
        <v>0.41</v>
      </c>
      <c r="V164" s="7" t="inlineStr"/>
      <c r="W164" s="7" t="n">
        <v>46</v>
      </c>
      <c r="X164" s="7" t="n">
        <v>38</v>
      </c>
      <c r="Y164" s="9" t="n">
        <v>0.6304</v>
      </c>
      <c r="Z164" s="9" t="n">
        <v>0.5112</v>
      </c>
      <c r="AA164" s="7" t="n"/>
      <c r="AB164" s="7" t="n"/>
      <c r="AC164" s="7" t="n"/>
      <c r="AD164" s="7" t="n"/>
      <c r="AE164" s="7" t="inlineStr">
        <is>
          <t>learned from the training patents (tools/int_train.py)</t>
        </is>
      </c>
      <c r="AF164" s="7" t="inlineStr">
        <is>
          <t>Clayden, Organic Chemistry (alkene additions, epoxide opening)</t>
        </is>
      </c>
    </row>
    <row r="165">
      <c r="A165" s="7" t="inlineStr">
        <is>
          <t>I164</t>
        </is>
      </c>
      <c r="B165" s="7" t="inlineStr">
        <is>
          <t>sp3-tertiary-at-M</t>
        </is>
      </c>
      <c r="C165" s="7" t="inlineStr">
        <is>
          <t>tertiary carbon that now carries a boron, silicon or phosphorus</t>
        </is>
      </c>
      <c r="D165" s="7" t="inlineStr">
        <is>
          <t>sp3 carbon: where the new group went</t>
        </is>
      </c>
      <c r="E165" s="7" t="inlineStr">
        <is>
          <t>steric</t>
        </is>
      </c>
      <c r="F165" s="7" t="inlineStr">
        <is>
          <t>sp3 C</t>
        </is>
      </c>
      <c r="G165" s="7" t="inlineStr">
        <is>
          <t>[C;X4;$(C(-[#6])(-[#6])-[#6]);$(C-[900B,900Si,900P])]</t>
        </is>
      </c>
      <c r="H165" s="7" t="inlineStr"/>
      <c r="I165" s="7" t="inlineStr"/>
      <c r="J165" s="7" t="inlineStr"/>
      <c r="K165" s="7" t="inlineStr"/>
      <c r="L165" s="7" t="inlineStr"/>
      <c r="M165" s="7" t="n"/>
      <c r="N165" s="7" t="inlineStr"/>
      <c r="O165" s="7" t="inlineStr">
        <is>
          <t>yes</t>
        </is>
      </c>
      <c r="P165" s="7" t="inlineStr"/>
      <c r="Q165" s="7" t="inlineStr">
        <is>
          <t>the reacting carbon (three carbon substituents) is bonded to a boron, silicon or phosphorus the reaction put there</t>
        </is>
      </c>
      <c r="R165" s="7" t="inlineStr">
        <is>
          <t>regioselectivity of additions and ring openings: the new group goes to the more substituted carbon in cationic / SN1-like reactions (Markovnikov: hydration, hydrohalogenation, halohydrin, acid-catalysed epoxide opening), to the less substituted carbon in SN2-like, radical and hydroboration reactions (anti-Markovnikov: base-catalysed epoxide opening, hydroboration, radical HBr)</t>
        </is>
      </c>
      <c r="S165" s="7" t="inlineStr">
        <is>
          <t>the two ends of the old double bond (or ring) differ in how well they carry positive charge or how open they are to attack</t>
        </is>
      </c>
      <c r="T165" s="7" t="n"/>
      <c r="U165" s="10" t="n">
        <v>-0.14</v>
      </c>
      <c r="V165" s="7" t="inlineStr"/>
      <c r="W165" s="7" t="n">
        <v>1</v>
      </c>
      <c r="X165" s="7" t="n">
        <v>1</v>
      </c>
      <c r="Y165" s="9" t="n">
        <v>0</v>
      </c>
      <c r="Z165" s="9" t="n">
        <v>0.5</v>
      </c>
      <c r="AA165" s="7" t="n"/>
      <c r="AB165" s="7" t="n"/>
      <c r="AC165" s="7" t="n"/>
      <c r="AD165" s="7" t="n"/>
      <c r="AE165" s="7" t="inlineStr">
        <is>
          <t>too few contests in the recorded reactions to learn a weight (the weight is shrunk to about zero): the textbook effect is advisory</t>
        </is>
      </c>
      <c r="AF165" s="7" t="inlineStr">
        <is>
          <t>Clayden, Organic Chemistry (alkene additions, epoxide opening)</t>
        </is>
      </c>
    </row>
    <row r="166">
      <c r="A166" s="7" t="inlineStr">
        <is>
          <t>I165</t>
        </is>
      </c>
      <c r="B166" s="7" t="inlineStr">
        <is>
          <t>sp3-tertiary-at-C</t>
        </is>
      </c>
      <c r="C166" s="7" t="inlineStr">
        <is>
          <t>tertiary carbon that now carries a carbon</t>
        </is>
      </c>
      <c r="D166" s="7" t="inlineStr">
        <is>
          <t>sp3 carbon: where the new group went</t>
        </is>
      </c>
      <c r="E166" s="7" t="inlineStr">
        <is>
          <t>steric</t>
        </is>
      </c>
      <c r="F166" s="7" t="inlineStr">
        <is>
          <t>sp3 C</t>
        </is>
      </c>
      <c r="G166" s="7" t="inlineStr">
        <is>
          <t>[C;X4;$(C(-[#6;!900*])(-[#6;!900*])-[#6;!900*]);$(C-[900C,900c])]</t>
        </is>
      </c>
      <c r="H166" s="7" t="inlineStr"/>
      <c r="I166" s="7" t="inlineStr"/>
      <c r="J166" s="7" t="inlineStr"/>
      <c r="K166" s="7" t="inlineStr"/>
      <c r="L166" s="7" t="inlineStr"/>
      <c r="M166" s="7" t="n"/>
      <c r="N166" s="7" t="inlineStr"/>
      <c r="O166" s="7" t="inlineStr">
        <is>
          <t>yes</t>
        </is>
      </c>
      <c r="P166" s="7" t="inlineStr"/>
      <c r="Q166" s="7" t="inlineStr">
        <is>
          <t>the reacting carbon (three carbon substituents besides the new bond) is bonded to a carbon the reaction put there</t>
        </is>
      </c>
      <c r="R166" s="7" t="inlineStr">
        <is>
          <t>regioselectivity of additions and ring openings: the new group goes to the more substituted carbon in cationic / SN1-like reactions (Markovnikov: hydration, hydrohalogenation, halohydrin, acid-catalysed epoxide opening), to the less substituted carbon in SN2-like, radical and hydroboration reactions (anti-Markovnikov: base-catalysed epoxide opening, hydroboration, radical HBr)</t>
        </is>
      </c>
      <c r="S166" s="7" t="inlineStr">
        <is>
          <t>the two ends of the old double bond (or ring) differ in how well they carry positive charge or how open they are to attack</t>
        </is>
      </c>
      <c r="T166" s="7" t="n"/>
      <c r="U166" s="10" t="n">
        <v>-0.74</v>
      </c>
      <c r="V166" s="7" t="inlineStr">
        <is>
          <t>acyl substitution -1.67 (n=36; winner had it 14 % vs 34 % at random) · other -0.99 (n=25; winner had it 60 % vs 48 % at random) · carbonyl addition -0.74 (n=101; winner had it 41 % vs 44 % at random) · deprotection -0.24 (n=36; winner had it 42 % vs 46 % at random) · alkyl substitution -0.09 (n=96; winner had it 80 % vs 51 % at random)</t>
        </is>
      </c>
      <c r="W166" s="7" t="n">
        <v>332</v>
      </c>
      <c r="X166" s="7" t="n">
        <v>221</v>
      </c>
      <c r="Y166" s="9" t="n">
        <v>0.5181</v>
      </c>
      <c r="Z166" s="9" t="n">
        <v>0.4631</v>
      </c>
      <c r="AA166" s="7" t="n"/>
      <c r="AB166" s="7" t="n"/>
      <c r="AC166" s="7" t="n"/>
      <c r="AD166" s="7" t="n"/>
      <c r="AE166" s="7" t="inlineStr">
        <is>
          <t>learned from the training patents (tools/int_train.py)</t>
        </is>
      </c>
      <c r="AF166" s="7" t="inlineStr">
        <is>
          <t>Clayden, Organic Chemistry (alkene additions, epoxide opening)</t>
        </is>
      </c>
    </row>
    <row r="167">
      <c r="A167" s="7" t="inlineStr">
        <is>
          <t>I166</t>
        </is>
      </c>
      <c r="B167" s="7" t="inlineStr">
        <is>
          <t>co-aryl</t>
        </is>
      </c>
      <c r="C167" s="7" t="inlineStr">
        <is>
          <t>aryl on the carbonyl carbon</t>
        </is>
      </c>
      <c r="D167" s="7" t="inlineStr">
        <is>
          <t>carbonyl carbon</t>
        </is>
      </c>
      <c r="E167" s="7" t="inlineStr">
        <is>
          <t>electronic</t>
        </is>
      </c>
      <c r="F167" s="7" t="inlineStr">
        <is>
          <t>carbonyl C</t>
        </is>
      </c>
      <c r="G167" s="7" t="inlineStr">
        <is>
          <t>[C;X3;$(C=[O,N,S]);$(C-[c;!900*])]</t>
        </is>
      </c>
      <c r="H167" s="7" t="inlineStr"/>
      <c r="I167" s="7" t="inlineStr"/>
      <c r="J167" s="7" t="inlineStr"/>
      <c r="K167" s="7" t="inlineStr"/>
      <c r="L167" s="7" t="inlineStr"/>
      <c r="M167" s="7" t="n"/>
      <c r="N167" s="7" t="inlineStr"/>
      <c r="O167" s="7" t="inlineStr">
        <is>
          <t>yes</t>
        </is>
      </c>
      <c r="P167" s="7" t="inlineStr"/>
      <c r="Q167" s="7" t="inlineStr">
        <is>
          <t>the retained carbonyl carbon (acyl substitution) is bonded to an aromatic ring</t>
        </is>
      </c>
      <c r="R167" s="7" t="inlineStr">
        <is>
          <t>less electrophilic than an alkyl carbonyl (conjugation) and more hindered; ortho substituents twist it out of conjugation</t>
        </is>
      </c>
      <c r="S167" s="7" t="inlineStr">
        <is>
          <t>the ring donates into the C=O by resonance</t>
        </is>
      </c>
      <c r="T167" s="7" t="n"/>
      <c r="U167" s="10" t="n">
        <v>1.38</v>
      </c>
      <c r="V167" s="7" t="inlineStr">
        <is>
          <t>other +2.52 (n=161; winner had it 96 % vs 44 % at random) · deprotection +2.10 (n=332; winner had it 81 % vs 45 % at random) · carbonyl addition +1.74 (n=843; winner had it 74 % vs 47 % at random) · unsaturated +1.68 (n=27; winner had it 74 % vs 49 % at random) · acyl substitution +1.64 (n=2559; winner had it 84 % vs 49 % at random) · aryl halide +1.56 (n=127; winner had it 79 % vs 47 % at random)</t>
        </is>
      </c>
      <c r="W167" s="7" t="n">
        <v>4127</v>
      </c>
      <c r="X167" s="7" t="n">
        <v>2126</v>
      </c>
      <c r="Y167" s="9" t="n">
        <v>0.8166</v>
      </c>
      <c r="Z167" s="9" t="n">
        <v>0.478</v>
      </c>
      <c r="AA167" s="7" t="n"/>
      <c r="AB167" s="7" t="n"/>
      <c r="AC167" s="7" t="n"/>
      <c r="AD167" s="7" t="n"/>
      <c r="AE167" s="7" t="inlineStr">
        <is>
          <t>learned from the training patents (tools/int_train.py)</t>
        </is>
      </c>
      <c r="AF167" s="7" t="inlineStr">
        <is>
          <t>Clayden, Organic Chemistry</t>
        </is>
      </c>
    </row>
    <row r="168">
      <c r="A168" s="7" t="inlineStr">
        <is>
          <t>I167</t>
        </is>
      </c>
      <c r="B168" s="7" t="inlineStr">
        <is>
          <t>co-vinyl</t>
        </is>
      </c>
      <c r="C168" s="7" t="inlineStr">
        <is>
          <t>C=C on the carbonyl carbon (enone, acrylate)</t>
        </is>
      </c>
      <c r="D168" s="7" t="inlineStr">
        <is>
          <t>carbonyl carbon</t>
        </is>
      </c>
      <c r="E168" s="7" t="inlineStr">
        <is>
          <t>electronic</t>
        </is>
      </c>
      <c r="F168" s="7" t="inlineStr">
        <is>
          <t>carbonyl C</t>
        </is>
      </c>
      <c r="G168" s="7" t="inlineStr">
        <is>
          <t>[C;X3;$(C=[O,N,S]);$(C-[C;X3;!$(C=O);!900*]=C)]</t>
        </is>
      </c>
      <c r="H168" s="7" t="inlineStr"/>
      <c r="I168" s="7" t="inlineStr"/>
      <c r="J168" s="7" t="inlineStr"/>
      <c r="K168" s="7" t="inlineStr"/>
      <c r="L168" s="7" t="inlineStr"/>
      <c r="M168" s="7" t="n"/>
      <c r="N168" s="7" t="inlineStr"/>
      <c r="O168" s="7" t="inlineStr">
        <is>
          <t>yes</t>
        </is>
      </c>
      <c r="P168" s="7" t="inlineStr"/>
      <c r="Q168" s="7" t="inlineStr">
        <is>
          <t>the retained carbonyl carbon is bonded to a C=C</t>
        </is>
      </c>
      <c r="R168" s="7" t="inlineStr">
        <is>
          <t>hard nucleophiles add 1,2; soft nucleophiles add 1,4 at the β carbon instead</t>
        </is>
      </c>
      <c r="S168" s="7" t="inlineStr">
        <is>
          <t>conjugation spreads the electrophilicity to the β carbon</t>
        </is>
      </c>
      <c r="T168" s="7" t="n"/>
      <c r="U168" s="10" t="n">
        <v>1.25</v>
      </c>
      <c r="V168" s="7" t="inlineStr">
        <is>
          <t>deprotection +3.03 (n=43; winner had it 74 % vs 45 % at random) · carbonyl addition +1.39 (n=118; winner had it 63 % vs 44 % at random) · acyl substitution +0.58 (n=405; winner had it 51 % vs 45 % at random)</t>
        </is>
      </c>
      <c r="W168" s="7" t="n">
        <v>643</v>
      </c>
      <c r="X168" s="7" t="n">
        <v>404</v>
      </c>
      <c r="Y168" s="9" t="n">
        <v>0.5568</v>
      </c>
      <c r="Z168" s="9" t="n">
        <v>0.445</v>
      </c>
      <c r="AA168" s="7" t="n"/>
      <c r="AB168" s="7" t="n"/>
      <c r="AC168" s="7" t="n"/>
      <c r="AD168" s="7" t="n"/>
      <c r="AE168" s="7" t="inlineStr">
        <is>
          <t>learned from the training patents (tools/int_train.py)</t>
        </is>
      </c>
      <c r="AF168" s="7" t="inlineStr">
        <is>
          <t>Clayden, Organic Chemistry</t>
        </is>
      </c>
    </row>
    <row r="169">
      <c r="A169" s="7" t="inlineStr">
        <is>
          <t>I168</t>
        </is>
      </c>
      <c r="B169" s="7" t="inlineStr">
        <is>
          <t>co-alpha-branched</t>
        </is>
      </c>
      <c r="C169" s="7" t="inlineStr">
        <is>
          <t>α-branched carbonyl (CHR2 next to C=O)</t>
        </is>
      </c>
      <c r="D169" s="7" t="inlineStr">
        <is>
          <t>carbonyl carbon</t>
        </is>
      </c>
      <c r="E169" s="7" t="inlineStr">
        <is>
          <t>hindrance</t>
        </is>
      </c>
      <c r="F169" s="7" t="inlineStr">
        <is>
          <t>carbonyl C</t>
        </is>
      </c>
      <c r="G169" s="7" t="inlineStr">
        <is>
          <t>[C;X3;$(C=[O,N,S]);$(C-[CX4;H1;!900*](-[#6])-[#6])]</t>
        </is>
      </c>
      <c r="H169" s="7" t="inlineStr"/>
      <c r="I169" s="7" t="inlineStr"/>
      <c r="J169" s="7" t="inlineStr"/>
      <c r="K169" s="7" t="inlineStr"/>
      <c r="L169" s="7" t="inlineStr"/>
      <c r="M169" s="7" t="n"/>
      <c r="N169" s="7" t="inlineStr"/>
      <c r="O169" s="7" t="inlineStr">
        <is>
          <t>yes</t>
        </is>
      </c>
      <c r="P169" s="7" t="inlineStr"/>
      <c r="Q169" s="7" t="inlineStr">
        <is>
          <t>the retained carbonyl carbon is bonded to a CH that carries two more carbons</t>
        </is>
      </c>
      <c r="R169" s="7" t="inlineStr">
        <is>
          <t>additions and acyl substitutions slower; the α C–H is more easily epimerised</t>
        </is>
      </c>
      <c r="S169" s="7" t="inlineStr">
        <is>
          <t>the branch crowds the approach to the carbonyl</t>
        </is>
      </c>
      <c r="T169" s="7" t="n"/>
      <c r="U169" s="10" t="n">
        <v>0.41</v>
      </c>
      <c r="V169" s="7" t="inlineStr">
        <is>
          <t>deprotection +1.05 (n=119; winner had it 66 % vs 44 % at random) · acyl substitution +1.03 (n=928; winner had it 76 % vs 49 % at random) · carbonyl addition +0.06 (n=154; winner had it 46 % vs 43 % at random)</t>
        </is>
      </c>
      <c r="W169" s="7" t="n">
        <v>1282</v>
      </c>
      <c r="X169" s="7" t="n">
        <v>721</v>
      </c>
      <c r="Y169" s="9" t="n">
        <v>0.7005</v>
      </c>
      <c r="Z169" s="9" t="n">
        <v>0.4734</v>
      </c>
      <c r="AA169" s="7" t="n"/>
      <c r="AB169" s="7" t="n"/>
      <c r="AC169" s="7" t="n"/>
      <c r="AD169" s="7" t="n"/>
      <c r="AE169" s="7" t="inlineStr">
        <is>
          <t>learned from the training patents (tools/int_train.py)</t>
        </is>
      </c>
      <c r="AF169" s="7" t="inlineStr">
        <is>
          <t>Clayden, Organic Chemistry</t>
        </is>
      </c>
    </row>
    <row r="170">
      <c r="A170" s="7" t="inlineStr">
        <is>
          <t>I169</t>
        </is>
      </c>
      <c r="B170" s="7" t="inlineStr">
        <is>
          <t>co-alpha-quaternary</t>
        </is>
      </c>
      <c r="C170" s="7" t="inlineStr">
        <is>
          <t>α-quaternary carbonyl (CR3 next to C=O)</t>
        </is>
      </c>
      <c r="D170" s="7" t="inlineStr">
        <is>
          <t>carbonyl carbon</t>
        </is>
      </c>
      <c r="E170" s="7" t="inlineStr">
        <is>
          <t>hindrance</t>
        </is>
      </c>
      <c r="F170" s="7" t="inlineStr">
        <is>
          <t>carbonyl C</t>
        </is>
      </c>
      <c r="G170" s="7" t="inlineStr">
        <is>
          <t>[C;X3;$(C=[O,N,S]);$(C-[CX4;H0;!900*](-[#6])-[#6])]</t>
        </is>
      </c>
      <c r="H170" s="7" t="inlineStr"/>
      <c r="I170" s="7" t="inlineStr"/>
      <c r="J170" s="7" t="inlineStr"/>
      <c r="K170" s="7" t="inlineStr"/>
      <c r="L170" s="7" t="inlineStr"/>
      <c r="M170" s="7" t="n"/>
      <c r="N170" s="7" t="inlineStr"/>
      <c r="O170" s="7" t="inlineStr">
        <is>
          <t>yes</t>
        </is>
      </c>
      <c r="P170" s="7" t="inlineStr"/>
      <c r="Q170" s="7" t="inlineStr">
        <is>
          <t>the retained carbonyl carbon is bonded to a carbon with no H and at least two further carbons (pivaloyl, Aib, α-hydroxyisobutyryl)</t>
        </is>
      </c>
      <c r="R170" s="7" t="inlineStr">
        <is>
          <t>strongly hindered: additions and hydrolysis are slow (pivalates survive conditions that cleave acetates); no α C–H, so no enolisation</t>
        </is>
      </c>
      <c r="S170" s="7" t="inlineStr">
        <is>
          <t>the tert-alkyl group shields the carbonyl carbon</t>
        </is>
      </c>
      <c r="T170" s="7" t="n"/>
      <c r="U170" s="10" t="n">
        <v>-0.18</v>
      </c>
      <c r="V170" s="7" t="inlineStr">
        <is>
          <t>deprotection -0.93 (n=118; winner had it 25 % vs 44 % at random)</t>
        </is>
      </c>
      <c r="W170" s="7" t="n">
        <v>1042</v>
      </c>
      <c r="X170" s="7" t="n">
        <v>598</v>
      </c>
      <c r="Y170" s="9" t="n">
        <v>0.6017</v>
      </c>
      <c r="Z170" s="9" t="n">
        <v>0.4628</v>
      </c>
      <c r="AA170" s="7" t="n"/>
      <c r="AB170" s="7" t="n"/>
      <c r="AC170" s="7" t="n"/>
      <c r="AD170" s="7" t="n"/>
      <c r="AE170" s="7" t="inlineStr">
        <is>
          <t>learned from the training patents (tools/int_train.py)</t>
        </is>
      </c>
      <c r="AF170" s="7" t="inlineStr">
        <is>
          <t>Clayden, Organic Chemistry; Taft Es t-Bu −1.54</t>
        </is>
      </c>
    </row>
    <row r="171">
      <c r="A171" s="7" t="inlineStr">
        <is>
          <t>I170</t>
        </is>
      </c>
      <c r="B171" s="7" t="inlineStr">
        <is>
          <t>co-alpha-hetero</t>
        </is>
      </c>
      <c r="C171" s="7" t="inlineStr">
        <is>
          <t>α-heteroatom (halogen, O, N) on the carbon next to the carbonyl</t>
        </is>
      </c>
      <c r="D171" s="7" t="inlineStr">
        <is>
          <t>carbonyl carbon</t>
        </is>
      </c>
      <c r="E171" s="7" t="inlineStr">
        <is>
          <t>electronic</t>
        </is>
      </c>
      <c r="F171" s="7" t="inlineStr">
        <is>
          <t>carbonyl C</t>
        </is>
      </c>
      <c r="G171" s="7" t="inlineStr">
        <is>
          <t>[C;X3;$(C=[O,N,S]);$(C-[CX4;$(C-[F,Cl,Br,I,O,N]);!$(C(F)(F)F);!900*])]</t>
        </is>
      </c>
      <c r="H171" s="7" t="inlineStr"/>
      <c r="I171" s="7" t="inlineStr"/>
      <c r="J171" s="7" t="inlineStr"/>
      <c r="K171" s="7" t="inlineStr"/>
      <c r="L171" s="7" t="inlineStr"/>
      <c r="M171" s="7" t="n"/>
      <c r="N171" s="7" t="inlineStr"/>
      <c r="O171" s="7" t="inlineStr">
        <is>
          <t>yes</t>
        </is>
      </c>
      <c r="P171" s="7" t="inlineStr"/>
      <c r="Q171" s="7" t="inlineStr">
        <is>
          <t>the carbon next to the retained carbonyl carbon carries a halogen, O or N (a CF3 has its own row)</t>
        </is>
      </c>
      <c r="R171" s="7" t="inlineStr">
        <is>
          <t>α-halo carbonyls are more electrophilic at C=O and far more reactive in SN2; α-alkoxy / α-amino groups chelate Lewis acids (chelation-controlled addition)</t>
        </is>
      </c>
      <c r="S171" s="7" t="inlineStr">
        <is>
          <t>induction withdraws electron density; the heteroatom can bind the metal</t>
        </is>
      </c>
      <c r="T171" s="7" t="n"/>
      <c r="U171" s="10" t="n">
        <v>0.13</v>
      </c>
      <c r="V171" s="7" t="inlineStr">
        <is>
          <t>acyl substitution +0.81 (n=3726; winner had it 86 % vs 48 % at random) · other -0.77 (n=85; winner had it 13 % vs 41 % at random) · aryl halide +0.76 (n=78; winner had it 60 % vs 48 % at random) · alkyl substitution +0.49 (n=30; winner had it 60 % vs 46 % at random)</t>
        </is>
      </c>
      <c r="W171" s="7" t="n">
        <v>4562</v>
      </c>
      <c r="X171" s="7" t="n">
        <v>2274</v>
      </c>
      <c r="Y171" s="9" t="n">
        <v>0.7902</v>
      </c>
      <c r="Z171" s="9" t="n">
        <v>0.4745</v>
      </c>
      <c r="AA171" s="7" t="n"/>
      <c r="AB171" s="7" t="n"/>
      <c r="AC171" s="7" t="n"/>
      <c r="AD171" s="7" t="n"/>
      <c r="AE171" s="7" t="inlineStr">
        <is>
          <t>learned from the training patents (tools/int_train.py)</t>
        </is>
      </c>
      <c r="AF171" s="7" t="inlineStr">
        <is>
          <t>Clayden, Organic Chemistry</t>
        </is>
      </c>
    </row>
    <row r="172">
      <c r="A172" s="7" t="inlineStr">
        <is>
          <t>I171</t>
        </is>
      </c>
      <c r="B172" s="7" t="inlineStr">
        <is>
          <t>co-alpha-CF3</t>
        </is>
      </c>
      <c r="C172" s="7" t="inlineStr">
        <is>
          <t>CF3 on the carbonyl carbon</t>
        </is>
      </c>
      <c r="D172" s="7" t="inlineStr">
        <is>
          <t>carbonyl carbon</t>
        </is>
      </c>
      <c r="E172" s="7" t="inlineStr">
        <is>
          <t>electronic</t>
        </is>
      </c>
      <c r="F172" s="7" t="inlineStr">
        <is>
          <t>carbonyl C</t>
        </is>
      </c>
      <c r="G172" s="7" t="inlineStr">
        <is>
          <t>[C;X3;$(C=[O,N,S]);$(C-[C;!900*](F)(F)F)]</t>
        </is>
      </c>
      <c r="H172" s="7" t="inlineStr"/>
      <c r="I172" s="7" t="inlineStr"/>
      <c r="J172" s="7" t="inlineStr"/>
      <c r="K172" s="7" t="inlineStr"/>
      <c r="L172" s="7" t="inlineStr"/>
      <c r="M172" s="7" t="n"/>
      <c r="N172" s="7" t="inlineStr"/>
      <c r="O172" s="7" t="inlineStr">
        <is>
          <t>yes</t>
        </is>
      </c>
      <c r="P172" s="7" t="inlineStr"/>
      <c r="Q172" s="7" t="inlineStr">
        <is>
          <t>the retained carbonyl carbon is bonded to a CF3 it already had (trifluoromethyl ketone, trifluoroacetamide)</t>
        </is>
      </c>
      <c r="R172" s="7" t="inlineStr">
        <is>
          <t>much more electrophilic: hydrates readily and adds nucleophiles without catalysts; trifluoroacetamides are cleaved easily</t>
        </is>
      </c>
      <c r="S172" s="7" t="inlineStr">
        <is>
          <t>the CF3 withdraws strongly (Taft σ* +2.61)</t>
        </is>
      </c>
      <c r="T172" s="7" t="n"/>
      <c r="U172" s="10" t="n">
        <v>-0.21</v>
      </c>
      <c r="V172" s="7" t="inlineStr">
        <is>
          <t>acyl substitution -0.60 (n=32; winner had it 50 % vs 57 % at random) · carbonyl addition +0.06 (n=42; winner had it 36 % vs 48 % at random)</t>
        </is>
      </c>
      <c r="W172" s="7" t="n">
        <v>90</v>
      </c>
      <c r="X172" s="7" t="n">
        <v>74</v>
      </c>
      <c r="Y172" s="9" t="n">
        <v>0.4111</v>
      </c>
      <c r="Z172" s="9" t="n">
        <v>0.5114</v>
      </c>
      <c r="AA172" s="7" t="n"/>
      <c r="AB172" s="7" t="n"/>
      <c r="AC172" s="7" t="n"/>
      <c r="AD172" s="7" t="n"/>
      <c r="AE172" s="7" t="inlineStr">
        <is>
          <t>learned from the training patents (tools/int_train.py)</t>
        </is>
      </c>
      <c r="AF172" s="7" t="inlineStr">
        <is>
          <t>Hansch, Leo, Taft; Taft σ* values</t>
        </is>
      </c>
    </row>
    <row r="173">
      <c r="A173" s="7" t="inlineStr">
        <is>
          <t>I172</t>
        </is>
      </c>
      <c r="B173" s="7" t="inlineStr">
        <is>
          <t>co-two-hetero</t>
        </is>
      </c>
      <c r="C173" s="7" t="inlineStr">
        <is>
          <t>two heteroatoms on the carbonyl carbon (carbamate, urea, carbonate)</t>
        </is>
      </c>
      <c r="D173" s="7" t="inlineStr">
        <is>
          <t>carbonyl carbon</t>
        </is>
      </c>
      <c r="E173" s="7" t="inlineStr">
        <is>
          <t>electronic</t>
        </is>
      </c>
      <c r="F173" s="7" t="inlineStr">
        <is>
          <t>carbonyl C</t>
        </is>
      </c>
      <c r="G173" s="7" t="inlineStr">
        <is>
          <t>[C;X3;$(C=O);$(C(-[O,N])-[O,N])]</t>
        </is>
      </c>
      <c r="H173" s="7" t="inlineStr"/>
      <c r="I173" s="7" t="inlineStr"/>
      <c r="J173" s="7" t="inlineStr"/>
      <c r="K173" s="7" t="inlineStr"/>
      <c r="L173" s="7" t="inlineStr"/>
      <c r="M173" s="7" t="n"/>
      <c r="N173" s="7" t="inlineStr"/>
      <c r="O173" s="7" t="inlineStr">
        <is>
          <t>yes</t>
        </is>
      </c>
      <c r="P173" s="7" t="inlineStr"/>
      <c r="Q173" s="7" t="inlineStr">
        <is>
          <t>the retained carbonyl carbon carries two O/N substituents</t>
        </is>
      </c>
      <c r="R173" s="7" t="inlineStr">
        <is>
          <t>poorly electrophilic: carbamates and ureas survive conditions that cleave amides and esters</t>
        </is>
      </c>
      <c r="S173" s="7" t="inlineStr">
        <is>
          <t>two lone pairs donate into the C=O</t>
        </is>
      </c>
      <c r="T173" s="7" t="n"/>
      <c r="U173" s="10" t="n">
        <v>-1.85</v>
      </c>
      <c r="V173" s="7" t="inlineStr">
        <is>
          <t>acyl substitution -5.04 (n=5511; winner had it 0 % vs 50 % at random) · deprotection -2.36 (n=160; winner had it 5 % vs 49 % at random) · n nucleophile -0.33 (n=27; winner had it 70 % vs 54 % at random)</t>
        </is>
      </c>
      <c r="W173" s="7" t="n">
        <v>5749</v>
      </c>
      <c r="X173" s="7" t="n">
        <v>2460</v>
      </c>
      <c r="Y173" s="9" t="n">
        <v>0.008500000000000001</v>
      </c>
      <c r="Z173" s="9" t="n">
        <v>0.496</v>
      </c>
      <c r="AA173" s="7" t="n"/>
      <c r="AB173" s="7" t="n"/>
      <c r="AC173" s="7" t="n"/>
      <c r="AD173" s="7" t="n"/>
      <c r="AE173" s="7" t="inlineStr">
        <is>
          <t>learned from the training patents (tools/int_train.py)</t>
        </is>
      </c>
      <c r="AF173" s="7" t="inlineStr">
        <is>
          <t>Clayden, Organic Chemistry</t>
        </is>
      </c>
    </row>
    <row r="174">
      <c r="A174" s="7" t="inlineStr">
        <is>
          <t>I173</t>
        </is>
      </c>
      <c r="B174" s="7" t="inlineStr">
        <is>
          <t>co-heteroaryl</t>
        </is>
      </c>
      <c r="C174" s="7" t="inlineStr">
        <is>
          <t>azinyl on the carbonyl carbon</t>
        </is>
      </c>
      <c r="D174" s="7" t="inlineStr">
        <is>
          <t>carbonyl carbon</t>
        </is>
      </c>
      <c r="E174" s="7" t="inlineStr">
        <is>
          <t>electronic</t>
        </is>
      </c>
      <c r="F174" s="7" t="inlineStr">
        <is>
          <t>carbonyl C</t>
        </is>
      </c>
      <c r="G174" s="7" t="inlineStr">
        <is>
          <t>[C;X3;$(C=[O,N,S]);$(C-[c;$(c:[nX2]);!900*])]</t>
        </is>
      </c>
      <c r="H174" s="7" t="inlineStr"/>
      <c r="I174" s="7" t="inlineStr"/>
      <c r="J174" s="7" t="inlineStr"/>
      <c r="K174" s="7" t="inlineStr"/>
      <c r="L174" s="7" t="inlineStr"/>
      <c r="M174" s="7" t="n"/>
      <c r="N174" s="7" t="inlineStr"/>
      <c r="O174" s="7" t="inlineStr">
        <is>
          <t>yes</t>
        </is>
      </c>
      <c r="P174" s="7" t="inlineStr"/>
      <c r="Q174" s="7" t="inlineStr">
        <is>
          <t>the retained carbonyl carbon is bonded to a ring carbon next to a pyridine-type ring N (picolinoyl-type; pyrrole-type N–H / N–R do not count)</t>
        </is>
      </c>
      <c r="R174" s="7" t="inlineStr">
        <is>
          <t>more electrophilic than a phenyl carbonyl; the ring N chelates metals and directs</t>
        </is>
      </c>
      <c r="S174" s="7" t="inlineStr">
        <is>
          <t>the azine is electron-poor and can bind</t>
        </is>
      </c>
      <c r="T174" s="7" t="n"/>
      <c r="U174" s="10" t="n">
        <v>0.33</v>
      </c>
      <c r="V174" s="7" t="inlineStr">
        <is>
          <t>aryl halide +1.29 (n=27; winner had it 74 % vs 48 % at random) · other +1.24 (n=91; winner had it 96 % vs 41 % at random) · acyl substitution +0.67 (n=471; winner had it 90 % vs 50 % at random) · deprotection -0.09 (n=82; winner had it 71 % vs 42 % at random)</t>
        </is>
      </c>
      <c r="W174" s="7" t="n">
        <v>789</v>
      </c>
      <c r="X174" s="7" t="n">
        <v>440</v>
      </c>
      <c r="Y174" s="9" t="n">
        <v>0.8378</v>
      </c>
      <c r="Z174" s="9" t="n">
        <v>0.4754</v>
      </c>
      <c r="AA174" s="7" t="n"/>
      <c r="AB174" s="7" t="n"/>
      <c r="AC174" s="7" t="n"/>
      <c r="AD174" s="7" t="n"/>
      <c r="AE174" s="7" t="inlineStr">
        <is>
          <t>learned from the training patents (tools/int_train.py)</t>
        </is>
      </c>
      <c r="AF174" s="7" t="inlineStr">
        <is>
          <t>Joule &amp; Mills, Heterocyclic Chemistry</t>
        </is>
      </c>
    </row>
    <row r="175">
      <c r="A175" s="7" t="inlineStr">
        <is>
          <t>I174</t>
        </is>
      </c>
      <c r="B175" s="7" t="inlineStr">
        <is>
          <t>co-ring4</t>
        </is>
      </c>
      <c r="C175" s="7" t="inlineStr">
        <is>
          <t>carbonyl in a 4-membered ring</t>
        </is>
      </c>
      <c r="D175" s="7" t="inlineStr">
        <is>
          <t>carbonyl carbon</t>
        </is>
      </c>
      <c r="E175" s="7" t="inlineStr">
        <is>
          <t>geometry</t>
        </is>
      </c>
      <c r="F175" s="7" t="inlineStr">
        <is>
          <t>carbonyl C</t>
        </is>
      </c>
      <c r="G175" s="7" t="inlineStr">
        <is>
          <t>[C;X3;$(C=[O,N,S]);r4]</t>
        </is>
      </c>
      <c r="H175" s="7" t="inlineStr"/>
      <c r="I175" s="7" t="inlineStr"/>
      <c r="J175" s="7" t="inlineStr"/>
      <c r="K175" s="7" t="inlineStr"/>
      <c r="L175" s="7" t="inlineStr"/>
      <c r="M175" s="7" t="n"/>
      <c r="N175" s="7" t="inlineStr"/>
      <c r="O175" s="7" t="inlineStr">
        <is>
          <t>yes</t>
        </is>
      </c>
      <c r="P175" s="7" t="inlineStr"/>
      <c r="Q175" s="7" t="inlineStr">
        <is>
          <t>the retained carbonyl carbon is in a ring of 4 atoms (lactam, lactone, cyclic ketone)</t>
        </is>
      </c>
      <c r="R175" s="7" t="inlineStr">
        <is>
          <t>strained ring carbonyl: β-lactams and cyclobutanones are very reactive to nucleophiles</t>
        </is>
      </c>
      <c r="S175" s="7" t="inlineStr">
        <is>
          <t>ring size sets strain and the face that is attacked</t>
        </is>
      </c>
      <c r="T175" s="7" t="n"/>
      <c r="U175" s="10" t="n">
        <v>-0.65</v>
      </c>
      <c r="V175" s="7" t="inlineStr"/>
      <c r="W175" s="7" t="n">
        <v>18</v>
      </c>
      <c r="X175" s="7" t="n">
        <v>14</v>
      </c>
      <c r="Y175" s="9" t="n">
        <v>0.2778</v>
      </c>
      <c r="Z175" s="9" t="n">
        <v>0.4343</v>
      </c>
      <c r="AA175" s="7" t="n"/>
      <c r="AB175" s="7" t="n"/>
      <c r="AC175" s="7" t="n"/>
      <c r="AD175" s="7" t="n"/>
      <c r="AE175" s="7" t="inlineStr">
        <is>
          <t>too few contests in the recorded reactions to learn a weight (the weight is shrunk to about zero): the textbook effect is advisory</t>
        </is>
      </c>
      <c r="AF175" s="7" t="inlineStr">
        <is>
          <t>Clayden, Organic Chemistry</t>
        </is>
      </c>
    </row>
    <row r="176">
      <c r="A176" s="7" t="inlineStr">
        <is>
          <t>I175</t>
        </is>
      </c>
      <c r="B176" s="7" t="inlineStr">
        <is>
          <t>co-ring5</t>
        </is>
      </c>
      <c r="C176" s="7" t="inlineStr">
        <is>
          <t>carbonyl in a 5-membered ring</t>
        </is>
      </c>
      <c r="D176" s="7" t="inlineStr">
        <is>
          <t>carbonyl carbon</t>
        </is>
      </c>
      <c r="E176" s="7" t="inlineStr">
        <is>
          <t>geometry</t>
        </is>
      </c>
      <c r="F176" s="7" t="inlineStr">
        <is>
          <t>carbonyl C</t>
        </is>
      </c>
      <c r="G176" s="7" t="inlineStr">
        <is>
          <t>[C;X3;$(C=[O,N,S]);r5]</t>
        </is>
      </c>
      <c r="H176" s="7" t="inlineStr"/>
      <c r="I176" s="7" t="inlineStr"/>
      <c r="J176" s="7" t="inlineStr"/>
      <c r="K176" s="7" t="inlineStr"/>
      <c r="L176" s="7" t="inlineStr"/>
      <c r="M176" s="7" t="n"/>
      <c r="N176" s="7" t="inlineStr"/>
      <c r="O176" s="7" t="inlineStr">
        <is>
          <t>yes</t>
        </is>
      </c>
      <c r="P176" s="7" t="inlineStr"/>
      <c r="Q176" s="7" t="inlineStr">
        <is>
          <t>the retained carbonyl carbon is in a ring of 5 atoms (lactam, lactone, cyclic ketone)</t>
        </is>
      </c>
      <c r="R176" s="7" t="inlineStr">
        <is>
          <t>γ-lactones and γ-lactams are the least strained and the most stable lactones and lactams; cyclopentanone adds nucleophiles more slowly than cyclohexanone (adding to the C=O increases eclipsing in the five-membered ring)</t>
        </is>
      </c>
      <c r="S176" s="7" t="inlineStr">
        <is>
          <t>ring size sets strain and the face that is attacked</t>
        </is>
      </c>
      <c r="T176" s="7" t="n"/>
      <c r="U176" s="10" t="n">
        <v>1.06</v>
      </c>
      <c r="V176" s="7" t="inlineStr">
        <is>
          <t>n nucleophile +2.19 (n=32; winner had it 94 % vs 50 % at random) · acyl substitution +1.05 (n=46; winner had it 54 % vs 42 % at random) · deprotection +0.82 (n=91; winner had it 56 % vs 42 % at random) · aryl halide +0.59 (n=51; winner had it 67 % vs 30 % at random) · carbonyl addition +0.53 (n=479; winner had it 77 % vs 32 % at random)</t>
        </is>
      </c>
      <c r="W176" s="7" t="n">
        <v>743</v>
      </c>
      <c r="X176" s="7" t="n">
        <v>305</v>
      </c>
      <c r="Y176" s="9" t="n">
        <v>0.7295</v>
      </c>
      <c r="Z176" s="9" t="n">
        <v>0.3474</v>
      </c>
      <c r="AA176" s="7" t="n"/>
      <c r="AB176" s="7" t="n"/>
      <c r="AC176" s="7" t="n"/>
      <c r="AD176" s="7" t="n"/>
      <c r="AE176" s="7" t="inlineStr">
        <is>
          <t>learned from the training patents (tools/int_train.py)</t>
        </is>
      </c>
      <c r="AF176" s="7" t="inlineStr">
        <is>
          <t>Clayden, Organic Chemistry</t>
        </is>
      </c>
    </row>
    <row r="177">
      <c r="A177" s="7" t="inlineStr">
        <is>
          <t>I176</t>
        </is>
      </c>
      <c r="B177" s="7" t="inlineStr">
        <is>
          <t>co-ring6</t>
        </is>
      </c>
      <c r="C177" s="7" t="inlineStr">
        <is>
          <t>carbonyl in a 6-membered ring</t>
        </is>
      </c>
      <c r="D177" s="7" t="inlineStr">
        <is>
          <t>carbonyl carbon</t>
        </is>
      </c>
      <c r="E177" s="7" t="inlineStr">
        <is>
          <t>geometry</t>
        </is>
      </c>
      <c r="F177" s="7" t="inlineStr">
        <is>
          <t>carbonyl C</t>
        </is>
      </c>
      <c r="G177" s="7" t="inlineStr">
        <is>
          <t>[C;X3;$(C=[O,N,S]);r6]</t>
        </is>
      </c>
      <c r="H177" s="7" t="inlineStr"/>
      <c r="I177" s="7" t="inlineStr"/>
      <c r="J177" s="7" t="inlineStr"/>
      <c r="K177" s="7" t="inlineStr"/>
      <c r="L177" s="7" t="inlineStr"/>
      <c r="M177" s="7" t="n"/>
      <c r="N177" s="7" t="inlineStr"/>
      <c r="O177" s="7" t="inlineStr">
        <is>
          <t>yes</t>
        </is>
      </c>
      <c r="P177" s="7" t="inlineStr"/>
      <c r="Q177" s="7" t="inlineStr">
        <is>
          <t>the retained carbonyl carbon is in a ring of 6 atoms (lactam, lactone, cyclic ketone)</t>
        </is>
      </c>
      <c r="R177" s="7" t="inlineStr">
        <is>
          <t>δ-valerolactone is strained and opens faster than γ-butyrolactone; cyclohexanone adds nucleophiles faster than cyclopentanone and acyclic ketones (the sp2 → sp3 change relieves torsional strain); axial or equatorial attack decides the diastereomer</t>
        </is>
      </c>
      <c r="S177" s="7" t="inlineStr">
        <is>
          <t>ring size sets strain and the face that is attacked</t>
        </is>
      </c>
      <c r="T177" s="7" t="n"/>
      <c r="U177" s="10" t="n">
        <v>0.61</v>
      </c>
      <c r="V177" s="7" t="inlineStr">
        <is>
          <t>deprotection +1.50 (n=156; winner had it 70 % vs 48 % at random) · acyl substitution +0.74 (n=90; winner had it 53 % vs 44 % at random)</t>
        </is>
      </c>
      <c r="W177" s="7" t="n">
        <v>614</v>
      </c>
      <c r="X177" s="7" t="n">
        <v>385</v>
      </c>
      <c r="Y177" s="9" t="n">
        <v>0.5993000000000001</v>
      </c>
      <c r="Z177" s="9" t="n">
        <v>0.4572</v>
      </c>
      <c r="AA177" s="7" t="n"/>
      <c r="AB177" s="7" t="n"/>
      <c r="AC177" s="7" t="n"/>
      <c r="AD177" s="7" t="n"/>
      <c r="AE177" s="7" t="inlineStr">
        <is>
          <t>learned from the training patents (tools/int_train.py)</t>
        </is>
      </c>
      <c r="AF177" s="7" t="inlineStr">
        <is>
          <t>Clayden, Organic Chemistry</t>
        </is>
      </c>
    </row>
    <row r="178">
      <c r="A178" s="7" t="inlineStr">
        <is>
          <t>I177</t>
        </is>
      </c>
      <c r="B178" s="7" t="inlineStr">
        <is>
          <t>n-aryl</t>
        </is>
      </c>
      <c r="C178" s="7" t="inlineStr">
        <is>
          <t>nitrogen on an aromatic ring</t>
        </is>
      </c>
      <c r="D178" s="7" t="inlineStr">
        <is>
          <t>nitrogen</t>
        </is>
      </c>
      <c r="E178" s="7" t="inlineStr">
        <is>
          <t>electronic</t>
        </is>
      </c>
      <c r="F178" s="7" t="inlineStr">
        <is>
          <t>nitrogen</t>
        </is>
      </c>
      <c r="G178" s="7" t="inlineStr">
        <is>
          <t>[N;$(N-[c;!900*])]</t>
        </is>
      </c>
      <c r="H178" s="7" t="inlineStr"/>
      <c r="I178" s="7" t="inlineStr"/>
      <c r="J178" s="7" t="inlineStr"/>
      <c r="K178" s="7" t="inlineStr"/>
      <c r="L178" s="7" t="inlineStr"/>
      <c r="M178" s="7" t="n"/>
      <c r="N178" s="7" t="inlineStr"/>
      <c r="O178" s="7" t="inlineStr">
        <is>
          <t>yes</t>
        </is>
      </c>
      <c r="P178" s="7" t="inlineStr"/>
      <c r="Q178" s="7" t="inlineStr">
        <is>
          <t>the reacting nitrogen was bonded to an aromatic carbon (aniline, N-aryl amide)</t>
        </is>
      </c>
      <c r="R178" s="7" t="inlineStr">
        <is>
          <t>a weaker nucleophile and base than an alkylamine (the lone pair is delocalised into the ring: aniline pKaH 4.6 against 10.6), but a stronger acid; in acylation it reacts after the alkylamine and before an alcohol</t>
        </is>
      </c>
      <c r="S178" s="7" t="inlineStr">
        <is>
          <t>conjugation of the lone pair with the ring</t>
        </is>
      </c>
      <c r="T178" s="7" t="n"/>
      <c r="U178" s="10" t="n">
        <v>0.04</v>
      </c>
      <c r="V178" s="7" t="inlineStr">
        <is>
          <t>deprotection +0.73 (n=248; winner had it 33 % vs 51 % at random) · n nucleophile -0.52 (n=628; winner had it 22 % vs 49 % at random) · carbonyl addition +0.36 (n=1389; winner had it 15 % vs 49 % at random) · acyl substitution +0.30 (n=5749; winner had it 27 % vs 49 % at random) · other -0.26 (n=30; winner had it 20 % vs 48 % at random)</t>
        </is>
      </c>
      <c r="W178" s="7" t="n">
        <v>11044</v>
      </c>
      <c r="X178" s="7" t="n">
        <v>3027</v>
      </c>
      <c r="Y178" s="9" t="n">
        <v>0.2616</v>
      </c>
      <c r="Z178" s="9" t="n">
        <v>0.4964</v>
      </c>
      <c r="AA178" s="7" t="n"/>
      <c r="AB178" s="7" t="n"/>
      <c r="AC178" s="7" t="n"/>
      <c r="AD178" s="7" t="n"/>
      <c r="AE178" s="7" t="inlineStr">
        <is>
          <t>learned from the training patents (tools/int_train.py)</t>
        </is>
      </c>
      <c r="AF178" s="7" t="inlineStr">
        <is>
          <t>Clayden, Organic Chemistry; Reactivity_Order: amine &gt; aniline &gt; alcohol &gt; phenol for acylation</t>
        </is>
      </c>
    </row>
    <row r="179">
      <c r="A179" s="7" t="inlineStr">
        <is>
          <t>I178</t>
        </is>
      </c>
      <c r="B179" s="7" t="inlineStr">
        <is>
          <t>n-heteroaryl</t>
        </is>
      </c>
      <c r="C179" s="7" t="inlineStr">
        <is>
          <t>nitrogen on an azine carbon</t>
        </is>
      </c>
      <c r="D179" s="7" t="inlineStr">
        <is>
          <t>nitrogen</t>
        </is>
      </c>
      <c r="E179" s="7" t="inlineStr">
        <is>
          <t>electronic</t>
        </is>
      </c>
      <c r="F179" s="7" t="inlineStr">
        <is>
          <t>nitrogen</t>
        </is>
      </c>
      <c r="G179" s="7" t="inlineStr">
        <is>
          <t>[N;$(N-[c;$(c:[nX2]);!900*])]</t>
        </is>
      </c>
      <c r="H179" s="7" t="inlineStr"/>
      <c r="I179" s="7" t="inlineStr"/>
      <c r="J179" s="7" t="inlineStr"/>
      <c r="K179" s="7" t="inlineStr"/>
      <c r="L179" s="7" t="inlineStr"/>
      <c r="M179" s="7" t="n"/>
      <c r="N179" s="7" t="inlineStr"/>
      <c r="O179" s="7" t="inlineStr">
        <is>
          <t>yes</t>
        </is>
      </c>
      <c r="P179" s="7" t="inlineStr"/>
      <c r="Q179" s="7" t="inlineStr">
        <is>
          <t>the reacting nitrogen was bonded to a ring carbon next to a pyridine-type ring N (2-aminopyridine, 2-aminopyrimidine, 2-aminothiazole)</t>
        </is>
      </c>
      <c r="R179" s="7" t="inlineStr">
        <is>
          <t>a much weaker nucleophile at the exocyclic N (amidine-like delocalisation); alkylation tends to go on the ring N instead</t>
        </is>
      </c>
      <c r="S179" s="7" t="inlineStr">
        <is>
          <t>the lone pair is shared with the C=N of the ring</t>
        </is>
      </c>
      <c r="T179" s="7" t="n"/>
      <c r="U179" s="10" t="n">
        <v>-1.89</v>
      </c>
      <c r="V179" s="7" t="inlineStr">
        <is>
          <t>carbonyl addition -3.33 (n=679; winner had it 1 % vs 46 % at random) · aryl halide -2.44 (n=573; winner had it 6 % vs 50 % at random) · acyl substitution -2.11 (n=2973; winner had it 10 % vs 49 % at random) · alkyl substitution -2.11 (n=557; winner had it 6 % vs 49 % at random) · unsaturated -1.90 (n=26; winner had it 4 % vs 49 % at random) · n nucleophile -1.73 (n=328; winner had it 8 % vs 48 % at random)</t>
        </is>
      </c>
      <c r="W179" s="7" t="n">
        <v>5283</v>
      </c>
      <c r="X179" s="7" t="n">
        <v>1379</v>
      </c>
      <c r="Y179" s="9" t="n">
        <v>0.081</v>
      </c>
      <c r="Z179" s="9" t="n">
        <v>0.4896</v>
      </c>
      <c r="AA179" s="7" t="n"/>
      <c r="AB179" s="7" t="n"/>
      <c r="AC179" s="7" t="n"/>
      <c r="AD179" s="7" t="n"/>
      <c r="AE179" s="7" t="inlineStr">
        <is>
          <t>learned from the training patents (tools/int_train.py)</t>
        </is>
      </c>
      <c r="AF179" s="7" t="inlineStr">
        <is>
          <t>Joule &amp; Mills, Heterocyclic Chemistry</t>
        </is>
      </c>
    </row>
    <row r="180">
      <c r="A180" s="7" t="inlineStr">
        <is>
          <t>I179</t>
        </is>
      </c>
      <c r="B180" s="7" t="inlineStr">
        <is>
          <t>n-alpha-branched</t>
        </is>
      </c>
      <c r="C180" s="7" t="inlineStr">
        <is>
          <t>nitrogen on a branched carbon</t>
        </is>
      </c>
      <c r="D180" s="7" t="inlineStr">
        <is>
          <t>nitrogen</t>
        </is>
      </c>
      <c r="E180" s="7" t="inlineStr">
        <is>
          <t>hindrance</t>
        </is>
      </c>
      <c r="F180" s="7" t="inlineStr">
        <is>
          <t>nitrogen</t>
        </is>
      </c>
      <c r="G180" s="7" t="inlineStr">
        <is>
          <t>[N;$(N-[CX4;D3,D4;!900*])]</t>
        </is>
      </c>
      <c r="H180" s="7" t="inlineStr"/>
      <c r="I180" s="7" t="inlineStr"/>
      <c r="J180" s="7" t="inlineStr"/>
      <c r="K180" s="7" t="inlineStr"/>
      <c r="L180" s="7" t="inlineStr"/>
      <c r="M180" s="7" t="n"/>
      <c r="N180" s="7" t="inlineStr"/>
      <c r="O180" s="7" t="inlineStr">
        <is>
          <t>yes</t>
        </is>
      </c>
      <c r="P180" s="7" t="inlineStr"/>
      <c r="Q180" s="7" t="inlineStr">
        <is>
          <t>the reacting nitrogen was bonded to a CH or quaternary carbon (isopropyl, tert-butyl)</t>
        </is>
      </c>
      <c r="R180" s="7" t="inlineStr">
        <is>
          <t>slower acylation, alkylation and coupling; tert-alkyl amines and alcohols are poor nucleophiles; the less hindered nucleophile of the molecule reacts first</t>
        </is>
      </c>
      <c r="S180" s="7" t="inlineStr">
        <is>
          <t>the branch crowds the lone pair</t>
        </is>
      </c>
      <c r="T180" s="7" t="n"/>
      <c r="U180" s="10" t="n">
        <v>-0.55</v>
      </c>
      <c r="V180" s="7" t="inlineStr">
        <is>
          <t>aryl halide -1.92 (n=1860; winner had it 14 % vs 50 % at random) · deprotection +1.49 (n=595; winner had it 76 % vs 50 % at random) · alkyl substitution -1.07 (n=1522; winner had it 17 % vs 49 % at random) · n nucleophile -0.81 (n=587; winner had it 40 % vs 49 % at random) · unsaturated -0.68 (n=43; winner had it 9 % vs 49 % at random) · carbonyl addition -0.67 (n=1114; winner had it 23 % vs 45 % at random)</t>
        </is>
      </c>
      <c r="W180" s="7" t="n">
        <v>10809</v>
      </c>
      <c r="X180" s="7" t="n">
        <v>3369</v>
      </c>
      <c r="Y180" s="9" t="n">
        <v>0.3696</v>
      </c>
      <c r="Z180" s="9" t="n">
        <v>0.4833</v>
      </c>
      <c r="AA180" s="7" t="n"/>
      <c r="AB180" s="7" t="n"/>
      <c r="AC180" s="7" t="n"/>
      <c r="AD180" s="7" t="n"/>
      <c r="AE180" s="7" t="inlineStr">
        <is>
          <t>learned from the training patents (tools/int_train.py)</t>
        </is>
      </c>
      <c r="AF180" s="7" t="inlineStr">
        <is>
          <t>Taft steric constants Es: i-Pr −0.47, t-Bu −1.54</t>
        </is>
      </c>
    </row>
    <row r="181">
      <c r="A181" s="7" t="inlineStr">
        <is>
          <t>I180</t>
        </is>
      </c>
      <c r="B181" s="7" t="inlineStr">
        <is>
          <t>n-benzylic</t>
        </is>
      </c>
      <c r="C181" s="7" t="inlineStr">
        <is>
          <t>nitrogen on a benzylic carbon</t>
        </is>
      </c>
      <c r="D181" s="7" t="inlineStr">
        <is>
          <t>nitrogen</t>
        </is>
      </c>
      <c r="E181" s="7" t="inlineStr">
        <is>
          <t>electronic</t>
        </is>
      </c>
      <c r="F181" s="7" t="inlineStr">
        <is>
          <t>nitrogen</t>
        </is>
      </c>
      <c r="G181" s="7" t="inlineStr">
        <is>
          <t>[N;$(N-[CX4;$(C-c);!900*])]</t>
        </is>
      </c>
      <c r="H181" s="7" t="inlineStr"/>
      <c r="I181" s="7" t="inlineStr"/>
      <c r="J181" s="7" t="inlineStr"/>
      <c r="K181" s="7" t="inlineStr"/>
      <c r="L181" s="7" t="inlineStr"/>
      <c r="M181" s="7" t="n"/>
      <c r="N181" s="7" t="inlineStr"/>
      <c r="O181" s="7" t="inlineStr">
        <is>
          <t>yes</t>
        </is>
      </c>
      <c r="P181" s="7" t="inlineStr"/>
      <c r="Q181" s="7" t="inlineStr">
        <is>
          <t>the reacting nitrogen was bonded to a CH2 or CH attached to an aromatic ring</t>
        </is>
      </c>
      <c r="R181" s="7" t="inlineStr">
        <is>
          <t>an ordinary nucleophile; the benzylic C–N bond is cleaved by hydrogenolysis (protecting group) and by acid for electron-rich rings</t>
        </is>
      </c>
      <c r="S181" s="7" t="inlineStr">
        <is>
          <t>the ring stabilises the benzylic cation and radical</t>
        </is>
      </c>
      <c r="T181" s="7" t="n"/>
      <c r="U181" s="10" t="n">
        <v>0.64</v>
      </c>
      <c r="V181" s="7" t="inlineStr">
        <is>
          <t>deprotection +2.02 (n=431; winner had it 83 % vs 50 % at random) · acyl substitution +1.04 (n=2177; winner had it 65 % vs 48 % at random) · unsaturated +0.82 (n=25; winner had it 76 % vs 48 % at random) · aryl halide +0.80 (n=454; winner had it 59 % vs 49 % at random) · carbonyl addition +0.73 (n=409; winner had it 59 % vs 46 % at random) · alkyl substitution +0.36 (n=489; winner had it 39 % vs 48 % at random)</t>
        </is>
      </c>
      <c r="W181" s="7" t="n">
        <v>4264</v>
      </c>
      <c r="X181" s="7" t="n">
        <v>1401</v>
      </c>
      <c r="Y181" s="9" t="n">
        <v>0.6227</v>
      </c>
      <c r="Z181" s="9" t="n">
        <v>0.4809</v>
      </c>
      <c r="AA181" s="7" t="n"/>
      <c r="AB181" s="7" t="n"/>
      <c r="AC181" s="7" t="n"/>
      <c r="AD181" s="7" t="n"/>
      <c r="AE181" s="7" t="inlineStr">
        <is>
          <t>learned from the training patents (tools/int_train.py)</t>
        </is>
      </c>
      <c r="AF181" s="7" t="inlineStr">
        <is>
          <t>Greene, Protective Groups in Organic Synthesis</t>
        </is>
      </c>
    </row>
    <row r="182">
      <c r="A182" s="7" t="inlineStr">
        <is>
          <t>I181</t>
        </is>
      </c>
      <c r="B182" s="7" t="inlineStr">
        <is>
          <t>n-alpha-ewg</t>
        </is>
      </c>
      <c r="C182" s="7" t="inlineStr">
        <is>
          <t>nitrogen next to an electron-withdrawing carbon</t>
        </is>
      </c>
      <c r="D182" s="7" t="inlineStr">
        <is>
          <t>nitrogen</t>
        </is>
      </c>
      <c r="E182" s="7" t="inlineStr">
        <is>
          <t>electronic</t>
        </is>
      </c>
      <c r="F182" s="7" t="inlineStr">
        <is>
          <t>nitrogen</t>
        </is>
      </c>
      <c r="G182" s="7" t="inlineStr">
        <is>
          <t>[N;$(N-[CX4;$(C-[$(C(F)(F)F),$(C#N),$(C=O)]);!900*])]</t>
        </is>
      </c>
      <c r="H182" s="7" t="inlineStr"/>
      <c r="I182" s="7" t="inlineStr"/>
      <c r="J182" s="7" t="inlineStr"/>
      <c r="K182" s="7" t="inlineStr"/>
      <c r="L182" s="7" t="inlineStr"/>
      <c r="M182" s="7" t="n"/>
      <c r="N182" s="7" t="inlineStr"/>
      <c r="O182" s="7" t="inlineStr">
        <is>
          <t>yes</t>
        </is>
      </c>
      <c r="P182" s="7" t="inlineStr"/>
      <c r="Q182" s="7" t="inlineStr">
        <is>
          <t>the reacting nitrogen was bonded to a carbon that carries CF3, CN or C=O</t>
        </is>
      </c>
      <c r="R182" s="7" t="inlineStr">
        <is>
          <t>weaker nucleophile and base (2,2,2-trifluoroethylamine pKaH 5.7 against 10.7 for ethylamine) and stronger acid (CF3CH2OH pKa 12.4 against 15.9 for ethanol)</t>
        </is>
      </c>
      <c r="S182" s="7" t="inlineStr">
        <is>
          <t>the withdrawing group pulls on the lone pair</t>
        </is>
      </c>
      <c r="T182" s="7" t="n"/>
      <c r="U182" s="10" t="n">
        <v>0.17</v>
      </c>
      <c r="V182" s="7" t="inlineStr">
        <is>
          <t>alkyl substitution -1.33 (n=769; winner had it 25 % vs 48 % at random) · deprotection +0.90 (n=256; winner had it 79 % vs 49 % at random) · carbonyl addition +0.70 (n=451; winner had it 35 % vs 40 % at random)</t>
        </is>
      </c>
      <c r="W182" s="7" t="n">
        <v>4624</v>
      </c>
      <c r="X182" s="7" t="n">
        <v>1656</v>
      </c>
      <c r="Y182" s="9" t="n">
        <v>0.5878</v>
      </c>
      <c r="Z182" s="9" t="n">
        <v>0.4696</v>
      </c>
      <c r="AA182" s="7" t="n"/>
      <c r="AB182" s="7" t="n"/>
      <c r="AC182" s="7" t="n"/>
      <c r="AD182" s="7" t="n"/>
      <c r="AE182" s="7" t="inlineStr">
        <is>
          <t>learned from the training patents (tools/int_train.py)</t>
        </is>
      </c>
      <c r="AF182" s="7" t="inlineStr">
        <is>
          <t>Taft σ*; Evans pKa table</t>
        </is>
      </c>
    </row>
    <row r="183">
      <c r="A183" s="7" t="inlineStr">
        <is>
          <t>I182</t>
        </is>
      </c>
      <c r="B183" s="7" t="inlineStr">
        <is>
          <t>n-in-ring</t>
        </is>
      </c>
      <c r="C183" s="7" t="inlineStr">
        <is>
          <t>nitrogen in a ring</t>
        </is>
      </c>
      <c r="D183" s="7" t="inlineStr">
        <is>
          <t>nitrogen</t>
        </is>
      </c>
      <c r="E183" s="7" t="inlineStr">
        <is>
          <t>steric</t>
        </is>
      </c>
      <c r="F183" s="7" t="inlineStr">
        <is>
          <t>nitrogen</t>
        </is>
      </c>
      <c r="G183" s="7" t="inlineStr">
        <is>
          <t>[N;R]</t>
        </is>
      </c>
      <c r="H183" s="7" t="inlineStr"/>
      <c r="I183" s="7" t="inlineStr"/>
      <c r="J183" s="7" t="inlineStr"/>
      <c r="K183" s="7" t="inlineStr"/>
      <c r="L183" s="7" t="inlineStr"/>
      <c r="M183" s="7" t="n"/>
      <c r="N183" s="7" t="inlineStr"/>
      <c r="O183" s="7" t="inlineStr">
        <is>
          <t>yes</t>
        </is>
      </c>
      <c r="P183" s="7" t="inlineStr"/>
      <c r="Q183" s="7" t="inlineStr">
        <is>
          <t>the reacting nitrogen is part of a ring (piperidine, pyrrolidine, morpholine, lactam)</t>
        </is>
      </c>
      <c r="R183" s="7" t="inlineStr">
        <is>
          <t>ring amines are more nucleophilic than acyclic ones of the same basicity (the alkyl groups are tied back)</t>
        </is>
      </c>
      <c r="S183" s="7" t="inlineStr">
        <is>
          <t>the substituents are held away from the lone pair</t>
        </is>
      </c>
      <c r="T183" s="7" t="n"/>
      <c r="U183" s="10" t="n">
        <v>2.55</v>
      </c>
      <c r="V183" s="7" t="inlineStr">
        <is>
          <t>carbonyl addition +3.49 (n=1682; winner had it 98 % vs 45 % at random) · alkyl substitution +3.24 (n=2141; winner had it 98 % vs 48 % at random) · deprotection +3.19 (n=383; winner had it 94 % vs 47 % at random) · aryl halide +3.00 (n=1965; winner had it 99 % vs 49 % at random) · acyl substitution +2.96 (n=5584; winner had it 97 % vs 48 % at random) · n nucleophile +2.82 (n=695; winner had it 95 % vs 46 % at random)</t>
        </is>
      </c>
      <c r="W183" s="7" t="n">
        <v>12569</v>
      </c>
      <c r="X183" s="7" t="n">
        <v>3375</v>
      </c>
      <c r="Y183" s="9" t="n">
        <v>0.9742</v>
      </c>
      <c r="Z183" s="9" t="n">
        <v>0.4765</v>
      </c>
      <c r="AA183" s="7" t="n"/>
      <c r="AB183" s="7" t="n"/>
      <c r="AC183" s="7" t="n"/>
      <c r="AD183" s="7" t="n"/>
      <c r="AE183" s="7" t="inlineStr">
        <is>
          <t>learned from the training patents (tools/int_train.py)</t>
        </is>
      </c>
      <c r="AF183" s="7" t="inlineStr">
        <is>
          <t>Clayden, Organic Chemistry</t>
        </is>
      </c>
    </row>
    <row r="184">
      <c r="A184" s="7" t="inlineStr">
        <is>
          <t>I183</t>
        </is>
      </c>
      <c r="B184" s="7" t="inlineStr">
        <is>
          <t>n-ring-small</t>
        </is>
      </c>
      <c r="C184" s="7" t="inlineStr">
        <is>
          <t>nitrogen in a three- or four-membered ring</t>
        </is>
      </c>
      <c r="D184" s="7" t="inlineStr">
        <is>
          <t>nitrogen</t>
        </is>
      </c>
      <c r="E184" s="7" t="inlineStr">
        <is>
          <t>geometry</t>
        </is>
      </c>
      <c r="F184" s="7" t="inlineStr">
        <is>
          <t>nitrogen</t>
        </is>
      </c>
      <c r="G184" s="7" t="inlineStr">
        <is>
          <t>[N;r3,r4]</t>
        </is>
      </c>
      <c r="H184" s="7" t="inlineStr"/>
      <c r="I184" s="7" t="inlineStr"/>
      <c r="J184" s="7" t="inlineStr"/>
      <c r="K184" s="7" t="inlineStr"/>
      <c r="L184" s="7" t="inlineStr"/>
      <c r="M184" s="7" t="n"/>
      <c r="N184" s="7" t="inlineStr"/>
      <c r="O184" s="7" t="inlineStr">
        <is>
          <t>yes</t>
        </is>
      </c>
      <c r="P184" s="7" t="inlineStr"/>
      <c r="Q184" s="7" t="inlineStr">
        <is>
          <t>the reacting nitrogen is in an epoxide / aziridine / oxetane / azetidine ring in the product</t>
        </is>
      </c>
      <c r="R184" s="7" t="inlineStr">
        <is>
          <t>a strained ring was formed or kept: forming it needs a reactive pair (intramolecular SN2, peracid, nitrene); the ring opens easily under acid or with nucleophiles</t>
        </is>
      </c>
      <c r="S184" s="7" t="inlineStr">
        <is>
          <t>ring strain of about 26 kcal/mol</t>
        </is>
      </c>
      <c r="T184" s="7" t="n"/>
      <c r="U184" s="10" t="n">
        <v>0.82</v>
      </c>
      <c r="V184" s="7" t="inlineStr">
        <is>
          <t>acyl substitution +1.67 (n=192; winner had it 98 % vs 47 % at random) · aryl halide +0.97 (n=98; winner had it 100 % vs 50 % at random) · carbonyl addition +0.91 (n=270; winner had it 100 % vs 35 % at random) · n nucleophile +0.83 (n=39; winner had it 97 % vs 49 % at random) · alkyl substitution +0.54 (n=34; winner had it 88 % vs 48 % at random)</t>
        </is>
      </c>
      <c r="W184" s="7" t="n">
        <v>658</v>
      </c>
      <c r="X184" s="7" t="n">
        <v>245</v>
      </c>
      <c r="Y184" s="9" t="n">
        <v>0.9818</v>
      </c>
      <c r="Z184" s="9" t="n">
        <v>0.4258</v>
      </c>
      <c r="AA184" s="7" t="n"/>
      <c r="AB184" s="7" t="n"/>
      <c r="AC184" s="7" t="n"/>
      <c r="AD184" s="7" t="n"/>
      <c r="AE184" s="7" t="inlineStr">
        <is>
          <t>learned from the training patents (tools/int_train.py)</t>
        </is>
      </c>
      <c r="AF184" s="7" t="inlineStr">
        <is>
          <t>Clayden, Organic Chemistry (ring strain)</t>
        </is>
      </c>
    </row>
    <row r="185">
      <c r="A185" s="7" t="inlineStr">
        <is>
          <t>I184</t>
        </is>
      </c>
      <c r="B185" s="7" t="inlineStr">
        <is>
          <t>n-ring-medium</t>
        </is>
      </c>
      <c r="C185" s="7" t="inlineStr">
        <is>
          <t>nitrogen in a seven- to nine-membered ring</t>
        </is>
      </c>
      <c r="D185" s="7" t="inlineStr">
        <is>
          <t>nitrogen</t>
        </is>
      </c>
      <c r="E185" s="7" t="inlineStr">
        <is>
          <t>geometry</t>
        </is>
      </c>
      <c r="F185" s="7" t="inlineStr">
        <is>
          <t>nitrogen</t>
        </is>
      </c>
      <c r="G185" s="7" t="inlineStr">
        <is>
          <t>[N;r7,r8,r9]</t>
        </is>
      </c>
      <c r="H185" s="7" t="inlineStr"/>
      <c r="I185" s="7" t="inlineStr"/>
      <c r="J185" s="7" t="inlineStr"/>
      <c r="K185" s="7" t="inlineStr"/>
      <c r="L185" s="7" t="inlineStr"/>
      <c r="M185" s="7" t="n"/>
      <c r="N185" s="7" t="inlineStr"/>
      <c r="O185" s="7" t="inlineStr">
        <is>
          <t>yes</t>
        </is>
      </c>
      <c r="P185" s="7" t="inlineStr"/>
      <c r="Q185" s="7" t="inlineStr">
        <is>
          <t>the reacting nitrogen is in a ring of seven to nine atoms in the product</t>
        </is>
      </c>
      <c r="R185" s="7" t="inlineStr">
        <is>
          <t>medium rings close slowly (entropy and transannular strain): seven- to nine-membered lactams and ethers need high dilution or templates</t>
        </is>
      </c>
      <c r="S185" s="7" t="inlineStr">
        <is>
          <t>transannular strain and a low effective molarity</t>
        </is>
      </c>
      <c r="T185" s="7" t="n"/>
      <c r="U185" s="10" t="n">
        <v>-1.17</v>
      </c>
      <c r="V185" s="7" t="inlineStr">
        <is>
          <t>alkyl substitution -1.96 (n=276; winner had it 84 % vs 48 % at random) · n nucleophile -1.53 (n=88; winner had it 40 % vs 46 % at random) · carbonyl addition -1.25 (n=75; winner had it 77 % vs 47 % at random) · acyl substitution -1.08 (n=275; winner had it 63 % vs 46 % at random) · aryl halide -0.83 (n=133; winner had it 29 % vs 50 % at random)</t>
        </is>
      </c>
      <c r="W185" s="7" t="n">
        <v>878</v>
      </c>
      <c r="X185" s="7" t="n">
        <v>306</v>
      </c>
      <c r="Y185" s="9" t="n">
        <v>0.6321</v>
      </c>
      <c r="Z185" s="9" t="n">
        <v>0.4744</v>
      </c>
      <c r="AA185" s="7" t="n"/>
      <c r="AB185" s="7" t="n"/>
      <c r="AC185" s="7" t="n"/>
      <c r="AD185" s="7" t="n"/>
      <c r="AE185" s="7" t="inlineStr">
        <is>
          <t>learned from the training patents (tools/int_train.py)</t>
        </is>
      </c>
      <c r="AF185" s="7" t="inlineStr">
        <is>
          <t>Clayden, Organic Chemistry</t>
        </is>
      </c>
    </row>
    <row r="186">
      <c r="A186" s="7" t="inlineStr">
        <is>
          <t>I262</t>
        </is>
      </c>
      <c r="B186" s="7" t="inlineStr">
        <is>
          <t>n-ring-macro</t>
        </is>
      </c>
      <c r="C186" s="7" t="inlineStr">
        <is>
          <t>nitrogen in a macrocycle</t>
        </is>
      </c>
      <c r="D186" s="7" t="inlineStr">
        <is>
          <t>nitrogen</t>
        </is>
      </c>
      <c r="E186" s="7" t="inlineStr">
        <is>
          <t>geometry</t>
        </is>
      </c>
      <c r="F186" s="7" t="inlineStr">
        <is>
          <t>nitrogen</t>
        </is>
      </c>
      <c r="G186" s="7" t="inlineStr">
        <is>
          <t>[N;R;!r3;!r4;!r5;!r6;!r7;!r8;!r9]</t>
        </is>
      </c>
      <c r="H186" s="7" t="inlineStr"/>
      <c r="I186" s="7" t="inlineStr"/>
      <c r="J186" s="7" t="inlineStr"/>
      <c r="K186" s="7" t="inlineStr"/>
      <c r="L186" s="7" t="inlineStr"/>
      <c r="M186" s="7" t="n"/>
      <c r="N186" s="7" t="inlineStr"/>
      <c r="O186" s="7" t="inlineStr">
        <is>
          <t>yes</t>
        </is>
      </c>
      <c r="P186" s="7" t="inlineStr"/>
      <c r="Q186" s="7" t="inlineStr">
        <is>
          <t>the reacting nitrogen is in a ring of ten or more atoms in the product (macrolactamisation, macrolactonisation, ring-closing)</t>
        </is>
      </c>
      <c r="R186" s="7" t="inlineStr">
        <is>
          <t>macrocycle closures need high dilution (0.001–0.01 M), slow addition or a template; competing oligomerisation is the usual failure</t>
        </is>
      </c>
      <c r="S186" s="7" t="inlineStr">
        <is>
          <t>entropy of ring closure against intermolecular reaction</t>
        </is>
      </c>
      <c r="T186" s="7" t="n"/>
      <c r="U186" s="10" t="n">
        <v>-0.73</v>
      </c>
      <c r="V186" s="7" t="inlineStr"/>
      <c r="W186" s="7" t="n">
        <v>29</v>
      </c>
      <c r="X186" s="7" t="n">
        <v>14</v>
      </c>
      <c r="Y186" s="9" t="n">
        <v>0.1724</v>
      </c>
      <c r="Z186" s="9" t="n">
        <v>0.4833</v>
      </c>
      <c r="AA186" s="7" t="n"/>
      <c r="AB186" s="7" t="n"/>
      <c r="AC186" s="7" t="n"/>
      <c r="AD186" s="7" t="n"/>
      <c r="AE186" s="7" t="inlineStr">
        <is>
          <t>too few contests in the recorded reactions to learn a weight (the weight is shrunk to about zero): the textbook effect is advisory</t>
        </is>
      </c>
      <c r="AF186" s="7" t="inlineStr">
        <is>
          <t>Clayden, Organic Chemistry</t>
        </is>
      </c>
    </row>
    <row r="187">
      <c r="A187" s="7" t="inlineStr">
        <is>
          <t>I185</t>
        </is>
      </c>
      <c r="B187" s="7" t="inlineStr">
        <is>
          <t>o-aryl</t>
        </is>
      </c>
      <c r="C187" s="7" t="inlineStr">
        <is>
          <t>oxygen on an aromatic ring</t>
        </is>
      </c>
      <c r="D187" s="7" t="inlineStr">
        <is>
          <t>oxygen</t>
        </is>
      </c>
      <c r="E187" s="7" t="inlineStr">
        <is>
          <t>electronic</t>
        </is>
      </c>
      <c r="F187" s="7" t="inlineStr">
        <is>
          <t>oxygen</t>
        </is>
      </c>
      <c r="G187" s="7" t="inlineStr">
        <is>
          <t>[O;$(O-[c;!900*])]</t>
        </is>
      </c>
      <c r="H187" s="7" t="inlineStr"/>
      <c r="I187" s="7" t="inlineStr"/>
      <c r="J187" s="7" t="inlineStr"/>
      <c r="K187" s="7" t="inlineStr"/>
      <c r="L187" s="7" t="inlineStr"/>
      <c r="M187" s="7" t="n"/>
      <c r="N187" s="7" t="inlineStr"/>
      <c r="O187" s="7" t="inlineStr">
        <is>
          <t>yes</t>
        </is>
      </c>
      <c r="P187" s="7" t="inlineStr"/>
      <c r="Q187" s="7" t="inlineStr">
        <is>
          <t>the reacting oxygen was bonded to an aromatic carbon (phenol, aryl ether)</t>
        </is>
      </c>
      <c r="R187" s="7" t="inlineStr">
        <is>
          <t>a weaker nucleophile than an alcohol but a much stronger acid (phenol pKa 10 against 16 for an alcohol): easily deprotonated, so alkylation with a mild base goes at a phenol before an alcohol; in acylation it reacts after an alcohol</t>
        </is>
      </c>
      <c r="S187" s="7" t="inlineStr">
        <is>
          <t>conjugation of the lone pair with the ring</t>
        </is>
      </c>
      <c r="T187" s="7" t="n"/>
      <c r="U187" s="10" t="n">
        <v>1.34</v>
      </c>
      <c r="V187" s="7" t="inlineStr">
        <is>
          <t>acyl substitution -3.51 (n=8126; winner had it 5 % vs 37 % at random) · aryl halide +3.33 (n=459; winner had it 95 % vs 50 % at random) · o nucleophile +3.17 (n=984; winner had it 64 % vs 50 % at random) · alkyl substitution +2.62 (n=1327; winner had it 92 % vs 49 % at random) · carbonyl addition +2.24 (n=27; winner had it 96 % vs 50 % at random) · deprotection +1.29 (n=1344; winner had it 78 % vs 42 % at random)</t>
        </is>
      </c>
      <c r="W187" s="7" t="n">
        <v>12315</v>
      </c>
      <c r="X187" s="7" t="n">
        <v>4652</v>
      </c>
      <c r="Y187" s="9" t="n">
        <v>0.3073</v>
      </c>
      <c r="Z187" s="9" t="n">
        <v>0.4046</v>
      </c>
      <c r="AA187" s="7" t="n"/>
      <c r="AB187" s="7" t="n"/>
      <c r="AC187" s="7" t="n"/>
      <c r="AD187" s="7" t="n"/>
      <c r="AE187" s="7" t="inlineStr">
        <is>
          <t>learned from the training patents (tools/int_train.py)</t>
        </is>
      </c>
      <c r="AF187" s="7" t="inlineStr">
        <is>
          <t>Clayden, Organic Chemistry; Reactivity_Order: amine &gt; aniline &gt; alcohol &gt; phenol for acylation</t>
        </is>
      </c>
    </row>
    <row r="188">
      <c r="A188" s="7" t="inlineStr">
        <is>
          <t>I186</t>
        </is>
      </c>
      <c r="B188" s="7" t="inlineStr">
        <is>
          <t>o-heteroaryl</t>
        </is>
      </c>
      <c r="C188" s="7" t="inlineStr">
        <is>
          <t>oxygen on an azine carbon</t>
        </is>
      </c>
      <c r="D188" s="7" t="inlineStr">
        <is>
          <t>oxygen</t>
        </is>
      </c>
      <c r="E188" s="7" t="inlineStr">
        <is>
          <t>electronic</t>
        </is>
      </c>
      <c r="F188" s="7" t="inlineStr">
        <is>
          <t>oxygen</t>
        </is>
      </c>
      <c r="G188" s="7" t="inlineStr">
        <is>
          <t>[O;$(O-[c;$(c:[nX2]);!900*])]</t>
        </is>
      </c>
      <c r="H188" s="7" t="inlineStr"/>
      <c r="I188" s="7" t="inlineStr"/>
      <c r="J188" s="7" t="inlineStr"/>
      <c r="K188" s="7" t="inlineStr"/>
      <c r="L188" s="7" t="inlineStr"/>
      <c r="M188" s="7" t="n"/>
      <c r="N188" s="7" t="inlineStr"/>
      <c r="O188" s="7" t="inlineStr">
        <is>
          <t>yes</t>
        </is>
      </c>
      <c r="P188" s="7" t="inlineStr"/>
      <c r="Q188" s="7" t="inlineStr">
        <is>
          <t>the reacting oxygen was bonded to a ring carbon next to a pyridine-type ring N (2-alkoxypyridine, 2-aryloxypyridine)</t>
        </is>
      </c>
      <c r="R188" s="7" t="inlineStr">
        <is>
          <t>a poorer donor than an alkoxy on benzene (the lone pair is shared with the C=N of the ring); the C–O bond is cleaved by acid, giving the pyridone</t>
        </is>
      </c>
      <c r="S188" s="7" t="inlineStr">
        <is>
          <t>the lone pair is shared with the C=N of the ring</t>
        </is>
      </c>
      <c r="T188" s="7" t="n"/>
      <c r="U188" s="10" t="n">
        <v>-1.07</v>
      </c>
      <c r="V188" s="7" t="inlineStr">
        <is>
          <t>acyl substitution -1.57 (n=723; winner had it 1 % vs 32 % at random) · deprotection -0.39 (n=151; winner had it 58 % vs 42 % at random) · o nucleophile -0.36 (n=41; winner had it 59 % vs 51 % at random)</t>
        </is>
      </c>
      <c r="W188" s="7" t="n">
        <v>957</v>
      </c>
      <c r="X188" s="7" t="n">
        <v>478</v>
      </c>
      <c r="Y188" s="9" t="n">
        <v>0.1338</v>
      </c>
      <c r="Z188" s="9" t="n">
        <v>0.3533</v>
      </c>
      <c r="AA188" s="7" t="n"/>
      <c r="AB188" s="7" t="n"/>
      <c r="AC188" s="7" t="n"/>
      <c r="AD188" s="7" t="n"/>
      <c r="AE188" s="7" t="inlineStr">
        <is>
          <t>learned from the training patents (tools/int_train.py)</t>
        </is>
      </c>
      <c r="AF188" s="7" t="inlineStr">
        <is>
          <t>Joule &amp; Mills, Heterocyclic Chemistry</t>
        </is>
      </c>
    </row>
    <row r="189">
      <c r="A189" s="7" t="inlineStr">
        <is>
          <t>I187</t>
        </is>
      </c>
      <c r="B189" s="7" t="inlineStr">
        <is>
          <t>o-alpha-branched</t>
        </is>
      </c>
      <c r="C189" s="7" t="inlineStr">
        <is>
          <t>oxygen on a branched carbon</t>
        </is>
      </c>
      <c r="D189" s="7" t="inlineStr">
        <is>
          <t>oxygen</t>
        </is>
      </c>
      <c r="E189" s="7" t="inlineStr">
        <is>
          <t>hindrance</t>
        </is>
      </c>
      <c r="F189" s="7" t="inlineStr">
        <is>
          <t>oxygen</t>
        </is>
      </c>
      <c r="G189" s="7" t="inlineStr">
        <is>
          <t>[O;$(O-[CX4;D3,D4;!900*])]</t>
        </is>
      </c>
      <c r="H189" s="7" t="inlineStr"/>
      <c r="I189" s="7" t="inlineStr"/>
      <c r="J189" s="7" t="inlineStr"/>
      <c r="K189" s="7" t="inlineStr"/>
      <c r="L189" s="7" t="inlineStr"/>
      <c r="M189" s="7" t="n"/>
      <c r="N189" s="7" t="inlineStr"/>
      <c r="O189" s="7" t="inlineStr">
        <is>
          <t>yes</t>
        </is>
      </c>
      <c r="P189" s="7" t="inlineStr"/>
      <c r="Q189" s="7" t="inlineStr">
        <is>
          <t>the reacting oxygen was bonded to a CH or quaternary carbon (isopropyl, tert-butyl)</t>
        </is>
      </c>
      <c r="R189" s="7" t="inlineStr">
        <is>
          <t>slower acylation, alkylation and coupling; tert-alkyl amines and alcohols are poor nucleophiles; the less hindered nucleophile of the molecule reacts first</t>
        </is>
      </c>
      <c r="S189" s="7" t="inlineStr">
        <is>
          <t>the branch crowds the lone pair</t>
        </is>
      </c>
      <c r="T189" s="7" t="n"/>
      <c r="U189" s="10" t="n">
        <v>-0.6</v>
      </c>
      <c r="V189" s="7" t="inlineStr">
        <is>
          <t>acyl substitution -4.40 (n=3525; winner had it 9 % vs 36 % at random) · o nucleophile +1.21 (n=594; winner had it 36 % vs 52 % at random) · deprotection -1.02 (n=614; winner had it 38 % vs 47 % at random) · alkyl substitution -0.88 (n=950; winner had it 14 % vs 51 % at random) · n nucleophile -0.65 (n=31; winner had it 19 % vs 56 % at random) · carbonyl addition +0.61 (n=43; winner had it 47 % vs 54 % at random)</t>
        </is>
      </c>
      <c r="W189" s="7" t="n">
        <v>6052</v>
      </c>
      <c r="X189" s="7" t="n">
        <v>3047</v>
      </c>
      <c r="Y189" s="9" t="n">
        <v>0.1642</v>
      </c>
      <c r="Z189" s="9" t="n">
        <v>0.4181</v>
      </c>
      <c r="AA189" s="7" t="n"/>
      <c r="AB189" s="7" t="n"/>
      <c r="AC189" s="7" t="n"/>
      <c r="AD189" s="7" t="n"/>
      <c r="AE189" s="7" t="inlineStr">
        <is>
          <t>learned from the training patents (tools/int_train.py)</t>
        </is>
      </c>
      <c r="AF189" s="7" t="inlineStr">
        <is>
          <t>Taft steric constants Es: i-Pr −0.47, t-Bu −1.54</t>
        </is>
      </c>
    </row>
    <row r="190">
      <c r="A190" s="7" t="inlineStr">
        <is>
          <t>I188</t>
        </is>
      </c>
      <c r="B190" s="7" t="inlineStr">
        <is>
          <t>o-benzylic</t>
        </is>
      </c>
      <c r="C190" s="7" t="inlineStr">
        <is>
          <t>oxygen on a benzylic carbon</t>
        </is>
      </c>
      <c r="D190" s="7" t="inlineStr">
        <is>
          <t>oxygen</t>
        </is>
      </c>
      <c r="E190" s="7" t="inlineStr">
        <is>
          <t>electronic</t>
        </is>
      </c>
      <c r="F190" s="7" t="inlineStr">
        <is>
          <t>oxygen</t>
        </is>
      </c>
      <c r="G190" s="7" t="inlineStr">
        <is>
          <t>[O;$(O-[CX4;$(C-c);!900*])]</t>
        </is>
      </c>
      <c r="H190" s="7" t="inlineStr"/>
      <c r="I190" s="7" t="inlineStr"/>
      <c r="J190" s="7" t="inlineStr"/>
      <c r="K190" s="7" t="inlineStr"/>
      <c r="L190" s="7" t="inlineStr"/>
      <c r="M190" s="7" t="n"/>
      <c r="N190" s="7" t="inlineStr"/>
      <c r="O190" s="7" t="inlineStr">
        <is>
          <t>yes</t>
        </is>
      </c>
      <c r="P190" s="7" t="inlineStr"/>
      <c r="Q190" s="7" t="inlineStr">
        <is>
          <t>the reacting oxygen was bonded to a CH2 or CH attached to an aromatic ring</t>
        </is>
      </c>
      <c r="R190" s="7" t="inlineStr">
        <is>
          <t>an ordinary nucleophile; the benzylic C–O bond is cleaved by hydrogenolysis (protecting group) and by acid for electron-rich rings</t>
        </is>
      </c>
      <c r="S190" s="7" t="inlineStr">
        <is>
          <t>the ring stabilises the benzylic cation and radical</t>
        </is>
      </c>
      <c r="T190" s="7" t="n"/>
      <c r="U190" s="10" t="n">
        <v>0.14</v>
      </c>
      <c r="V190" s="7" t="inlineStr">
        <is>
          <t>deprotection +1.11 (n=542; winner had it 47 % vs 46 % at random) · o nucleophile +0.86 (n=419; winner had it 51 % vs 48 % at random) · alkyl substitution -0.83 (n=761; winner had it 9 % vs 49 % at random) · aryl halide -0.44 (n=162; winner had it 18 % vs 50 % at random) · acyl substitution -0.13 (n=1540; winner had it 7 % vs 32 % at random)</t>
        </is>
      </c>
      <c r="W190" s="7" t="n">
        <v>3456</v>
      </c>
      <c r="X190" s="7" t="n">
        <v>1672</v>
      </c>
      <c r="Y190" s="9" t="n">
        <v>0.1962</v>
      </c>
      <c r="Z190" s="9" t="n">
        <v>0.4113</v>
      </c>
      <c r="AA190" s="7" t="n"/>
      <c r="AB190" s="7" t="n"/>
      <c r="AC190" s="7" t="n"/>
      <c r="AD190" s="7" t="n"/>
      <c r="AE190" s="7" t="inlineStr">
        <is>
          <t>learned from the training patents (tools/int_train.py)</t>
        </is>
      </c>
      <c r="AF190" s="7" t="inlineStr">
        <is>
          <t>Greene, Protective Groups in Organic Synthesis</t>
        </is>
      </c>
    </row>
    <row r="191">
      <c r="A191" s="7" t="inlineStr">
        <is>
          <t>I189</t>
        </is>
      </c>
      <c r="B191" s="7" t="inlineStr">
        <is>
          <t>o-alpha-ewg</t>
        </is>
      </c>
      <c r="C191" s="7" t="inlineStr">
        <is>
          <t>oxygen next to an electron-withdrawing carbon</t>
        </is>
      </c>
      <c r="D191" s="7" t="inlineStr">
        <is>
          <t>oxygen</t>
        </is>
      </c>
      <c r="E191" s="7" t="inlineStr">
        <is>
          <t>electronic</t>
        </is>
      </c>
      <c r="F191" s="7" t="inlineStr">
        <is>
          <t>oxygen</t>
        </is>
      </c>
      <c r="G191" s="7" t="inlineStr">
        <is>
          <t>[O;$(O-[CX4;$(C-[$(C(F)(F)F),$(C#N),$(C=O)]);!900*])]</t>
        </is>
      </c>
      <c r="H191" s="7" t="inlineStr"/>
      <c r="I191" s="7" t="inlineStr"/>
      <c r="J191" s="7" t="inlineStr"/>
      <c r="K191" s="7" t="inlineStr"/>
      <c r="L191" s="7" t="inlineStr"/>
      <c r="M191" s="7" t="n"/>
      <c r="N191" s="7" t="inlineStr"/>
      <c r="O191" s="7" t="inlineStr">
        <is>
          <t>yes</t>
        </is>
      </c>
      <c r="P191" s="7" t="inlineStr"/>
      <c r="Q191" s="7" t="inlineStr">
        <is>
          <t>the reacting oxygen was bonded to a carbon that carries CF3, CN or C=O</t>
        </is>
      </c>
      <c r="R191" s="7" t="inlineStr">
        <is>
          <t>weaker nucleophile and base (2,2,2-trifluoroethylamine pKaH 5.7 against 10.7 for ethylamine) and stronger acid (CF3CH2OH pKa 12.4 against 15.9 for ethanol)</t>
        </is>
      </c>
      <c r="S191" s="7" t="inlineStr">
        <is>
          <t>the withdrawing group pulls on the lone pair</t>
        </is>
      </c>
      <c r="T191" s="7" t="n"/>
      <c r="U191" s="10" t="n">
        <v>0.52</v>
      </c>
      <c r="V191" s="7" t="inlineStr">
        <is>
          <t>acyl substitution +1.68 (n=955; winner had it 15 % vs 31 % at random) · o nucleophile +0.60 (n=53; winner had it 49 % vs 45 % at random) · aryl halide +0.58 (n=97; winner had it 14 % vs 50 % at random) · deprotection +0.58 (n=115; winner had it 45 % vs 46 % at random) · alkyl substitution +0.03 (n=240; winner had it 15 % vs 46 % at random)</t>
        </is>
      </c>
      <c r="W191" s="7" t="n">
        <v>1476</v>
      </c>
      <c r="X191" s="7" t="n">
        <v>627</v>
      </c>
      <c r="Y191" s="9" t="n">
        <v>0.1904</v>
      </c>
      <c r="Z191" s="9" t="n">
        <v>0.3668</v>
      </c>
      <c r="AA191" s="7" t="n"/>
      <c r="AB191" s="7" t="n"/>
      <c r="AC191" s="7" t="n"/>
      <c r="AD191" s="7" t="n"/>
      <c r="AE191" s="7" t="inlineStr">
        <is>
          <t>learned from the training patents (tools/int_train.py)</t>
        </is>
      </c>
      <c r="AF191" s="7" t="inlineStr">
        <is>
          <t>Taft σ*; Evans pKa table</t>
        </is>
      </c>
    </row>
    <row r="192">
      <c r="A192" s="7" t="inlineStr">
        <is>
          <t>I190</t>
        </is>
      </c>
      <c r="B192" s="7" t="inlineStr">
        <is>
          <t>o-in-ring</t>
        </is>
      </c>
      <c r="C192" s="7" t="inlineStr">
        <is>
          <t>oxygen in a ring</t>
        </is>
      </c>
      <c r="D192" s="7" t="inlineStr">
        <is>
          <t>oxygen</t>
        </is>
      </c>
      <c r="E192" s="7" t="inlineStr">
        <is>
          <t>steric</t>
        </is>
      </c>
      <c r="F192" s="7" t="inlineStr">
        <is>
          <t>oxygen</t>
        </is>
      </c>
      <c r="G192" s="7" t="inlineStr">
        <is>
          <t>[O;R]</t>
        </is>
      </c>
      <c r="H192" s="7" t="inlineStr"/>
      <c r="I192" s="7" t="inlineStr"/>
      <c r="J192" s="7" t="inlineStr"/>
      <c r="K192" s="7" t="inlineStr"/>
      <c r="L192" s="7" t="inlineStr"/>
      <c r="M192" s="7" t="n"/>
      <c r="N192" s="7" t="inlineStr"/>
      <c r="O192" s="7" t="inlineStr">
        <is>
          <t>yes</t>
        </is>
      </c>
      <c r="P192" s="7" t="inlineStr"/>
      <c r="Q192" s="7" t="inlineStr">
        <is>
          <t>the reacting oxygen is part of a ring (THF, THP, dioxane, lactone, cyclic ether)</t>
        </is>
      </c>
      <c r="R192" s="7" t="inlineStr">
        <is>
          <t>ring ethers are better donors than acyclic ones (the alkyl groups are tied back) and open under acid</t>
        </is>
      </c>
      <c r="S192" s="7" t="inlineStr">
        <is>
          <t>the substituents are held away from the lone pair</t>
        </is>
      </c>
      <c r="T192" s="7" t="n"/>
      <c r="U192" s="10" t="n">
        <v>0.62</v>
      </c>
      <c r="V192" s="7" t="inlineStr"/>
      <c r="W192" s="7" t="n">
        <v>9</v>
      </c>
      <c r="X192" s="7" t="n">
        <v>7</v>
      </c>
      <c r="Y192" s="9" t="n">
        <v>0.8889</v>
      </c>
      <c r="Z192" s="9" t="n">
        <v>0.4815</v>
      </c>
      <c r="AA192" s="7" t="n"/>
      <c r="AB192" s="7" t="n"/>
      <c r="AC192" s="7" t="n"/>
      <c r="AD192" s="7" t="n"/>
      <c r="AE192" s="7" t="inlineStr">
        <is>
          <t>too few contests in the recorded reactions to learn a weight (the weight is shrunk to about zero): the textbook effect is advisory</t>
        </is>
      </c>
      <c r="AF192" s="7" t="inlineStr">
        <is>
          <t>Clayden, Organic Chemistry</t>
        </is>
      </c>
    </row>
    <row r="193">
      <c r="A193" s="7" t="inlineStr">
        <is>
          <t>I191</t>
        </is>
      </c>
      <c r="B193" s="7" t="inlineStr">
        <is>
          <t>o-ring-small</t>
        </is>
      </c>
      <c r="C193" s="7" t="inlineStr">
        <is>
          <t>oxygen in a three- or four-membered ring</t>
        </is>
      </c>
      <c r="D193" s="7" t="inlineStr">
        <is>
          <t>oxygen</t>
        </is>
      </c>
      <c r="E193" s="7" t="inlineStr">
        <is>
          <t>geometry</t>
        </is>
      </c>
      <c r="F193" s="7" t="inlineStr">
        <is>
          <t>oxygen</t>
        </is>
      </c>
      <c r="G193" s="7" t="inlineStr">
        <is>
          <t>[O;r3,r4]</t>
        </is>
      </c>
      <c r="H193" s="7" t="inlineStr"/>
      <c r="I193" s="7" t="inlineStr"/>
      <c r="J193" s="7" t="inlineStr"/>
      <c r="K193" s="7" t="inlineStr"/>
      <c r="L193" s="7" t="inlineStr"/>
      <c r="M193" s="7" t="n"/>
      <c r="N193" s="7" t="inlineStr"/>
      <c r="O193" s="7" t="inlineStr">
        <is>
          <t>yes</t>
        </is>
      </c>
      <c r="P193" s="7" t="inlineStr"/>
      <c r="Q193" s="7" t="inlineStr">
        <is>
          <t>the reacting oxygen is in an epoxide / aziridine / oxetane / azetidine ring in the product</t>
        </is>
      </c>
      <c r="R193" s="7" t="inlineStr">
        <is>
          <t>a strained ring was formed or kept: forming it needs a reactive pair (intramolecular SN2, peracid, nitrene); the ring opens easily under acid or with nucleophiles</t>
        </is>
      </c>
      <c r="S193" s="7" t="inlineStr">
        <is>
          <t>ring strain of about 26 kcal/mol</t>
        </is>
      </c>
      <c r="T193" s="7" t="n"/>
      <c r="U193" s="10" t="n">
        <v>-0.03</v>
      </c>
      <c r="V193" s="7" t="inlineStr"/>
      <c r="W193" s="7" t="n">
        <v>1</v>
      </c>
      <c r="X193" s="7" t="n">
        <v>1</v>
      </c>
      <c r="Y193" s="9" t="n">
        <v>0</v>
      </c>
      <c r="Z193" s="9" t="n">
        <v>0.5</v>
      </c>
      <c r="AA193" s="7" t="n"/>
      <c r="AB193" s="7" t="n"/>
      <c r="AC193" s="7" t="n"/>
      <c r="AD193" s="7" t="n"/>
      <c r="AE193" s="7" t="inlineStr">
        <is>
          <t>too few contests in the recorded reactions to learn a weight (the weight is shrunk to about zero): the textbook effect is advisory</t>
        </is>
      </c>
      <c r="AF193" s="7" t="inlineStr">
        <is>
          <t>Clayden, Organic Chemistry (ring strain)</t>
        </is>
      </c>
    </row>
    <row r="194">
      <c r="A194" s="7" t="inlineStr">
        <is>
          <t>I192</t>
        </is>
      </c>
      <c r="B194" s="7" t="inlineStr">
        <is>
          <t>o-ring-medium</t>
        </is>
      </c>
      <c r="C194" s="7" t="inlineStr">
        <is>
          <t>oxygen in a seven- to nine-membered ring</t>
        </is>
      </c>
      <c r="D194" s="7" t="inlineStr">
        <is>
          <t>oxygen</t>
        </is>
      </c>
      <c r="E194" s="7" t="inlineStr">
        <is>
          <t>geometry</t>
        </is>
      </c>
      <c r="F194" s="7" t="inlineStr">
        <is>
          <t>oxygen</t>
        </is>
      </c>
      <c r="G194" s="7" t="inlineStr">
        <is>
          <t>[O;r7,r8,r9]</t>
        </is>
      </c>
      <c r="H194" s="7" t="inlineStr"/>
      <c r="I194" s="7" t="inlineStr"/>
      <c r="J194" s="7" t="inlineStr"/>
      <c r="K194" s="7" t="inlineStr"/>
      <c r="L194" s="7" t="inlineStr"/>
      <c r="M194" s="7" t="n"/>
      <c r="N194" s="7" t="inlineStr"/>
      <c r="O194" s="7" t="inlineStr">
        <is>
          <t>yes</t>
        </is>
      </c>
      <c r="P194" s="7" t="inlineStr"/>
      <c r="Q194" s="7" t="inlineStr">
        <is>
          <t>the reacting oxygen is in a ring of seven to nine atoms in the product</t>
        </is>
      </c>
      <c r="R194" s="7" t="inlineStr">
        <is>
          <t>medium rings close slowly (entropy and transannular strain): seven- to nine-membered lactams and ethers need high dilution or templates</t>
        </is>
      </c>
      <c r="S194" s="7" t="inlineStr">
        <is>
          <t>transannular strain and a low effective molarity</t>
        </is>
      </c>
      <c r="T194" s="7" t="n"/>
      <c r="U194" s="10" t="n">
        <v>-0.1</v>
      </c>
      <c r="V194" s="7" t="inlineStr"/>
      <c r="W194" s="7" t="n">
        <v>5</v>
      </c>
      <c r="X194" s="7" t="n">
        <v>5</v>
      </c>
      <c r="Y194" s="9" t="n">
        <v>0.2</v>
      </c>
      <c r="Z194" s="9" t="n">
        <v>0.4333</v>
      </c>
      <c r="AA194" s="7" t="n"/>
      <c r="AB194" s="7" t="n"/>
      <c r="AC194" s="7" t="n"/>
      <c r="AD194" s="7" t="n"/>
      <c r="AE194" s="7" t="inlineStr">
        <is>
          <t>too few contests in the recorded reactions to learn a weight (the weight is shrunk to about zero): the textbook effect is advisory</t>
        </is>
      </c>
      <c r="AF194" s="7" t="inlineStr">
        <is>
          <t>Clayden, Organic Chemistry</t>
        </is>
      </c>
    </row>
    <row r="195">
      <c r="A195" s="7" t="inlineStr">
        <is>
          <t>I263</t>
        </is>
      </c>
      <c r="B195" s="7" t="inlineStr">
        <is>
          <t>o-ring-macro</t>
        </is>
      </c>
      <c r="C195" s="7" t="inlineStr">
        <is>
          <t>oxygen in a macrocycle</t>
        </is>
      </c>
      <c r="D195" s="7" t="inlineStr">
        <is>
          <t>oxygen</t>
        </is>
      </c>
      <c r="E195" s="7" t="inlineStr">
        <is>
          <t>geometry</t>
        </is>
      </c>
      <c r="F195" s="7" t="inlineStr">
        <is>
          <t>oxygen</t>
        </is>
      </c>
      <c r="G195" s="7" t="inlineStr">
        <is>
          <t>[O;R;!r3;!r4;!r5;!r6;!r7;!r8;!r9]</t>
        </is>
      </c>
      <c r="H195" s="7" t="inlineStr"/>
      <c r="I195" s="7" t="inlineStr"/>
      <c r="J195" s="7" t="inlineStr"/>
      <c r="K195" s="7" t="inlineStr"/>
      <c r="L195" s="7" t="inlineStr"/>
      <c r="M195" s="7" t="n"/>
      <c r="N195" s="7" t="inlineStr"/>
      <c r="O195" s="7" t="inlineStr">
        <is>
          <t>yes</t>
        </is>
      </c>
      <c r="P195" s="7" t="inlineStr"/>
      <c r="Q195" s="7" t="inlineStr">
        <is>
          <t>the reacting oxygen is in a ring of ten or more atoms in the product (macrolactamisation, macrolactonisation, ring-closing)</t>
        </is>
      </c>
      <c r="R195" s="7" t="inlineStr">
        <is>
          <t>macrocycle closures need high dilution (0.001–0.01 M), slow addition or a template; competing oligomerisation is the usual failure</t>
        </is>
      </c>
      <c r="S195" s="7" t="inlineStr">
        <is>
          <t>entropy of ring closure against intermolecular reaction</t>
        </is>
      </c>
      <c r="T195" s="7" t="n"/>
      <c r="U195" s="10" t="n">
        <v>0</v>
      </c>
      <c r="V195" s="7" t="inlineStr"/>
      <c r="W195" s="7" t="n"/>
      <c r="X195" s="7" t="n"/>
      <c r="Y195" s="7" t="n"/>
      <c r="Z195" s="7" t="n"/>
      <c r="AA195" s="7" t="n"/>
      <c r="AB195" s="7" t="n"/>
      <c r="AC195" s="7" t="n"/>
      <c r="AD195" s="7" t="n"/>
      <c r="AE195" s="7" t="inlineStr">
        <is>
          <t>too few contests in the recorded reactions to learn a weight (the weight is shrunk to about zero): the textbook effect is advisory</t>
        </is>
      </c>
      <c r="AF195" s="7" t="inlineStr">
        <is>
          <t>Clayden, Organic Chemistry</t>
        </is>
      </c>
    </row>
    <row r="196">
      <c r="A196" s="7" t="inlineStr">
        <is>
          <t>I193</t>
        </is>
      </c>
      <c r="B196" s="7" t="inlineStr">
        <is>
          <t>n-acyl-origin</t>
        </is>
      </c>
      <c r="C196" s="7" t="inlineStr">
        <is>
          <t>nitrogen that was an amide / carbamate / sulfonamide N</t>
        </is>
      </c>
      <c r="D196" s="7" t="inlineStr">
        <is>
          <t>nitrogen</t>
        </is>
      </c>
      <c r="E196" s="7" t="inlineStr">
        <is>
          <t>electronic</t>
        </is>
      </c>
      <c r="F196" s="7" t="inlineStr">
        <is>
          <t>nitrogen</t>
        </is>
      </c>
      <c r="G196" s="7" t="inlineStr">
        <is>
          <t>[N;X3;$(N-[C,S;X3,X4;!900*]=[O,S])]</t>
        </is>
      </c>
      <c r="H196" s="7" t="inlineStr"/>
      <c r="I196" s="7" t="inlineStr"/>
      <c r="J196" s="7" t="inlineStr"/>
      <c r="K196" s="7" t="inlineStr"/>
      <c r="L196" s="7" t="inlineStr"/>
      <c r="M196" s="7" t="n"/>
      <c r="N196" s="7" t="inlineStr"/>
      <c r="O196" s="7" t="inlineStr">
        <is>
          <t>yes</t>
        </is>
      </c>
      <c r="P196" s="7" t="inlineStr"/>
      <c r="Q196" s="7" t="inlineStr">
        <is>
          <t>the reacting N was bonded to a C=O, C=S or S=O (amide, carbamate, sulfonamide, imide)</t>
        </is>
      </c>
      <c r="R196" s="7" t="inlineStr">
        <is>
          <t>a poor nucleophile (lone pair delocalised) but an acid: reacts after deprotonation (NaH, Cs2CO3) or under Mitsunobu / Buchwald / Chan–Lam conditions</t>
        </is>
      </c>
      <c r="S196" s="7" t="inlineStr">
        <is>
          <t>the lone pair is shared with the carbonyl or sulfonyl group</t>
        </is>
      </c>
      <c r="T196" s="7" t="n"/>
      <c r="U196" s="10" t="n">
        <v>-2.36</v>
      </c>
      <c r="V196" s="7" t="inlineStr">
        <is>
          <t>carbonyl addition -4.44 (n=1805; winner had it 0 % vs 51 % at random) · acyl substitution -3.49 (n=7542; winner had it 3 % vs 51 % at random) · aryl halide -3.39 (n=2333; winner had it 2 % vs 50 % at random) · alkyl substitution -3.15 (n=1906; winner had it 7 % vs 51 % at random) · unsaturated -2.95 (n=88; winner had it 0 % vs 51 % at random) · n nucleophile -2.46 (n=720; winner had it 8 % vs 50 % at random)</t>
        </is>
      </c>
      <c r="W196" s="7" t="n">
        <v>14820</v>
      </c>
      <c r="X196" s="7" t="n">
        <v>4364</v>
      </c>
      <c r="Y196" s="9" t="n">
        <v>0.0374</v>
      </c>
      <c r="Z196" s="9" t="n">
        <v>0.5079</v>
      </c>
      <c r="AA196" s="7" t="n"/>
      <c r="AB196" s="7" t="n"/>
      <c r="AC196" s="7" t="n"/>
      <c r="AD196" s="7" t="n"/>
      <c r="AE196" s="7" t="inlineStr">
        <is>
          <t>learned from the training patents (tools/int_train.py)</t>
        </is>
      </c>
      <c r="AF196" s="7" t="inlineStr">
        <is>
          <t>Clayden, Organic Chemistry</t>
        </is>
      </c>
    </row>
    <row r="197">
      <c r="A197" s="7" t="inlineStr">
        <is>
          <t>I194</t>
        </is>
      </c>
      <c r="B197" s="7" t="inlineStr">
        <is>
          <t>n-adjacent-hetero</t>
        </is>
      </c>
      <c r="C197" s="7" t="inlineStr">
        <is>
          <t>nitrogen next to another heteroatom (hydrazine, hydroxylamine)</t>
        </is>
      </c>
      <c r="D197" s="7" t="inlineStr">
        <is>
          <t>nitrogen</t>
        </is>
      </c>
      <c r="E197" s="7" t="inlineStr">
        <is>
          <t>electronic</t>
        </is>
      </c>
      <c r="F197" s="7" t="inlineStr">
        <is>
          <t>nitrogen</t>
        </is>
      </c>
      <c r="G197" s="7" t="inlineStr">
        <is>
          <t>[N;X3;$(N-[N,O,n;!900*])]</t>
        </is>
      </c>
      <c r="H197" s="7" t="inlineStr"/>
      <c r="I197" s="7" t="inlineStr"/>
      <c r="J197" s="7" t="inlineStr"/>
      <c r="K197" s="7" t="inlineStr"/>
      <c r="L197" s="7" t="inlineStr"/>
      <c r="M197" s="7" t="n"/>
      <c r="N197" s="7" t="inlineStr"/>
      <c r="O197" s="7" t="inlineStr">
        <is>
          <t>yes</t>
        </is>
      </c>
      <c r="P197" s="7" t="inlineStr"/>
      <c r="Q197" s="7" t="inlineStr">
        <is>
          <t>the reacting N is bonded to another N or O (α-effect nucleophile)</t>
        </is>
      </c>
      <c r="R197" s="7" t="inlineStr">
        <is>
          <t>more nucleophilic than its pKaH suggests (the α-effect): hydrazines and hydroxylamines react at the terminal N</t>
        </is>
      </c>
      <c r="S197" s="7" t="inlineStr">
        <is>
          <t>repulsion between adjacent lone pairs raises the HOMO</t>
        </is>
      </c>
      <c r="T197" s="7" t="n"/>
      <c r="U197" s="10" t="n">
        <v>-0.86</v>
      </c>
      <c r="V197" s="7" t="inlineStr">
        <is>
          <t>alkyl substitution -1.67 (n=110; winner had it 29 % vs 48 % at random) · n nucleophile -1.11 (n=29; winner had it 41 % vs 47 % at random) · carbonyl addition -0.96 (n=55; winner had it 44 % vs 48 % at random) · acyl substitution -0.29 (n=329; winner had it 58 % vs 49 % at random)</t>
        </is>
      </c>
      <c r="W197" s="7" t="n">
        <v>558</v>
      </c>
      <c r="X197" s="7" t="n">
        <v>289</v>
      </c>
      <c r="Y197" s="9" t="n">
        <v>0.4892</v>
      </c>
      <c r="Z197" s="9" t="n">
        <v>0.4873</v>
      </c>
      <c r="AA197" s="7" t="n"/>
      <c r="AB197" s="7" t="n"/>
      <c r="AC197" s="7" t="n"/>
      <c r="AD197" s="7" t="n"/>
      <c r="AE197" s="7" t="inlineStr">
        <is>
          <t>learned from the training patents (tools/int_train.py)</t>
        </is>
      </c>
      <c r="AF197" s="7" t="inlineStr">
        <is>
          <t>Clayden, Organic Chemistry</t>
        </is>
      </c>
    </row>
    <row r="198">
      <c r="A198" s="7" t="inlineStr">
        <is>
          <t>I195</t>
        </is>
      </c>
      <c r="B198" s="7" t="inlineStr">
        <is>
          <t>n-primary-origin</t>
        </is>
      </c>
      <c r="C198" s="7" t="inlineStr">
        <is>
          <t>nitrogen with one carbon substituent (primary amine before)</t>
        </is>
      </c>
      <c r="D198" s="7" t="inlineStr">
        <is>
          <t>nitrogen</t>
        </is>
      </c>
      <c r="E198" s="7" t="inlineStr">
        <is>
          <t>steric</t>
        </is>
      </c>
      <c r="F198" s="7" t="inlineStr">
        <is>
          <t>nitrogen</t>
        </is>
      </c>
      <c r="G198" s="7" t="inlineStr">
        <is>
          <t>[N;X3;$(N-[#6;!900*]);!$(N(-[#6;!900*])-[#6;!900*])]</t>
        </is>
      </c>
      <c r="H198" s="7" t="inlineStr"/>
      <c r="I198" s="7" t="inlineStr"/>
      <c r="J198" s="7" t="inlineStr"/>
      <c r="K198" s="7" t="inlineStr"/>
      <c r="L198" s="7" t="inlineStr"/>
      <c r="M198" s="7" t="n"/>
      <c r="N198" s="7" t="inlineStr"/>
      <c r="O198" s="7" t="inlineStr">
        <is>
          <t>yes</t>
        </is>
      </c>
      <c r="P198" s="7" t="inlineStr"/>
      <c r="Q198" s="7" t="inlineStr">
        <is>
          <t>the reacting N had one carbon substituent (primary amine)</t>
        </is>
      </c>
      <c r="R198" s="7" t="inlineStr">
        <is>
          <t>the least hindered amine: acylation, alkylation and reductive amination are fastest; over-alkylation is the usual problem</t>
        </is>
      </c>
      <c r="S198" s="7" t="inlineStr">
        <is>
          <t>two N–H bonds: little steric hindrance</t>
        </is>
      </c>
      <c r="T198" s="7" t="n"/>
      <c r="U198" s="10" t="n">
        <v>0.41</v>
      </c>
      <c r="V198" s="7" t="inlineStr">
        <is>
          <t>alkyl substitution +1.91 (n=310; winner had it 62 % vs 48 % at random) · n nucleophile +0.57 (n=170; winner had it 57 % vs 47 % at random) · carbonyl addition -0.06 (n=131; winner had it 20 % vs 47 % at random)</t>
        </is>
      </c>
      <c r="W198" s="7" t="n">
        <v>1798</v>
      </c>
      <c r="X198" s="7" t="n">
        <v>831</v>
      </c>
      <c r="Y198" s="9" t="n">
        <v>0.4922</v>
      </c>
      <c r="Z198" s="9" t="n">
        <v>0.4835</v>
      </c>
      <c r="AA198" s="7" t="n"/>
      <c r="AB198" s="7" t="n"/>
      <c r="AC198" s="7" t="n"/>
      <c r="AD198" s="7" t="n"/>
      <c r="AE198" s="7" t="inlineStr">
        <is>
          <t>learned from the training patents (tools/int_train.py)</t>
        </is>
      </c>
      <c r="AF198" s="7" t="inlineStr">
        <is>
          <t>Clayden, Organic Chemistry</t>
        </is>
      </c>
    </row>
    <row r="199">
      <c r="A199" s="7" t="inlineStr">
        <is>
          <t>I196</t>
        </is>
      </c>
      <c r="B199" s="7" t="inlineStr">
        <is>
          <t>n-secondary-origin</t>
        </is>
      </c>
      <c r="C199" s="7" t="inlineStr">
        <is>
          <t>nitrogen with two carbon substituents (secondary amine before)</t>
        </is>
      </c>
      <c r="D199" s="7" t="inlineStr">
        <is>
          <t>nitrogen</t>
        </is>
      </c>
      <c r="E199" s="7" t="inlineStr">
        <is>
          <t>steric</t>
        </is>
      </c>
      <c r="F199" s="7" t="inlineStr">
        <is>
          <t>nitrogen</t>
        </is>
      </c>
      <c r="G199" s="7" t="inlineStr">
        <is>
          <t>[N;X3;$(N(-[#6;!900*])-[#6;!900*]);!$(N(-[#6;!900*])(-[#6;!900*])-[#6;!900*])]</t>
        </is>
      </c>
      <c r="H199" s="7" t="inlineStr"/>
      <c r="I199" s="7" t="inlineStr"/>
      <c r="J199" s="7" t="inlineStr"/>
      <c r="K199" s="7" t="inlineStr"/>
      <c r="L199" s="7" t="inlineStr"/>
      <c r="M199" s="7" t="n"/>
      <c r="N199" s="7" t="inlineStr"/>
      <c r="O199" s="7" t="inlineStr">
        <is>
          <t>yes</t>
        </is>
      </c>
      <c r="P199" s="7" t="inlineStr"/>
      <c r="Q199" s="7" t="inlineStr">
        <is>
          <t>the reacting N had two carbon substituents (secondary amine)</t>
        </is>
      </c>
      <c r="R199" s="7" t="inlineStr">
        <is>
          <t>more nucleophilic than primary (more electron-rich) but more hindered: acylates well, alkylates cleanly once</t>
        </is>
      </c>
      <c r="S199" s="7" t="inlineStr">
        <is>
          <t>two alkyl groups push electrons in but add bulk</t>
        </is>
      </c>
      <c r="T199" s="7" t="n"/>
      <c r="U199" s="10" t="n">
        <v>-1.21</v>
      </c>
      <c r="V199" s="7" t="inlineStr">
        <is>
          <t>aryl halide -2.51 (n=121; winner had it 59 % vs 50 % at random) · n nucleophile -2.43 (n=150; winner had it 44 % vs 53 % at random) · alkyl substitution -1.31 (n=247; winner had it 49 % vs 53 % at random) · carbonyl addition -1.10 (n=111; winner had it 93 % vs 53 % at random) · acyl substitution +0.09 (n=516; winner had it 83 % vs 53 % at random)</t>
        </is>
      </c>
      <c r="W199" s="7" t="n">
        <v>1183</v>
      </c>
      <c r="X199" s="7" t="n">
        <v>525</v>
      </c>
      <c r="Y199" s="9" t="n">
        <v>0.6855</v>
      </c>
      <c r="Z199" s="9" t="n">
        <v>0.5279</v>
      </c>
      <c r="AA199" s="7" t="n"/>
      <c r="AB199" s="7" t="n"/>
      <c r="AC199" s="7" t="n"/>
      <c r="AD199" s="7" t="n"/>
      <c r="AE199" s="7" t="inlineStr">
        <is>
          <t>learned from the training patents (tools/int_train.py)</t>
        </is>
      </c>
      <c r="AF199" s="7" t="inlineStr">
        <is>
          <t>Clayden, Organic Chemistry</t>
        </is>
      </c>
    </row>
    <row r="200">
      <c r="A200" s="7" t="inlineStr">
        <is>
          <t>I197</t>
        </is>
      </c>
      <c r="B200" s="7" t="inlineStr">
        <is>
          <t>n-tertiary-origin</t>
        </is>
      </c>
      <c r="C200" s="7" t="inlineStr">
        <is>
          <t>nitrogen with three carbon substituents (tertiary amine before)</t>
        </is>
      </c>
      <c r="D200" s="7" t="inlineStr">
        <is>
          <t>nitrogen</t>
        </is>
      </c>
      <c r="E200" s="7" t="inlineStr">
        <is>
          <t>steric</t>
        </is>
      </c>
      <c r="F200" s="7" t="inlineStr">
        <is>
          <t>nitrogen</t>
        </is>
      </c>
      <c r="G200" s="7" t="inlineStr">
        <is>
          <t>[N;X3,X4;$(N(-[#6;!900*])(-[#6;!900*])-[#6;!900*])]</t>
        </is>
      </c>
      <c r="H200" s="7" t="inlineStr"/>
      <c r="I200" s="7" t="inlineStr"/>
      <c r="J200" s="7" t="inlineStr"/>
      <c r="K200" s="7" t="inlineStr"/>
      <c r="L200" s="7" t="inlineStr"/>
      <c r="M200" s="7" t="n"/>
      <c r="N200" s="7" t="inlineStr"/>
      <c r="O200" s="7" t="inlineStr">
        <is>
          <t>yes</t>
        </is>
      </c>
      <c r="P200" s="7" t="inlineStr"/>
      <c r="Q200" s="7" t="inlineStr">
        <is>
          <t>the reacting N had three carbon substituents (tertiary amine)</t>
        </is>
      </c>
      <c r="R200" s="7" t="inlineStr">
        <is>
          <t>a base and nucleophilic catalyst; quaternises with alkyl halides; hindered tertiary amines (DIPEA) only deprotonate</t>
        </is>
      </c>
      <c r="S200" s="7" t="inlineStr">
        <is>
          <t>three alkyl groups: strongest base, most hindered</t>
        </is>
      </c>
      <c r="T200" s="7" t="n"/>
      <c r="U200" s="10" t="n">
        <v>0.24</v>
      </c>
      <c r="V200" s="7" t="inlineStr"/>
      <c r="W200" s="7" t="n">
        <v>5</v>
      </c>
      <c r="X200" s="7" t="n">
        <v>5</v>
      </c>
      <c r="Y200" s="9" t="n">
        <v>0.6</v>
      </c>
      <c r="Z200" s="9" t="n">
        <v>0.4667</v>
      </c>
      <c r="AA200" s="7" t="n"/>
      <c r="AB200" s="7" t="n"/>
      <c r="AC200" s="7" t="n"/>
      <c r="AD200" s="7" t="n"/>
      <c r="AE200" s="7" t="inlineStr">
        <is>
          <t>too few contests in the recorded reactions to learn a weight (the weight is shrunk to about zero): the textbook effect is advisory</t>
        </is>
      </c>
      <c r="AF200" s="7" t="inlineStr">
        <is>
          <t>Clayden, Organic Chemistry</t>
        </is>
      </c>
    </row>
    <row r="201">
      <c r="A201" s="7" t="inlineStr">
        <is>
          <t>I198</t>
        </is>
      </c>
      <c r="B201" s="7" t="inlineStr">
        <is>
          <t>o-primary-origin</t>
        </is>
      </c>
      <c r="C201" s="7" t="inlineStr">
        <is>
          <t>oxygen on a primary carbinol carbon (R–CH2–O or CH3–O)</t>
        </is>
      </c>
      <c r="D201" s="7" t="inlineStr">
        <is>
          <t>oxygen</t>
        </is>
      </c>
      <c r="E201" s="7" t="inlineStr">
        <is>
          <t>steric</t>
        </is>
      </c>
      <c r="F201" s="7" t="inlineStr">
        <is>
          <t>oxygen</t>
        </is>
      </c>
      <c r="G201" s="7" t="inlineStr">
        <is>
          <t>[O;X2;$(O-[CX4;H2,H3;!900*]);!$(O(-[#6;!900*])-[#6;!900*])]</t>
        </is>
      </c>
      <c r="H201" s="7" t="inlineStr"/>
      <c r="I201" s="7" t="inlineStr"/>
      <c r="J201" s="7" t="inlineStr"/>
      <c r="K201" s="7" t="inlineStr"/>
      <c r="L201" s="7" t="inlineStr"/>
      <c r="M201" s="7" t="n"/>
      <c r="N201" s="7" t="inlineStr"/>
      <c r="O201" s="7" t="inlineStr">
        <is>
          <t>yes</t>
        </is>
      </c>
      <c r="P201" s="7" t="inlineStr"/>
      <c r="Q201" s="7" t="inlineStr">
        <is>
          <t>the reacting O is bonded to a CH2 or CH3 and to nothing but the new bond (a primary alcohol or methanol before; ethers are excluded)</t>
        </is>
      </c>
      <c r="R201" s="7" t="inlineStr">
        <is>
          <t>esterifies, oxidises, substitutes and alkylates faster at a primary carbinol than at a secondary or tertiary one</t>
        </is>
      </c>
      <c r="S201" s="7" t="inlineStr">
        <is>
          <t>primary alcohols are the least hindered</t>
        </is>
      </c>
      <c r="T201" s="7" t="n"/>
      <c r="U201" s="10" t="n">
        <v>0.33</v>
      </c>
      <c r="V201" s="7" t="inlineStr">
        <is>
          <t>acyl substitution -4.04 (n=20479; winner had it 3 % vs 43 % at random) · o nucleophile +2.63 (n=1174; winner had it 55 % vs 48 % at random) · aryl halide +1.93 (n=215; winner had it 53 % vs 49 % at random) · carbonyl addition +1.56 (n=63; winner had it 73 % vs 47 % at random) · deprotection -1.30 (n=1543; winner had it 19 % vs 44 % at random) · n nucleophile +1.25 (n=36; winner had it 83 % vs 45 % at random)</t>
        </is>
      </c>
      <c r="W201" s="7" t="n">
        <v>24543</v>
      </c>
      <c r="X201" s="7" t="n">
        <v>8986</v>
      </c>
      <c r="Y201" s="9" t="n">
        <v>0.09130000000000001</v>
      </c>
      <c r="Z201" s="9" t="n">
        <v>0.4316</v>
      </c>
      <c r="AA201" s="7" t="n"/>
      <c r="AB201" s="7" t="n"/>
      <c r="AC201" s="7" t="n"/>
      <c r="AD201" s="7" t="n"/>
      <c r="AE201" s="7" t="inlineStr">
        <is>
          <t>learned from the training patents (tools/int_train.py)</t>
        </is>
      </c>
      <c r="AF201" s="7" t="inlineStr">
        <is>
          <t>Reactivity_Order: esterification, oxidation, substitution</t>
        </is>
      </c>
    </row>
    <row r="202">
      <c r="A202" s="7" t="inlineStr">
        <is>
          <t>I199</t>
        </is>
      </c>
      <c r="B202" s="7" t="inlineStr">
        <is>
          <t>s-aryl</t>
        </is>
      </c>
      <c r="C202" s="7" t="inlineStr">
        <is>
          <t>sulfur on an aromatic ring</t>
        </is>
      </c>
      <c r="D202" s="7" t="inlineStr">
        <is>
          <t>sulfur</t>
        </is>
      </c>
      <c r="E202" s="7" t="inlineStr">
        <is>
          <t>electronic</t>
        </is>
      </c>
      <c r="F202" s="7" t="inlineStr">
        <is>
          <t>sulfur</t>
        </is>
      </c>
      <c r="G202" s="7" t="inlineStr">
        <is>
          <t>[S;$(S-[c;!900*])]</t>
        </is>
      </c>
      <c r="H202" s="7" t="inlineStr"/>
      <c r="I202" s="7" t="inlineStr"/>
      <c r="J202" s="7" t="inlineStr"/>
      <c r="K202" s="7" t="inlineStr"/>
      <c r="L202" s="7" t="inlineStr"/>
      <c r="M202" s="7" t="n"/>
      <c r="N202" s="7" t="inlineStr"/>
      <c r="O202" s="7" t="inlineStr">
        <is>
          <t>yes</t>
        </is>
      </c>
      <c r="P202" s="7" t="inlineStr"/>
      <c r="Q202" s="7" t="inlineStr">
        <is>
          <t>the reacting S was bonded to an aromatic carbon (thiophenol, aryl sulfide)</t>
        </is>
      </c>
      <c r="R202" s="7" t="inlineStr">
        <is>
          <t>arylthiolates (thiophenol pKa 6.6) are weaker bases than alkylthiolates (pKa about 10.5) and still soft nucleophiles: they do SNAr and Pd / Cu couplings; aryl sulfides oxidise more slowly</t>
        </is>
      </c>
      <c r="S202" s="7" t="inlineStr">
        <is>
          <t>conjugation of the S lone pair with the ring</t>
        </is>
      </c>
      <c r="T202" s="7" t="n"/>
      <c r="U202" s="10" t="n">
        <v>1.35</v>
      </c>
      <c r="V202" s="7" t="inlineStr">
        <is>
          <t>acyl substitution +2.52 (n=53; winner had it 100 % vs 50 % at random)</t>
        </is>
      </c>
      <c r="W202" s="7" t="n">
        <v>85</v>
      </c>
      <c r="X202" s="7" t="n">
        <v>63</v>
      </c>
      <c r="Y202" s="9" t="n">
        <v>0.9412</v>
      </c>
      <c r="Z202" s="9" t="n">
        <v>0.4983</v>
      </c>
      <c r="AA202" s="7" t="n"/>
      <c r="AB202" s="7" t="n"/>
      <c r="AC202" s="7" t="n"/>
      <c r="AD202" s="7" t="n"/>
      <c r="AE202" s="7" t="inlineStr">
        <is>
          <t>learned from the training patents (tools/int_train.py)</t>
        </is>
      </c>
      <c r="AF202" s="7" t="inlineStr">
        <is>
          <t>Clayden, Organic Chemistry</t>
        </is>
      </c>
    </row>
    <row r="203">
      <c r="A203" s="7" t="inlineStr">
        <is>
          <t>I200</t>
        </is>
      </c>
      <c r="B203" s="7" t="inlineStr">
        <is>
          <t>s-alkyl</t>
        </is>
      </c>
      <c r="C203" s="7" t="inlineStr">
        <is>
          <t>sulfur on an alkyl carbon</t>
        </is>
      </c>
      <c r="D203" s="7" t="inlineStr">
        <is>
          <t>sulfur</t>
        </is>
      </c>
      <c r="E203" s="7" t="inlineStr">
        <is>
          <t>electronic</t>
        </is>
      </c>
      <c r="F203" s="7" t="inlineStr">
        <is>
          <t>sulfur</t>
        </is>
      </c>
      <c r="G203" s="7" t="inlineStr">
        <is>
          <t>[S;$(S-[CX4;!900*])]</t>
        </is>
      </c>
      <c r="H203" s="7" t="inlineStr"/>
      <c r="I203" s="7" t="inlineStr"/>
      <c r="J203" s="7" t="inlineStr"/>
      <c r="K203" s="7" t="inlineStr"/>
      <c r="L203" s="7" t="inlineStr"/>
      <c r="M203" s="7" t="n"/>
      <c r="N203" s="7" t="inlineStr"/>
      <c r="O203" s="7" t="inlineStr">
        <is>
          <t>yes</t>
        </is>
      </c>
      <c r="P203" s="7" t="inlineStr"/>
      <c r="Q203" s="7" t="inlineStr">
        <is>
          <t>the reacting S was bonded to an sp3 carbon (thiol, dialkyl sulfide)</t>
        </is>
      </c>
      <c r="R203" s="7" t="inlineStr">
        <is>
          <t>soft and strongly nucleophilic: alkylates, adds to Michael acceptors, oxidises to sulfoxide and sulfone</t>
        </is>
      </c>
      <c r="S203" s="7" t="inlineStr">
        <is>
          <t>a large polarisable lone pair</t>
        </is>
      </c>
      <c r="T203" s="7" t="n"/>
      <c r="U203" s="10" t="n">
        <v>0.35</v>
      </c>
      <c r="V203" s="7" t="inlineStr"/>
      <c r="W203" s="7" t="n">
        <v>48</v>
      </c>
      <c r="X203" s="7" t="n">
        <v>33</v>
      </c>
      <c r="Y203" s="9" t="n">
        <v>0.6042</v>
      </c>
      <c r="Z203" s="9" t="n">
        <v>0.5</v>
      </c>
      <c r="AA203" s="7" t="n"/>
      <c r="AB203" s="7" t="n"/>
      <c r="AC203" s="7" t="n"/>
      <c r="AD203" s="7" t="n"/>
      <c r="AE203" s="7" t="inlineStr">
        <is>
          <t>learned from the training patents (tools/int_train.py)</t>
        </is>
      </c>
      <c r="AF203" s="7" t="inlineStr">
        <is>
          <t>Clayden, Organic Chemistry</t>
        </is>
      </c>
    </row>
    <row r="204">
      <c r="A204" s="7" t="inlineStr">
        <is>
          <t>I201</t>
        </is>
      </c>
      <c r="B204" s="7" t="inlineStr">
        <is>
          <t>n-aryl-ortho2</t>
        </is>
      </c>
      <c r="C204" s="7" t="inlineStr">
        <is>
          <t>nitrogen on an aromatic ring with two ortho substituents</t>
        </is>
      </c>
      <c r="D204" s="7" t="inlineStr">
        <is>
          <t>nitrogen</t>
        </is>
      </c>
      <c r="E204" s="7" t="inlineStr">
        <is>
          <t>hindrance</t>
        </is>
      </c>
      <c r="F204" s="7" t="inlineStr">
        <is>
          <t>nitrogen</t>
        </is>
      </c>
      <c r="G204" s="7" t="inlineStr">
        <is>
          <t>[N;$(N-c(:c-[!#1;!900*]):c-[!#1;!900*])]</t>
        </is>
      </c>
      <c r="H204" s="7" t="inlineStr"/>
      <c r="I204" s="7" t="inlineStr"/>
      <c r="J204" s="7" t="inlineStr"/>
      <c r="K204" s="7" t="inlineStr"/>
      <c r="L204" s="7" t="inlineStr"/>
      <c r="M204" s="7" t="n"/>
      <c r="N204" s="7" t="inlineStr"/>
      <c r="O204" s="7" t="inlineStr">
        <is>
          <t>yes</t>
        </is>
      </c>
      <c r="P204" s="7" t="inlineStr"/>
      <c r="Q204" s="7" t="inlineStr">
        <is>
          <t>the reacting nitrogen was bonded to a ring carbon whose both neighbours carry substituents (2,6-disubstituted aniline, phenol or thiophenol)</t>
        </is>
      </c>
      <c r="R204" s="7" t="inlineStr">
        <is>
          <t>strongly hindered: acylation, alkylation and coupling are slow (2,6-dimethylaniline acylates far more slowly than aniline; Buchwald needs bulky ligands)</t>
        </is>
      </c>
      <c r="S204" s="7" t="inlineStr">
        <is>
          <t>the two ortho groups flank the lone pair</t>
        </is>
      </c>
      <c r="T204" s="7" t="n"/>
      <c r="U204" s="10" t="n">
        <v>-0.09</v>
      </c>
      <c r="V204" s="7" t="inlineStr">
        <is>
          <t>aryl halide +2.00 (n=955; winner had it 70 % vs 46 % at random) · arene ch -0.90 (n=871; winner had it 12 % vs 31 % at random) · carbonyl addition -0.59 (n=36; winner had it 28 % vs 44 % at random) · acyl substitution -0.39 (n=236; winner had it 33 % vs 47 % at random)</t>
        </is>
      </c>
      <c r="W204" s="7" t="n">
        <v>2366</v>
      </c>
      <c r="X204" s="7" t="n">
        <v>1291</v>
      </c>
      <c r="Y204" s="9" t="n">
        <v>0.3998</v>
      </c>
      <c r="Z204" s="9" t="n">
        <v>0.3942</v>
      </c>
      <c r="AA204" s="7" t="n"/>
      <c r="AB204" s="7" t="n"/>
      <c r="AC204" s="7" t="n"/>
      <c r="AD204" s="7" t="n"/>
      <c r="AE204" s="7" t="inlineStr">
        <is>
          <t>learned from the training patents (tools/int_train.py)</t>
        </is>
      </c>
      <c r="AF204" s="7" t="inlineStr">
        <is>
          <t>Clayden, Organic Chemistry</t>
        </is>
      </c>
    </row>
    <row r="205">
      <c r="A205" s="7" t="inlineStr">
        <is>
          <t>I202</t>
        </is>
      </c>
      <c r="B205" s="7" t="inlineStr">
        <is>
          <t>o-aryl-ortho2</t>
        </is>
      </c>
      <c r="C205" s="7" t="inlineStr">
        <is>
          <t>oxygen on an aromatic ring with two ortho substituents</t>
        </is>
      </c>
      <c r="D205" s="7" t="inlineStr">
        <is>
          <t>oxygen</t>
        </is>
      </c>
      <c r="E205" s="7" t="inlineStr">
        <is>
          <t>hindrance</t>
        </is>
      </c>
      <c r="F205" s="7" t="inlineStr">
        <is>
          <t>oxygen</t>
        </is>
      </c>
      <c r="G205" s="7" t="inlineStr">
        <is>
          <t>[O;$(O-c(:c-[!#1;!900*]):c-[!#1;!900*])]</t>
        </is>
      </c>
      <c r="H205" s="7" t="inlineStr"/>
      <c r="I205" s="7" t="inlineStr"/>
      <c r="J205" s="7" t="inlineStr"/>
      <c r="K205" s="7" t="inlineStr"/>
      <c r="L205" s="7" t="inlineStr"/>
      <c r="M205" s="7" t="n"/>
      <c r="N205" s="7" t="inlineStr"/>
      <c r="O205" s="7" t="inlineStr">
        <is>
          <t>yes</t>
        </is>
      </c>
      <c r="P205" s="7" t="inlineStr"/>
      <c r="Q205" s="7" t="inlineStr">
        <is>
          <t>the reacting oxygen was bonded to a ring carbon whose both neighbours carry substituents (2,6-disubstituted aniline, phenol or thiophenol)</t>
        </is>
      </c>
      <c r="R205" s="7" t="inlineStr">
        <is>
          <t>strongly hindered: acylation, alkylation and coupling are slow (2,6-dimethylaniline acylates far more slowly than aniline; Buchwald needs bulky ligands)</t>
        </is>
      </c>
      <c r="S205" s="7" t="inlineStr">
        <is>
          <t>the two ortho groups flank the lone pair</t>
        </is>
      </c>
      <c r="T205" s="7" t="n"/>
      <c r="U205" s="10" t="n">
        <v>-0.07000000000000001</v>
      </c>
      <c r="V205" s="7" t="inlineStr">
        <is>
          <t>aryl halide +0.50 (n=258; winner had it 54 % vs 47 % at random)</t>
        </is>
      </c>
      <c r="W205" s="7" t="n">
        <v>1881</v>
      </c>
      <c r="X205" s="7" t="n">
        <v>984</v>
      </c>
      <c r="Y205" s="9" t="n">
        <v>0.2722</v>
      </c>
      <c r="Z205" s="9" t="n">
        <v>0.3982</v>
      </c>
      <c r="AA205" s="7" t="n"/>
      <c r="AB205" s="7" t="n"/>
      <c r="AC205" s="7" t="n"/>
      <c r="AD205" s="7" t="n"/>
      <c r="AE205" s="7" t="inlineStr">
        <is>
          <t>learned from the training patents (tools/int_train.py)</t>
        </is>
      </c>
      <c r="AF205" s="7" t="inlineStr">
        <is>
          <t>Clayden, Organic Chemistry</t>
        </is>
      </c>
    </row>
    <row r="206">
      <c r="A206" s="7" t="inlineStr">
        <is>
          <t>I203</t>
        </is>
      </c>
      <c r="B206" s="7" t="inlineStr">
        <is>
          <t>s-aryl-ortho2</t>
        </is>
      </c>
      <c r="C206" s="7" t="inlineStr">
        <is>
          <t>sulfur on an aromatic ring with two ortho substituents</t>
        </is>
      </c>
      <c r="D206" s="7" t="inlineStr">
        <is>
          <t>sulfur</t>
        </is>
      </c>
      <c r="E206" s="7" t="inlineStr">
        <is>
          <t>hindrance</t>
        </is>
      </c>
      <c r="F206" s="7" t="inlineStr">
        <is>
          <t>sulfur</t>
        </is>
      </c>
      <c r="G206" s="7" t="inlineStr">
        <is>
          <t>[S;$(S-c(:c-[!#1;!900*]):c-[!#1;!900*])]</t>
        </is>
      </c>
      <c r="H206" s="7" t="inlineStr"/>
      <c r="I206" s="7" t="inlineStr"/>
      <c r="J206" s="7" t="inlineStr"/>
      <c r="K206" s="7" t="inlineStr"/>
      <c r="L206" s="7" t="inlineStr"/>
      <c r="M206" s="7" t="n"/>
      <c r="N206" s="7" t="inlineStr"/>
      <c r="O206" s="7" t="inlineStr">
        <is>
          <t>yes</t>
        </is>
      </c>
      <c r="P206" s="7" t="inlineStr"/>
      <c r="Q206" s="7" t="inlineStr">
        <is>
          <t>the reacting sulfur was bonded to a ring carbon whose both neighbours carry substituents (2,6-disubstituted aniline, phenol or thiophenol)</t>
        </is>
      </c>
      <c r="R206" s="7" t="inlineStr">
        <is>
          <t>strongly hindered: acylation, alkylation and coupling are slow (2,6-dimethylaniline acylates far more slowly than aniline; Buchwald needs bulky ligands)</t>
        </is>
      </c>
      <c r="S206" s="7" t="inlineStr">
        <is>
          <t>the two ortho groups flank the lone pair</t>
        </is>
      </c>
      <c r="T206" s="7" t="n"/>
      <c r="U206" s="10" t="n">
        <v>-0.5600000000000001</v>
      </c>
      <c r="V206" s="7" t="inlineStr">
        <is>
          <t>arene ch -1.15 (n=198; winner had it 7 % vs 28 % at random) · aryl halide +0.06 (n=67; winner had it 48 % vs 48 % at random)</t>
        </is>
      </c>
      <c r="W206" s="7" t="n">
        <v>324</v>
      </c>
      <c r="X206" s="7" t="n">
        <v>226</v>
      </c>
      <c r="Y206" s="9" t="n">
        <v>0.1821</v>
      </c>
      <c r="Z206" s="9" t="n">
        <v>0.3319</v>
      </c>
      <c r="AA206" s="7" t="n"/>
      <c r="AB206" s="7" t="n"/>
      <c r="AC206" s="7" t="n"/>
      <c r="AD206" s="7" t="n"/>
      <c r="AE206" s="7" t="inlineStr">
        <is>
          <t>learned from the training patents (tools/int_train.py)</t>
        </is>
      </c>
      <c r="AF206" s="7" t="inlineStr">
        <is>
          <t>Clayden, Organic Chemistry</t>
        </is>
      </c>
    </row>
    <row r="207">
      <c r="A207" s="7" t="inlineStr">
        <is>
          <t>I204</t>
        </is>
      </c>
      <c r="B207" s="7" t="inlineStr">
        <is>
          <t>n-aryl-p-ewg</t>
        </is>
      </c>
      <c r="C207" s="7" t="inlineStr">
        <is>
          <t>nitrogen on an aryl ring with a para electron-withdrawing group</t>
        </is>
      </c>
      <c r="D207" s="7" t="inlineStr">
        <is>
          <t>aryl ring on the reacting atom</t>
        </is>
      </c>
      <c r="E207" s="7" t="inlineStr">
        <is>
          <t>electronic</t>
        </is>
      </c>
      <c r="F207" s="7" t="inlineStr">
        <is>
          <t>nitrogen</t>
        </is>
      </c>
      <c r="G207" s="7" t="inlineStr">
        <is>
          <t>[N;$(N-[c;!900*]1:a:a:c(-[N+;!900*](=O)[O-]):a:a:1),$(N-[c;!900*]1:a:a:c(-[C;!900*]#N):a:a:1),$(N-[c;!900*]1:a:a:c(-[C;!900*](F)(F)F):a:a:1),$(N-[c;!900*]1:a:a:c(-[SX4;!900*](=O)=O):a:a:1),$(N-[c;!900*]1:a:a:c(-[CH1;!900*]=O):a:a:1),$(N-[c;!900*]1:a:a:c(-[CX3;!900*](=O)[#6]):a:a:1),$(N-[c;!900*]1:a:a:c(-[CX3;!900*](=O)[OX2]):a:a:1),$(N-[c;!900*]1:a:a:c(-[CX3;!900*](=O)[NX3]):a:a:1),$(N-[c;!900*]1:a:a:c(-[OX2;!900*]C(F)(F)F):a:a:1),$(N-[c;!900*]1:a:a:c(-[OX2;!900*][SX4](=O)=O):a:a:1),$(N-[c;!900*]1:a:a:c(-[OX2;!900*]C(=O)):a:a:1),$(N-[c;!900*]1:a:a:c(-[NX4+;!900*]):a:a:1)]</t>
        </is>
      </c>
      <c r="H207" s="7" t="inlineStr"/>
      <c r="I207" s="7" t="inlineStr"/>
      <c r="J207" s="7" t="inlineStr"/>
      <c r="K207" s="7" t="inlineStr"/>
      <c r="L207" s="7" t="inlineStr"/>
      <c r="M207" s="7" t="n"/>
      <c r="N207" s="7" t="inlineStr"/>
      <c r="O207" s="7" t="inlineStr">
        <is>
          <t>yes</t>
        </is>
      </c>
      <c r="P207" s="7" t="inlineStr"/>
      <c r="Q207" s="7" t="inlineStr">
        <is>
          <t>the reacting atom is bonded to an aromatic carbon (unchanged) whose para position carries nitro, cyano, CF3, a carbonyl, a sulfonyl, an ammonium, an acyloxy, OCF3 or a sulfonyloxy group</t>
        </is>
      </c>
      <c r="R207" s="7" t="inlineStr">
        <is>
          <t>weaker nucleophile and base (p-nitroaniline pKaH 1.0 against 4.6 for aniline) and stronger acid: reacts after the more electron-rich amine of the molecule; needs a stronger base or a more reactive electrophile</t>
        </is>
      </c>
      <c r="S207" s="7" t="inlineStr">
        <is>
          <t>Hammett effect through the ring (σ values of the substituent)</t>
        </is>
      </c>
      <c r="T207" s="7" t="n"/>
      <c r="U207" s="10" t="n">
        <v>-0.33</v>
      </c>
      <c r="V207" s="7" t="inlineStr">
        <is>
          <t>carbonyl addition -1.03 (n=134; winner had it 25 % vs 44 % at random) · acyl substitution -0.75 (n=604; winner had it 28 % vs 47 % at random) · aryl halide -0.67 (n=209; winner had it 39 % vs 49 % at random) · n nucleophile -0.04 (n=102; winner had it 19 % vs 46 % at random)</t>
        </is>
      </c>
      <c r="W207" s="7" t="n">
        <v>1209</v>
      </c>
      <c r="X207" s="7" t="n">
        <v>490</v>
      </c>
      <c r="Y207" s="9" t="n">
        <v>0.2936</v>
      </c>
      <c r="Z207" s="9" t="n">
        <v>0.4689</v>
      </c>
      <c r="AA207" s="7" t="n"/>
      <c r="AB207" s="7" t="n"/>
      <c r="AC207" s="7" t="n"/>
      <c r="AD207" s="7" t="n"/>
      <c r="AE207" s="7" t="inlineStr">
        <is>
          <t>learned from the training patents (tools/int_train.py)</t>
        </is>
      </c>
      <c r="AF207" s="7" t="inlineStr">
        <is>
          <t>Hansch, Leo, Taft, Chem. Rev. 91, 165 (1991); Clayden, Organic Chemistry (aromatic substitution)</t>
        </is>
      </c>
    </row>
    <row r="208">
      <c r="A208" s="7" t="inlineStr">
        <is>
          <t>I205</t>
        </is>
      </c>
      <c r="B208" s="7" t="inlineStr">
        <is>
          <t>n-aryl-o-ewg</t>
        </is>
      </c>
      <c r="C208" s="7" t="inlineStr">
        <is>
          <t>nitrogen on an aryl ring with a ortho electron-withdrawing group</t>
        </is>
      </c>
      <c r="D208" s="7" t="inlineStr">
        <is>
          <t>aryl ring on the reacting atom</t>
        </is>
      </c>
      <c r="E208" s="7" t="inlineStr">
        <is>
          <t>electronic</t>
        </is>
      </c>
      <c r="F208" s="7" t="inlineStr">
        <is>
          <t>nitrogen</t>
        </is>
      </c>
      <c r="G208" s="7" t="inlineStr">
        <is>
          <t>[N;$(N-[c;!900*]:c-[N+;!900*](=O)[O-]),$(N-[c;!900*]:c-[C;!900*]#N),$(N-[c;!900*]:c-[C;!900*](F)(F)F),$(N-[c;!900*]:c-[SX4;!900*](=O)=O),$(N-[c;!900*]:c-[CH1;!900*]=O),$(N-[c;!900*]:c-[CX3;!900*](=O)[#6]),$(N-[c;!900*]:c-[CX3;!900*](=O)[OX2]),$(N-[c;!900*]:c-[CX3;!900*](=O)[NX3]),$(N-[c;!900*]:c-[OX2;!900*]C(F)(F)F),$(N-[c;!900*]:c-[OX2;!900*][SX4](=O)=O),$(N-[c;!900*]:c-[OX2;!900*]C(=O)),$(N-[c;!900*]:c-[NX4+;!900*])]</t>
        </is>
      </c>
      <c r="H208" s="7" t="inlineStr"/>
      <c r="I208" s="7" t="inlineStr"/>
      <c r="J208" s="7" t="inlineStr"/>
      <c r="K208" s="7" t="inlineStr"/>
      <c r="L208" s="7" t="inlineStr"/>
      <c r="M208" s="7" t="n"/>
      <c r="N208" s="7" t="inlineStr"/>
      <c r="O208" s="7" t="inlineStr">
        <is>
          <t>yes</t>
        </is>
      </c>
      <c r="P208" s="7" t="inlineStr"/>
      <c r="Q208" s="7" t="inlineStr">
        <is>
          <t>the reacting atom is bonded to an aromatic carbon (unchanged) whose ortho position carries nitro, cyano, CF3, a carbonyl, a sulfonyl, an ammonium, an acyloxy, OCF3 or a sulfonyloxy group</t>
        </is>
      </c>
      <c r="R208" s="7" t="inlineStr">
        <is>
          <t>a far weaker nucleophile and base (o-nitroaniline pKaH −0.3 against 4.6 for aniline; the nitro group also hydrogen-bonds to the N–H and crowds it): needs a stronger base or a more reactive electrophile; reacts after other amines</t>
        </is>
      </c>
      <c r="S208" s="7" t="inlineStr">
        <is>
          <t>Hammett effect through the ring (σ values of the substituent)</t>
        </is>
      </c>
      <c r="T208" s="7" t="n"/>
      <c r="U208" s="10" t="n">
        <v>-0.51</v>
      </c>
      <c r="V208" s="7" t="inlineStr">
        <is>
          <t>alkyl substitution -1.45 (n=161; winner had it 21 % vs 44 % at random) · acyl substitution -1.37 (n=905; winner had it 45 % vs 47 % at random) · deprotection -0.87 (n=32; winner had it 38 % vs 43 % at random) · n nucleophile -0.67 (n=85; winner had it 19 % vs 42 % at random) · carbonyl addition +0.20 (n=194; winner had it 43 % vs 43 % at random) · aryl halide -0.20 (n=236; winner had it 58 % vs 48 % at random)</t>
        </is>
      </c>
      <c r="W208" s="7" t="n">
        <v>1627</v>
      </c>
      <c r="X208" s="7" t="n">
        <v>598</v>
      </c>
      <c r="Y208" s="9" t="n">
        <v>0.4253</v>
      </c>
      <c r="Z208" s="9" t="n">
        <v>0.4601</v>
      </c>
      <c r="AA208" s="7" t="n"/>
      <c r="AB208" s="7" t="n"/>
      <c r="AC208" s="7" t="n"/>
      <c r="AD208" s="7" t="n"/>
      <c r="AE208" s="7" t="inlineStr">
        <is>
          <t>learned from the training patents (tools/int_train.py)</t>
        </is>
      </c>
      <c r="AF208" s="7" t="inlineStr">
        <is>
          <t>Hansch, Leo, Taft, Chem. Rev. 91, 165 (1991); Clayden, Organic Chemistry (aromatic substitution)</t>
        </is>
      </c>
    </row>
    <row r="209">
      <c r="A209" s="7" t="inlineStr">
        <is>
          <t>I206</t>
        </is>
      </c>
      <c r="B209" s="7" t="inlineStr">
        <is>
          <t>n-aryl-p-edg</t>
        </is>
      </c>
      <c r="C209" s="7" t="inlineStr">
        <is>
          <t>nitrogen on an aryl ring with a para electron-donating group</t>
        </is>
      </c>
      <c r="D209" s="7" t="inlineStr">
        <is>
          <t>aryl ring on the reacting atom</t>
        </is>
      </c>
      <c r="E209" s="7" t="inlineStr">
        <is>
          <t>electronic</t>
        </is>
      </c>
      <c r="F209" s="7" t="inlineStr">
        <is>
          <t>nitrogen</t>
        </is>
      </c>
      <c r="G209" s="7" t="inlineStr">
        <is>
          <t>[N;$(N-[c;!900*]1:a:a:c(-[NX3;H0;+0;!$(N-C=O);!$(N-S=O);!$(N(-c)-c);!900*]([#6])[#6]):a:a:1),$(N-[c;!900*]1:a:a:c(-[NX3;H2,H1;+0;!$(N-[C,S,P]=[O,S,N]);!$(N-[#7,#8]);!900*]):a:a:1),$(N-[c;!900*]1:a:a:c(-[OX2H1;!900*]):a:a:1),$(N-[c;!900*]1:a:a:c(-[OX2;!900*][CX4;!$(C(F)(F)F)]):a:a:1),$(N-[c;!900*]1:a:a:c(-[CH3;!900*]):a:a:1),$(N-[c;!900*]1:a:a:c(-[CX4;!H3;!$(C-[F,Cl,Br,I,$(C#N)]);!900*]):a:a:1),$(N-[c;!900*]1:a:a:c(-[OX1-;!900*]):a:a:1)]</t>
        </is>
      </c>
      <c r="H209" s="7" t="inlineStr"/>
      <c r="I209" s="7" t="inlineStr"/>
      <c r="J209" s="7" t="inlineStr"/>
      <c r="K209" s="7" t="inlineStr"/>
      <c r="L209" s="7" t="inlineStr"/>
      <c r="M209" s="7" t="n"/>
      <c r="N209" s="7" t="inlineStr"/>
      <c r="O209" s="7" t="inlineStr">
        <is>
          <t>yes</t>
        </is>
      </c>
      <c r="P209" s="7" t="inlineStr"/>
      <c r="Q209" s="7" t="inlineStr">
        <is>
          <t>the reacting atom is bonded to an aromatic carbon (unchanged) whose para position carries an alkoxy, hydroxy, phenoxide, amino or alkyl group</t>
        </is>
      </c>
      <c r="R209" s="7" t="inlineStr">
        <is>
          <t>stronger nucleophile and base (p-anisidine pKaH 5.3, p-toluidine 5.1 against 4.6 for aniline): reacts before less electron-rich anilines</t>
        </is>
      </c>
      <c r="S209" s="7" t="inlineStr">
        <is>
          <t>Hammett effect through the ring (σ values of the substituent)</t>
        </is>
      </c>
      <c r="T209" s="7" t="n"/>
      <c r="U209" s="10" t="n">
        <v>-0.03</v>
      </c>
      <c r="V209" s="7" t="inlineStr">
        <is>
          <t>redox other -0.75 (n=42; winner had it 19 % vs 50 % at random) · alkyl substitution -0.60 (n=362; winner had it 11 % vs 46 % at random) · deprotection +0.45 (n=74; winner had it 28 % vs 46 % at random)</t>
        </is>
      </c>
      <c r="W209" s="7" t="n">
        <v>2455</v>
      </c>
      <c r="X209" s="7" t="n">
        <v>781</v>
      </c>
      <c r="Y209" s="9" t="n">
        <v>0.2037</v>
      </c>
      <c r="Z209" s="9" t="n">
        <v>0.4644</v>
      </c>
      <c r="AA209" s="7" t="n"/>
      <c r="AB209" s="7" t="n"/>
      <c r="AC209" s="7" t="n"/>
      <c r="AD209" s="7" t="n"/>
      <c r="AE209" s="7" t="inlineStr">
        <is>
          <t>learned from the training patents (tools/int_train.py)</t>
        </is>
      </c>
      <c r="AF209" s="7" t="inlineStr">
        <is>
          <t>Hansch, Leo, Taft, Chem. Rev. 91, 165 (1991); Clayden, Organic Chemistry (aromatic substitution)</t>
        </is>
      </c>
    </row>
    <row r="210">
      <c r="A210" s="7" t="inlineStr">
        <is>
          <t>I207</t>
        </is>
      </c>
      <c r="B210" s="7" t="inlineStr">
        <is>
          <t>n-aryl-o-edg</t>
        </is>
      </c>
      <c r="C210" s="7" t="inlineStr">
        <is>
          <t>nitrogen on an aryl ring with a ortho electron-donating group</t>
        </is>
      </c>
      <c r="D210" s="7" t="inlineStr">
        <is>
          <t>aryl ring on the reacting atom</t>
        </is>
      </c>
      <c r="E210" s="7" t="inlineStr">
        <is>
          <t>electronic</t>
        </is>
      </c>
      <c r="F210" s="7" t="inlineStr">
        <is>
          <t>nitrogen</t>
        </is>
      </c>
      <c r="G210" s="7" t="inlineStr">
        <is>
          <t>[N;$(N-[c;!900*]:c-[NX3;H0;+0;!$(N-C=O);!$(N-S=O);!$(N(-c)-c);!900*]([#6])[#6]),$(N-[c;!900*]:c-[NX3;H2,H1;+0;!$(N-[C,S,P]=[O,S,N]);!$(N-[#7,#8]);!900*]),$(N-[c;!900*]:c-[OX2H1;!900*]),$(N-[c;!900*]:c-[OX2;!900*][CX4;!$(C(F)(F)F)]),$(N-[c;!900*]:c-[CH3;!900*]),$(N-[c;!900*]:c-[CX4;!H3;!$(C-[F,Cl,Br,I,$(C#N)]);!900*]),$(N-[c;!900*]:c-[OX1-;!900*])]</t>
        </is>
      </c>
      <c r="H210" s="7" t="inlineStr"/>
      <c r="I210" s="7" t="inlineStr"/>
      <c r="J210" s="7" t="inlineStr"/>
      <c r="K210" s="7" t="inlineStr"/>
      <c r="L210" s="7" t="inlineStr"/>
      <c r="M210" s="7" t="n"/>
      <c r="N210" s="7" t="inlineStr"/>
      <c r="O210" s="7" t="inlineStr">
        <is>
          <t>yes</t>
        </is>
      </c>
      <c r="P210" s="7" t="inlineStr"/>
      <c r="Q210" s="7" t="inlineStr">
        <is>
          <t>the reacting atom is bonded to an aromatic carbon (unchanged) whose ortho position carries an alkoxy, hydroxy, phenoxide, amino or alkyl group</t>
        </is>
      </c>
      <c r="R210" s="7" t="inlineStr">
        <is>
          <t>about as basic as aniline (o-toluidine pKaH 4.4, o-anisidine 4.5 against 4.6) and more hindered: the ortho group crowds the N and twists it out of conjugation, so acylation and coupling are slower than for the para isomer</t>
        </is>
      </c>
      <c r="S210" s="7" t="inlineStr">
        <is>
          <t>Hammett effect through the ring (σ values of the substituent)</t>
        </is>
      </c>
      <c r="T210" s="7" t="n"/>
      <c r="U210" s="10" t="n">
        <v>0.16</v>
      </c>
      <c r="V210" s="7" t="inlineStr">
        <is>
          <t>alkyl substitution +1.39 (n=471; winner had it 51 % vs 46 % at random) · redox other +0.68 (n=33; winner had it 82 % vs 50 % at random) · unsaturated -0.64 (n=33; winner had it 15 % vs 47 % at random) · carbonyl addition -0.29 (n=221; winner had it 21 % vs 46 % at random) · aryl halide -0.12 (n=399; winner had it 37 % vs 50 % at random)</t>
        </is>
      </c>
      <c r="W210" s="7" t="n">
        <v>2645</v>
      </c>
      <c r="X210" s="7" t="n">
        <v>876</v>
      </c>
      <c r="Y210" s="9" t="n">
        <v>0.3773</v>
      </c>
      <c r="Z210" s="9" t="n">
        <v>0.475</v>
      </c>
      <c r="AA210" s="7" t="n"/>
      <c r="AB210" s="7" t="n"/>
      <c r="AC210" s="7" t="n"/>
      <c r="AD210" s="7" t="n"/>
      <c r="AE210" s="7" t="inlineStr">
        <is>
          <t>learned from the training patents (tools/int_train.py)</t>
        </is>
      </c>
      <c r="AF210" s="7" t="inlineStr">
        <is>
          <t>Hansch, Leo, Taft, Chem. Rev. 91, 165 (1991); Clayden, Organic Chemistry (aromatic substitution)</t>
        </is>
      </c>
    </row>
    <row r="211">
      <c r="A211" s="7" t="inlineStr">
        <is>
          <t>I208</t>
        </is>
      </c>
      <c r="B211" s="7" t="inlineStr">
        <is>
          <t>o-aryl-p-ewg</t>
        </is>
      </c>
      <c r="C211" s="7" t="inlineStr">
        <is>
          <t>oxygen on an aryl ring with a para electron-withdrawing group</t>
        </is>
      </c>
      <c r="D211" s="7" t="inlineStr">
        <is>
          <t>aryl ring on the reacting atom</t>
        </is>
      </c>
      <c r="E211" s="7" t="inlineStr">
        <is>
          <t>electronic</t>
        </is>
      </c>
      <c r="F211" s="7" t="inlineStr">
        <is>
          <t>oxygen</t>
        </is>
      </c>
      <c r="G211" s="7" t="inlineStr">
        <is>
          <t>[O;$(O-[c;!900*]1:a:a:c(-[N+;!900*](=O)[O-]):a:a:1),$(O-[c;!900*]1:a:a:c(-[C;!900*]#N):a:a:1),$(O-[c;!900*]1:a:a:c(-[C;!900*](F)(F)F):a:a:1),$(O-[c;!900*]1:a:a:c(-[SX4;!900*](=O)=O):a:a:1),$(O-[c;!900*]1:a:a:c(-[CH1;!900*]=O):a:a:1),$(O-[c;!900*]1:a:a:c(-[CX3;!900*](=O)[#6]):a:a:1),$(O-[c;!900*]1:a:a:c(-[CX3;!900*](=O)[OX2]):a:a:1),$(O-[c;!900*]1:a:a:c(-[CX3;!900*](=O)[NX3]):a:a:1),$(O-[c;!900*]1:a:a:c(-[OX2;!900*]C(F)(F)F):a:a:1),$(O-[c;!900*]1:a:a:c(-[OX2;!900*][SX4](=O)=O):a:a:1),$(O-[c;!900*]1:a:a:c(-[OX2;!900*]C(=O)):a:a:1),$(O-[c;!900*]1:a:a:c(-[NX4+;!900*]):a:a:1)]</t>
        </is>
      </c>
      <c r="H211" s="7" t="inlineStr"/>
      <c r="I211" s="7" t="inlineStr"/>
      <c r="J211" s="7" t="inlineStr"/>
      <c r="K211" s="7" t="inlineStr"/>
      <c r="L211" s="7" t="inlineStr"/>
      <c r="M211" s="7" t="n"/>
      <c r="N211" s="7" t="inlineStr"/>
      <c r="O211" s="7" t="inlineStr">
        <is>
          <t>yes</t>
        </is>
      </c>
      <c r="P211" s="7" t="inlineStr"/>
      <c r="Q211" s="7" t="inlineStr">
        <is>
          <t>the reacting atom is bonded to an aromatic carbon (unchanged) whose para position carries nitro, cyano, CF3, a carbonyl, a sulfonyl, an ammonium, an acyloxy, OCF3 or a sulfonyloxy group</t>
        </is>
      </c>
      <c r="R211" s="7" t="inlineStr">
        <is>
          <t>a weaker nucleophile and a stronger acid (p-nitrophenol pKa 7.2 against 10.0 for phenol): easily deprotonated (K2CO3 is enough) but a poorer nucleophile; a better leaving group</t>
        </is>
      </c>
      <c r="S211" s="7" t="inlineStr">
        <is>
          <t>Hammett effect through the ring (σ values of the substituent)</t>
        </is>
      </c>
      <c r="T211" s="7" t="n"/>
      <c r="U211" s="10" t="n">
        <v>0.51</v>
      </c>
      <c r="V211" s="7" t="inlineStr">
        <is>
          <t>alkyl substitution +0.99 (n=373; winner had it 91 % vs 49 % at random) · acyl substitution +0.87 (n=1145; winner had it 9 % vs 34 % at random) · o nucleophile +0.13 (n=142; winner had it 56 % vs 49 % at random) · deprotection -0.07 (n=327; winner had it 56 % vs 44 % at random)</t>
        </is>
      </c>
      <c r="W211" s="7" t="n">
        <v>2038</v>
      </c>
      <c r="X211" s="7" t="n">
        <v>1092</v>
      </c>
      <c r="Y211" s="9" t="n">
        <v>0.367</v>
      </c>
      <c r="Z211" s="9" t="n">
        <v>0.3998</v>
      </c>
      <c r="AA211" s="7" t="n"/>
      <c r="AB211" s="7" t="n"/>
      <c r="AC211" s="7" t="n"/>
      <c r="AD211" s="7" t="n"/>
      <c r="AE211" s="7" t="inlineStr">
        <is>
          <t>learned from the training patents (tools/int_train.py)</t>
        </is>
      </c>
      <c r="AF211" s="7" t="inlineStr">
        <is>
          <t>Hansch, Leo, Taft, Chem. Rev. 91, 165 (1991); Clayden, Organic Chemistry (aromatic substitution)</t>
        </is>
      </c>
    </row>
    <row r="212">
      <c r="A212" s="7" t="inlineStr">
        <is>
          <t>I209</t>
        </is>
      </c>
      <c r="B212" s="7" t="inlineStr">
        <is>
          <t>o-aryl-o-ewg</t>
        </is>
      </c>
      <c r="C212" s="7" t="inlineStr">
        <is>
          <t>oxygen on an aryl ring with a ortho electron-withdrawing group</t>
        </is>
      </c>
      <c r="D212" s="7" t="inlineStr">
        <is>
          <t>aryl ring on the reacting atom</t>
        </is>
      </c>
      <c r="E212" s="7" t="inlineStr">
        <is>
          <t>electronic</t>
        </is>
      </c>
      <c r="F212" s="7" t="inlineStr">
        <is>
          <t>oxygen</t>
        </is>
      </c>
      <c r="G212" s="7" t="inlineStr">
        <is>
          <t>[O;$(O-[c;!900*]:c-[N+;!900*](=O)[O-]),$(O-[c;!900*]:c-[C;!900*]#N),$(O-[c;!900*]:c-[C;!900*](F)(F)F),$(O-[c;!900*]:c-[SX4;!900*](=O)=O),$(O-[c;!900*]:c-[CH1;!900*]=O),$(O-[c;!900*]:c-[CX3;!900*](=O)[#6]),$(O-[c;!900*]:c-[CX3;!900*](=O)[OX2]),$(O-[c;!900*]:c-[CX3;!900*](=O)[NX3]),$(O-[c;!900*]:c-[OX2;!900*]C(F)(F)F),$(O-[c;!900*]:c-[OX2;!900*][SX4](=O)=O),$(O-[c;!900*]:c-[OX2;!900*]C(=O)),$(O-[c;!900*]:c-[NX4+;!900*])]</t>
        </is>
      </c>
      <c r="H212" s="7" t="inlineStr"/>
      <c r="I212" s="7" t="inlineStr"/>
      <c r="J212" s="7" t="inlineStr"/>
      <c r="K212" s="7" t="inlineStr"/>
      <c r="L212" s="7" t="inlineStr"/>
      <c r="M212" s="7" t="n"/>
      <c r="N212" s="7" t="inlineStr"/>
      <c r="O212" s="7" t="inlineStr">
        <is>
          <t>yes</t>
        </is>
      </c>
      <c r="P212" s="7" t="inlineStr"/>
      <c r="Q212" s="7" t="inlineStr">
        <is>
          <t>the reacting atom is bonded to an aromatic carbon (unchanged) whose ortho position carries nitro, cyano, CF3, a carbonyl, a sulfonyl, an ammonium, an acyloxy, OCF3 or a sulfonyloxy group</t>
        </is>
      </c>
      <c r="R212" s="7" t="inlineStr">
        <is>
          <t>a stronger acid and a weaker nucleophile (o-nitrophenol pKa 7.2 against 10.0 for phenol; the nitro group hydrogen-bonds to the O–H and crowds the O)</t>
        </is>
      </c>
      <c r="S212" s="7" t="inlineStr">
        <is>
          <t>Hammett effect through the ring (σ values of the substituent)</t>
        </is>
      </c>
      <c r="T212" s="7" t="n"/>
      <c r="U212" s="10" t="n">
        <v>-0.75</v>
      </c>
      <c r="V212" s="7" t="inlineStr">
        <is>
          <t>alkyl substitution -1.76 (n=358; winner had it 23 % vs 49 % at random) · o nucleophile -0.95 (n=109; winner had it 39 % vs 49 % at random) · acyl substitution +0.48 (n=1161; winner had it 7 % vs 36 % at random) · deprotection +0.23 (n=338; winner had it 73 % vs 43 % at random)</t>
        </is>
      </c>
      <c r="W212" s="7" t="n">
        <v>2018</v>
      </c>
      <c r="X212" s="7" t="n">
        <v>1031</v>
      </c>
      <c r="Y212" s="9" t="n">
        <v>0.2294</v>
      </c>
      <c r="Z212" s="9" t="n">
        <v>0.4038</v>
      </c>
      <c r="AA212" s="7" t="n"/>
      <c r="AB212" s="7" t="n"/>
      <c r="AC212" s="7" t="n"/>
      <c r="AD212" s="7" t="n"/>
      <c r="AE212" s="7" t="inlineStr">
        <is>
          <t>learned from the training patents (tools/int_train.py)</t>
        </is>
      </c>
      <c r="AF212" s="7" t="inlineStr">
        <is>
          <t>Hansch, Leo, Taft, Chem. Rev. 91, 165 (1991); Clayden, Organic Chemistry (aromatic substitution)</t>
        </is>
      </c>
    </row>
    <row r="213">
      <c r="A213" s="7" t="inlineStr">
        <is>
          <t>I210</t>
        </is>
      </c>
      <c r="B213" s="7" t="inlineStr">
        <is>
          <t>o-aryl-p-edg</t>
        </is>
      </c>
      <c r="C213" s="7" t="inlineStr">
        <is>
          <t>oxygen on an aryl ring with a para electron-donating group</t>
        </is>
      </c>
      <c r="D213" s="7" t="inlineStr">
        <is>
          <t>aryl ring on the reacting atom</t>
        </is>
      </c>
      <c r="E213" s="7" t="inlineStr">
        <is>
          <t>electronic</t>
        </is>
      </c>
      <c r="F213" s="7" t="inlineStr">
        <is>
          <t>oxygen</t>
        </is>
      </c>
      <c r="G213" s="7" t="inlineStr">
        <is>
          <t>[O;$(O-[c;!900*]1:a:a:c(-[NX3;H0;+0;!$(N-C=O);!$(N-S=O);!$(N(-c)-c);!900*]([#6])[#6]):a:a:1),$(O-[c;!900*]1:a:a:c(-[NX3;H2,H1;+0;!$(N-[C,S,P]=[O,S,N]);!$(N-[#7,#8]);!900*]):a:a:1),$(O-[c;!900*]1:a:a:c(-[OX2H1;!900*]):a:a:1),$(O-[c;!900*]1:a:a:c(-[OX2;!900*][CX4;!$(C(F)(F)F)]):a:a:1),$(O-[c;!900*]1:a:a:c(-[CH3;!900*]):a:a:1),$(O-[c;!900*]1:a:a:c(-[CX4;!H3;!$(C-[F,Cl,Br,I,$(C#N)]);!900*]):a:a:1),$(O-[c;!900*]1:a:a:c(-[OX1-;!900*]):a:a:1)]</t>
        </is>
      </c>
      <c r="H213" s="7" t="inlineStr"/>
      <c r="I213" s="7" t="inlineStr"/>
      <c r="J213" s="7" t="inlineStr"/>
      <c r="K213" s="7" t="inlineStr"/>
      <c r="L213" s="7" t="inlineStr"/>
      <c r="M213" s="7" t="n"/>
      <c r="N213" s="7" t="inlineStr"/>
      <c r="O213" s="7" t="inlineStr">
        <is>
          <t>yes</t>
        </is>
      </c>
      <c r="P213" s="7" t="inlineStr"/>
      <c r="Q213" s="7" t="inlineStr">
        <is>
          <t>the reacting atom is bonded to an aromatic carbon (unchanged) whose para position carries an alkoxy, hydroxy, phenoxide, amino or alkyl group</t>
        </is>
      </c>
      <c r="R213" s="7" t="inlineStr">
        <is>
          <t>a more nucleophilic, less acidic phenol (p-methoxyphenol pKa 10.2)</t>
        </is>
      </c>
      <c r="S213" s="7" t="inlineStr">
        <is>
          <t>Hammett effect through the ring (σ values of the substituent)</t>
        </is>
      </c>
      <c r="T213" s="7" t="n"/>
      <c r="U213" s="10" t="n">
        <v>0.28</v>
      </c>
      <c r="V213" s="7" t="inlineStr">
        <is>
          <t>aryl halide +1.26 (n=181; winner had it 98 % vs 50 % at random) · deprotection -0.08 (n=553; winner had it 68 % vs 45 % at random)</t>
        </is>
      </c>
      <c r="W213" s="7" t="n">
        <v>3692</v>
      </c>
      <c r="X213" s="7" t="n">
        <v>1545</v>
      </c>
      <c r="Y213" s="9" t="n">
        <v>0.4038</v>
      </c>
      <c r="Z213" s="9" t="n">
        <v>0.3963</v>
      </c>
      <c r="AA213" s="7" t="n"/>
      <c r="AB213" s="7" t="n"/>
      <c r="AC213" s="7" t="n"/>
      <c r="AD213" s="7" t="n"/>
      <c r="AE213" s="7" t="inlineStr">
        <is>
          <t>learned from the training patents (tools/int_train.py)</t>
        </is>
      </c>
      <c r="AF213" s="7" t="inlineStr">
        <is>
          <t>Hansch, Leo, Taft, Chem. Rev. 91, 165 (1991); Clayden, Organic Chemistry (aromatic substitution)</t>
        </is>
      </c>
    </row>
    <row r="214">
      <c r="A214" s="7" t="inlineStr">
        <is>
          <t>I211</t>
        </is>
      </c>
      <c r="B214" s="7" t="inlineStr">
        <is>
          <t>o-aryl-o-edg</t>
        </is>
      </c>
      <c r="C214" s="7" t="inlineStr">
        <is>
          <t>oxygen on an aryl ring with a ortho electron-donating group</t>
        </is>
      </c>
      <c r="D214" s="7" t="inlineStr">
        <is>
          <t>aryl ring on the reacting atom</t>
        </is>
      </c>
      <c r="E214" s="7" t="inlineStr">
        <is>
          <t>electronic</t>
        </is>
      </c>
      <c r="F214" s="7" t="inlineStr">
        <is>
          <t>oxygen</t>
        </is>
      </c>
      <c r="G214" s="7" t="inlineStr">
        <is>
          <t>[O;$(O-[c;!900*]:c-[NX3;H0;+0;!$(N-C=O);!$(N-S=O);!$(N(-c)-c);!900*]([#6])[#6]),$(O-[c;!900*]:c-[NX3;H2,H1;+0;!$(N-[C,S,P]=[O,S,N]);!$(N-[#7,#8]);!900*]),$(O-[c;!900*]:c-[OX2H1;!900*]),$(O-[c;!900*]:c-[OX2;!900*][CX4;!$(C(F)(F)F)]),$(O-[c;!900*]:c-[CH3;!900*]),$(O-[c;!900*]:c-[CX4;!H3;!$(C-[F,Cl,Br,I,$(C#N)]);!900*]),$(O-[c;!900*]:c-[OX1-;!900*])]</t>
        </is>
      </c>
      <c r="H214" s="7" t="inlineStr"/>
      <c r="I214" s="7" t="inlineStr"/>
      <c r="J214" s="7" t="inlineStr"/>
      <c r="K214" s="7" t="inlineStr"/>
      <c r="L214" s="7" t="inlineStr"/>
      <c r="M214" s="7" t="n"/>
      <c r="N214" s="7" t="inlineStr"/>
      <c r="O214" s="7" t="inlineStr">
        <is>
          <t>yes</t>
        </is>
      </c>
      <c r="P214" s="7" t="inlineStr"/>
      <c r="Q214" s="7" t="inlineStr">
        <is>
          <t>the reacting atom is bonded to an aromatic carbon (unchanged) whose ortho position carries an alkoxy, hydroxy, phenoxide, amino or alkyl group</t>
        </is>
      </c>
      <c r="R214" s="7" t="inlineStr">
        <is>
          <t>about as acidic as phenol (o-cresol pKa 10.3, guaiacol 10.0) and more hindered; an ortho alkoxy group can chelate a metal or a Lewis acid</t>
        </is>
      </c>
      <c r="S214" s="7" t="inlineStr">
        <is>
          <t>Hammett effect through the ring (σ values of the substituent)</t>
        </is>
      </c>
      <c r="T214" s="7" t="n"/>
      <c r="U214" s="10" t="n">
        <v>-0.24</v>
      </c>
      <c r="V214" s="7" t="inlineStr">
        <is>
          <t>deprotection -0.66 (n=469; winner had it 55 % vs 46 % at random) · alkyl substitution -0.59 (n=476; winner had it 82 % vs 49 % at random) · o nucleophile +0.35 (n=178; winner had it 70 % vs 48 % at random)</t>
        </is>
      </c>
      <c r="W214" s="7" t="n">
        <v>3462</v>
      </c>
      <c r="X214" s="7" t="n">
        <v>1584</v>
      </c>
      <c r="Y214" s="9" t="n">
        <v>0.2683</v>
      </c>
      <c r="Z214" s="9" t="n">
        <v>0.4011</v>
      </c>
      <c r="AA214" s="7" t="n"/>
      <c r="AB214" s="7" t="n"/>
      <c r="AC214" s="7" t="n"/>
      <c r="AD214" s="7" t="n"/>
      <c r="AE214" s="7" t="inlineStr">
        <is>
          <t>learned from the training patents (tools/int_train.py)</t>
        </is>
      </c>
      <c r="AF214" s="7" t="inlineStr">
        <is>
          <t>Hansch, Leo, Taft, Chem. Rev. 91, 165 (1991); Clayden, Organic Chemistry (aromatic substitution)</t>
        </is>
      </c>
    </row>
    <row r="215">
      <c r="A215" s="7" t="inlineStr">
        <is>
          <t>I212</t>
        </is>
      </c>
      <c r="B215" s="7" t="inlineStr">
        <is>
          <t>s-aryl-p-ewg</t>
        </is>
      </c>
      <c r="C215" s="7" t="inlineStr">
        <is>
          <t>sulfur on an aryl ring with a para electron-withdrawing group</t>
        </is>
      </c>
      <c r="D215" s="7" t="inlineStr">
        <is>
          <t>aryl ring on the reacting atom</t>
        </is>
      </c>
      <c r="E215" s="7" t="inlineStr">
        <is>
          <t>electronic</t>
        </is>
      </c>
      <c r="F215" s="7" t="inlineStr">
        <is>
          <t>sulfur</t>
        </is>
      </c>
      <c r="G215" s="7" t="inlineStr">
        <is>
          <t>[S;$(S-[c;!900*]1:a:a:c(-[N+;!900*](=O)[O-]):a:a:1),$(S-[c;!900*]1:a:a:c(-[C;!900*]#N):a:a:1),$(S-[c;!900*]1:a:a:c(-[C;!900*](F)(F)F):a:a:1),$(S-[c;!900*]1:a:a:c(-[SX4;!900*](=O)=O):a:a:1),$(S-[c;!900*]1:a:a:c(-[CH1;!900*]=O):a:a:1),$(S-[c;!900*]1:a:a:c(-[CX3;!900*](=O)[#6]):a:a:1),$(S-[c;!900*]1:a:a:c(-[CX3;!900*](=O)[OX2]):a:a:1),$(S-[c;!900*]1:a:a:c(-[CX3;!900*](=O)[NX3]):a:a:1),$(S-[c;!900*]1:a:a:c(-[OX2;!900*]C(F)(F)F):a:a:1),$(S-[c;!900*]1:a:a:c(-[OX2;!900*][SX4](=O)=O):a:a:1),$(S-[c;!900*]1:a:a:c(-[OX2;!900*]C(=O)):a:a:1),$(S-[c;!900*]1:a:a:c(-[NX4+;!900*]):a:a:1)]</t>
        </is>
      </c>
      <c r="H215" s="7" t="inlineStr"/>
      <c r="I215" s="7" t="inlineStr"/>
      <c r="J215" s="7" t="inlineStr"/>
      <c r="K215" s="7" t="inlineStr"/>
      <c r="L215" s="7" t="inlineStr"/>
      <c r="M215" s="7" t="n"/>
      <c r="N215" s="7" t="inlineStr"/>
      <c r="O215" s="7" t="inlineStr">
        <is>
          <t>yes</t>
        </is>
      </c>
      <c r="P215" s="7" t="inlineStr"/>
      <c r="Q215" s="7" t="inlineStr">
        <is>
          <t>the reacting atom is bonded to an aromatic carbon (unchanged) whose para position carries nitro, cyano, CF3, a carbonyl, a sulfonyl, an ammonium, an acyloxy, OCF3 or a sulfonyloxy group</t>
        </is>
      </c>
      <c r="R215" s="7" t="inlineStr">
        <is>
          <t>a weaker, less basic thiolate nucleophile; stronger acid</t>
        </is>
      </c>
      <c r="S215" s="7" t="inlineStr">
        <is>
          <t>Hammett effect through the ring (σ values of the substituent)</t>
        </is>
      </c>
      <c r="T215" s="7" t="n"/>
      <c r="U215" s="10" t="n">
        <v>0.43</v>
      </c>
      <c r="V215" s="7" t="inlineStr"/>
      <c r="W215" s="7" t="n">
        <v>11</v>
      </c>
      <c r="X215" s="7" t="n">
        <v>10</v>
      </c>
      <c r="Y215" s="9" t="n">
        <v>0.9091</v>
      </c>
      <c r="Z215" s="9" t="n">
        <v>0.5</v>
      </c>
      <c r="AA215" s="7" t="n"/>
      <c r="AB215" s="7" t="n"/>
      <c r="AC215" s="7" t="n"/>
      <c r="AD215" s="7" t="n"/>
      <c r="AE215" s="7" t="inlineStr">
        <is>
          <t>too few contests in the recorded reactions to learn a weight (the weight is shrunk to about zero): the textbook effect is advisory</t>
        </is>
      </c>
      <c r="AF215" s="7" t="inlineStr">
        <is>
          <t>Hansch, Leo, Taft, Chem. Rev. 91, 165 (1991); Clayden, Organic Chemistry (aromatic substitution)</t>
        </is>
      </c>
    </row>
    <row r="216">
      <c r="A216" s="7" t="inlineStr">
        <is>
          <t>I213</t>
        </is>
      </c>
      <c r="B216" s="7" t="inlineStr">
        <is>
          <t>s-aryl-o-ewg</t>
        </is>
      </c>
      <c r="C216" s="7" t="inlineStr">
        <is>
          <t>sulfur on an aryl ring with a ortho electron-withdrawing group</t>
        </is>
      </c>
      <c r="D216" s="7" t="inlineStr">
        <is>
          <t>aryl ring on the reacting atom</t>
        </is>
      </c>
      <c r="E216" s="7" t="inlineStr">
        <is>
          <t>electronic</t>
        </is>
      </c>
      <c r="F216" s="7" t="inlineStr">
        <is>
          <t>sulfur</t>
        </is>
      </c>
      <c r="G216" s="7" t="inlineStr">
        <is>
          <t>[S;$(S-[c;!900*]:c-[N+;!900*](=O)[O-]),$(S-[c;!900*]:c-[C;!900*]#N),$(S-[c;!900*]:c-[C;!900*](F)(F)F),$(S-[c;!900*]:c-[SX4;!900*](=O)=O),$(S-[c;!900*]:c-[CH1;!900*]=O),$(S-[c;!900*]:c-[CX3;!900*](=O)[#6]),$(S-[c;!900*]:c-[CX3;!900*](=O)[OX2]),$(S-[c;!900*]:c-[CX3;!900*](=O)[NX3]),$(S-[c;!900*]:c-[OX2;!900*]C(F)(F)F),$(S-[c;!900*]:c-[OX2;!900*][SX4](=O)=O),$(S-[c;!900*]:c-[OX2;!900*]C(=O)),$(S-[c;!900*]:c-[NX4+;!900*])]</t>
        </is>
      </c>
      <c r="H216" s="7" t="inlineStr"/>
      <c r="I216" s="7" t="inlineStr"/>
      <c r="J216" s="7" t="inlineStr"/>
      <c r="K216" s="7" t="inlineStr"/>
      <c r="L216" s="7" t="inlineStr"/>
      <c r="M216" s="7" t="n"/>
      <c r="N216" s="7" t="inlineStr"/>
      <c r="O216" s="7" t="inlineStr">
        <is>
          <t>yes</t>
        </is>
      </c>
      <c r="P216" s="7" t="inlineStr"/>
      <c r="Q216" s="7" t="inlineStr">
        <is>
          <t>the reacting atom is bonded to an aromatic carbon (unchanged) whose ortho position carries nitro, cyano, CF3, a carbonyl, a sulfonyl, an ammonium, an acyloxy, OCF3 or a sulfonyloxy group</t>
        </is>
      </c>
      <c r="R216" s="7" t="inlineStr">
        <is>
          <t>a weaker, less basic thiolate nucleophile and a stronger acid; the ortho group also crowds the S</t>
        </is>
      </c>
      <c r="S216" s="7" t="inlineStr">
        <is>
          <t>Hammett effect through the ring (σ values of the substituent)</t>
        </is>
      </c>
      <c r="T216" s="7" t="n"/>
      <c r="U216" s="10" t="n">
        <v>0.05</v>
      </c>
      <c r="V216" s="7" t="inlineStr"/>
      <c r="W216" s="7" t="n">
        <v>8</v>
      </c>
      <c r="X216" s="7" t="n">
        <v>8</v>
      </c>
      <c r="Y216" s="9" t="n">
        <v>0.75</v>
      </c>
      <c r="Z216" s="9" t="n">
        <v>0.5</v>
      </c>
      <c r="AA216" s="7" t="n"/>
      <c r="AB216" s="7" t="n"/>
      <c r="AC216" s="7" t="n"/>
      <c r="AD216" s="7" t="n"/>
      <c r="AE216" s="7" t="inlineStr">
        <is>
          <t>too few contests in the recorded reactions to learn a weight (the weight is shrunk to about zero): the textbook effect is advisory</t>
        </is>
      </c>
      <c r="AF216" s="7" t="inlineStr">
        <is>
          <t>Hansch, Leo, Taft, Chem. Rev. 91, 165 (1991); Clayden, Organic Chemistry (aromatic substitution)</t>
        </is>
      </c>
    </row>
    <row r="217">
      <c r="A217" s="7" t="inlineStr">
        <is>
          <t>I214</t>
        </is>
      </c>
      <c r="B217" s="7" t="inlineStr">
        <is>
          <t>s-aryl-p-edg</t>
        </is>
      </c>
      <c r="C217" s="7" t="inlineStr">
        <is>
          <t>sulfur on an aryl ring with a para electron-donating group</t>
        </is>
      </c>
      <c r="D217" s="7" t="inlineStr">
        <is>
          <t>aryl ring on the reacting atom</t>
        </is>
      </c>
      <c r="E217" s="7" t="inlineStr">
        <is>
          <t>electronic</t>
        </is>
      </c>
      <c r="F217" s="7" t="inlineStr">
        <is>
          <t>sulfur</t>
        </is>
      </c>
      <c r="G217" s="7" t="inlineStr">
        <is>
          <t>[S;$(S-[c;!900*]1:a:a:c(-[NX3;H0;+0;!$(N-C=O);!$(N-S=O);!$(N(-c)-c);!900*]([#6])[#6]):a:a:1),$(S-[c;!900*]1:a:a:c(-[NX3;H2,H1;+0;!$(N-[C,S,P]=[O,S,N]);!$(N-[#7,#8]);!900*]):a:a:1),$(S-[c;!900*]1:a:a:c(-[OX2H1;!900*]):a:a:1),$(S-[c;!900*]1:a:a:c(-[OX2;!900*][CX4;!$(C(F)(F)F)]):a:a:1),$(S-[c;!900*]1:a:a:c(-[CH3;!900*]):a:a:1),$(S-[c;!900*]1:a:a:c(-[CX4;!H3;!$(C-[F,Cl,Br,I,$(C#N)]);!900*]):a:a:1),$(S-[c;!900*]1:a:a:c(-[OX1-;!900*]):a:a:1)]</t>
        </is>
      </c>
      <c r="H217" s="7" t="inlineStr"/>
      <c r="I217" s="7" t="inlineStr"/>
      <c r="J217" s="7" t="inlineStr"/>
      <c r="K217" s="7" t="inlineStr"/>
      <c r="L217" s="7" t="inlineStr"/>
      <c r="M217" s="7" t="n"/>
      <c r="N217" s="7" t="inlineStr"/>
      <c r="O217" s="7" t="inlineStr">
        <is>
          <t>yes</t>
        </is>
      </c>
      <c r="P217" s="7" t="inlineStr"/>
      <c r="Q217" s="7" t="inlineStr">
        <is>
          <t>the reacting atom is bonded to an aromatic carbon (unchanged) whose para position carries an alkoxy, hydroxy, phenoxide, amino or alkyl group</t>
        </is>
      </c>
      <c r="R217" s="7" t="inlineStr">
        <is>
          <t>a more basic, more nucleophilic thiolate</t>
        </is>
      </c>
      <c r="S217" s="7" t="inlineStr">
        <is>
          <t>Hammett effect through the ring (σ values of the substituent)</t>
        </is>
      </c>
      <c r="T217" s="7" t="n"/>
      <c r="U217" s="10" t="n">
        <v>0.07000000000000001</v>
      </c>
      <c r="V217" s="7" t="inlineStr"/>
      <c r="W217" s="7" t="n">
        <v>24</v>
      </c>
      <c r="X217" s="7" t="n">
        <v>23</v>
      </c>
      <c r="Y217" s="9" t="n">
        <v>0.8333</v>
      </c>
      <c r="Z217" s="9" t="n">
        <v>0.4958</v>
      </c>
      <c r="AA217" s="7" t="n"/>
      <c r="AB217" s="7" t="n"/>
      <c r="AC217" s="7" t="n"/>
      <c r="AD217" s="7" t="n"/>
      <c r="AE217" s="7" t="inlineStr">
        <is>
          <t>too few contests in the recorded reactions to learn a weight (the weight is shrunk to about zero): the textbook effect is advisory</t>
        </is>
      </c>
      <c r="AF217" s="7" t="inlineStr">
        <is>
          <t>Hansch, Leo, Taft, Chem. Rev. 91, 165 (1991); Clayden, Organic Chemistry (aromatic substitution)</t>
        </is>
      </c>
    </row>
    <row r="218">
      <c r="A218" s="7" t="inlineStr">
        <is>
          <t>I215</t>
        </is>
      </c>
      <c r="B218" s="7" t="inlineStr">
        <is>
          <t>s-aryl-o-edg</t>
        </is>
      </c>
      <c r="C218" s="7" t="inlineStr">
        <is>
          <t>sulfur on an aryl ring with a ortho electron-donating group</t>
        </is>
      </c>
      <c r="D218" s="7" t="inlineStr">
        <is>
          <t>aryl ring on the reacting atom</t>
        </is>
      </c>
      <c r="E218" s="7" t="inlineStr">
        <is>
          <t>electronic</t>
        </is>
      </c>
      <c r="F218" s="7" t="inlineStr">
        <is>
          <t>sulfur</t>
        </is>
      </c>
      <c r="G218" s="7" t="inlineStr">
        <is>
          <t>[S;$(S-[c;!900*]:c-[NX3;H0;+0;!$(N-C=O);!$(N-S=O);!$(N(-c)-c);!900*]([#6])[#6]),$(S-[c;!900*]:c-[NX3;H2,H1;+0;!$(N-[C,S,P]=[O,S,N]);!$(N-[#7,#8]);!900*]),$(S-[c;!900*]:c-[OX2H1;!900*]),$(S-[c;!900*]:c-[OX2;!900*][CX4;!$(C(F)(F)F)]),$(S-[c;!900*]:c-[CH3;!900*]),$(S-[c;!900*]:c-[CX4;!H3;!$(C-[F,Cl,Br,I,$(C#N)]);!900*]),$(S-[c;!900*]:c-[OX1-;!900*])]</t>
        </is>
      </c>
      <c r="H218" s="7" t="inlineStr"/>
      <c r="I218" s="7" t="inlineStr"/>
      <c r="J218" s="7" t="inlineStr"/>
      <c r="K218" s="7" t="inlineStr"/>
      <c r="L218" s="7" t="inlineStr"/>
      <c r="M218" s="7" t="n"/>
      <c r="N218" s="7" t="inlineStr"/>
      <c r="O218" s="7" t="inlineStr">
        <is>
          <t>yes</t>
        </is>
      </c>
      <c r="P218" s="7" t="inlineStr"/>
      <c r="Q218" s="7" t="inlineStr">
        <is>
          <t>the reacting atom is bonded to an aromatic carbon (unchanged) whose ortho position carries an alkoxy, hydroxy, phenoxide, amino or alkyl group</t>
        </is>
      </c>
      <c r="R218" s="7" t="inlineStr">
        <is>
          <t>a thiolate about as nucleophilic as thiophenolate, more hindered by the ortho group</t>
        </is>
      </c>
      <c r="S218" s="7" t="inlineStr">
        <is>
          <t>Hammett effect through the ring (σ values of the substituent)</t>
        </is>
      </c>
      <c r="T218" s="7" t="n"/>
      <c r="U218" s="10" t="n">
        <v>0.04</v>
      </c>
      <c r="V218" s="7" t="inlineStr"/>
      <c r="W218" s="7" t="n">
        <v>20</v>
      </c>
      <c r="X218" s="7" t="n">
        <v>18</v>
      </c>
      <c r="Y218" s="9" t="n">
        <v>0.75</v>
      </c>
      <c r="Z218" s="9" t="n">
        <v>0.5083</v>
      </c>
      <c r="AA218" s="7" t="n"/>
      <c r="AB218" s="7" t="n"/>
      <c r="AC218" s="7" t="n"/>
      <c r="AD218" s="7" t="n"/>
      <c r="AE218" s="7" t="inlineStr">
        <is>
          <t>too few contests in the recorded reactions to learn a weight (the weight is shrunk to about zero): the textbook effect is advisory</t>
        </is>
      </c>
      <c r="AF218" s="7" t="inlineStr">
        <is>
          <t>Hansch, Leo, Taft, Chem. Rev. 91, 165 (1991); Clayden, Organic Chemistry (aromatic substitution)</t>
        </is>
      </c>
    </row>
    <row r="219">
      <c r="A219" s="7" t="inlineStr">
        <is>
          <t>I216</t>
        </is>
      </c>
      <c r="B219" s="7" t="inlineStr">
        <is>
          <t>co-aryl-p-ewg</t>
        </is>
      </c>
      <c r="C219" s="7" t="inlineStr">
        <is>
          <t>the retained carbonyl carbon on an aryl ring with a para electron-withdrawing group</t>
        </is>
      </c>
      <c r="D219" s="7" t="inlineStr">
        <is>
          <t>aryl ring on the reacting atom</t>
        </is>
      </c>
      <c r="E219" s="7" t="inlineStr">
        <is>
          <t>electronic</t>
        </is>
      </c>
      <c r="F219" s="7" t="inlineStr">
        <is>
          <t>carbonyl C</t>
        </is>
      </c>
      <c r="G219" s="7" t="inlineStr">
        <is>
          <t>[C;X3;$(C=[O,N,S]);$(C-[c;!900*]1:a:a:c(-[N+;!900*](=O)[O-]):a:a:1),$(C-[c;!900*]1:a:a:c(-[C;!900*]#N):a:a:1),$(C-[c;!900*]1:a:a:c(-[C;!900*](F)(F)F):a:a:1),$(C-[c;!900*]1:a:a:c(-[SX4;!900*](=O)=O):a:a:1),$(C-[c;!900*]1:a:a:c(-[CH1;!900*]=O):a:a:1),$(C-[c;!900*]1:a:a:c(-[CX3;!900*](=O)[#6]):a:a:1),$(C-[c;!900*]1:a:a:c(-[CX3;!900*](=O)[OX2]):a:a:1),$(C-[c;!900*]1:a:a:c(-[CX3;!900*](=O)[NX3]):a:a:1),$(C-[c;!900*]1:a:a:c(-[OX2;!900*]C(F)(F)F):a:a:1),$(C-[c;!900*]1:a:a:c(-[OX2;!900*][SX4](=O)=O):a:a:1),$(C-[c;!900*]1:a:a:c(-[OX2;!900*]C(=O)):a:a:1),$(C-[c;!900*]1:a:a:c(-[NX4+;!900*]):a:a:1)]</t>
        </is>
      </c>
      <c r="H219" s="7" t="inlineStr"/>
      <c r="I219" s="7" t="inlineStr"/>
      <c r="J219" s="7" t="inlineStr"/>
      <c r="K219" s="7" t="inlineStr"/>
      <c r="L219" s="7" t="inlineStr"/>
      <c r="M219" s="7" t="n"/>
      <c r="N219" s="7" t="inlineStr"/>
      <c r="O219" s="7" t="inlineStr">
        <is>
          <t>yes</t>
        </is>
      </c>
      <c r="P219" s="7" t="inlineStr"/>
      <c r="Q219" s="7" t="inlineStr">
        <is>
          <t>the reacting atom is bonded to an aromatic carbon (unchanged) whose para position carries nitro, cyano, CF3, a carbonyl, a sulfonyl, an ammonium, an acyloxy, OCF3 or a sulfonyloxy group</t>
        </is>
      </c>
      <c r="R219" s="7" t="inlineStr">
        <is>
          <t>more electrophilic carbonyl: acyl substitution and addition are faster (p-nitrobenzoyl chloride reacts much faster than benzoyl chloride)</t>
        </is>
      </c>
      <c r="S219" s="7" t="inlineStr">
        <is>
          <t>Hammett effect through the ring (σ values of the substituent)</t>
        </is>
      </c>
      <c r="T219" s="7" t="n"/>
      <c r="U219" s="10" t="n">
        <v>0.33</v>
      </c>
      <c r="V219" s="7" t="inlineStr">
        <is>
          <t>acyl substitution +1.37 (n=111; winner had it 91 % vs 48 % at random) · carbonyl addition -0.20 (n=35; winner had it 57 % vs 46 % at random)</t>
        </is>
      </c>
      <c r="W219" s="7" t="n">
        <v>192</v>
      </c>
      <c r="X219" s="7" t="n">
        <v>150</v>
      </c>
      <c r="Y219" s="9" t="n">
        <v>0.8073</v>
      </c>
      <c r="Z219" s="9" t="n">
        <v>0.4676</v>
      </c>
      <c r="AA219" s="7" t="n"/>
      <c r="AB219" s="7" t="n"/>
      <c r="AC219" s="7" t="n"/>
      <c r="AD219" s="7" t="n"/>
      <c r="AE219" s="7" t="inlineStr">
        <is>
          <t>learned from the training patents (tools/int_train.py)</t>
        </is>
      </c>
      <c r="AF219" s="7" t="inlineStr">
        <is>
          <t>Hansch, Leo, Taft, Chem. Rev. 91, 165 (1991); Clayden, Organic Chemistry (aromatic substitution)</t>
        </is>
      </c>
    </row>
    <row r="220">
      <c r="A220" s="7" t="inlineStr">
        <is>
          <t>I217</t>
        </is>
      </c>
      <c r="B220" s="7" t="inlineStr">
        <is>
          <t>co-aryl-o-ewg</t>
        </is>
      </c>
      <c r="C220" s="7" t="inlineStr">
        <is>
          <t>the retained carbonyl carbon on an aryl ring with a ortho electron-withdrawing group</t>
        </is>
      </c>
      <c r="D220" s="7" t="inlineStr">
        <is>
          <t>aryl ring on the reacting atom</t>
        </is>
      </c>
      <c r="E220" s="7" t="inlineStr">
        <is>
          <t>electronic</t>
        </is>
      </c>
      <c r="F220" s="7" t="inlineStr">
        <is>
          <t>carbonyl C</t>
        </is>
      </c>
      <c r="G220" s="7" t="inlineStr">
        <is>
          <t>[C;X3;$(C=[O,N,S]);$(C-[c;!900*]:c-[N+;!900*](=O)[O-]),$(C-[c;!900*]:c-[C;!900*]#N),$(C-[c;!900*]:c-[C;!900*](F)(F)F),$(C-[c;!900*]:c-[SX4;!900*](=O)=O),$(C-[c;!900*]:c-[CH1;!900*]=O),$(C-[c;!900*]:c-[CX3;!900*](=O)[#6]),$(C-[c;!900*]:c-[CX3;!900*](=O)[OX2]),$(C-[c;!900*]:c-[CX3;!900*](=O)[NX3]),$(C-[c;!900*]:c-[OX2;!900*]C(F)(F)F),$(C-[c;!900*]:c-[OX2;!900*][SX4](=O)=O),$(C-[c;!900*]:c-[OX2;!900*]C(=O)),$(C-[c;!900*]:c-[NX4+;!900*])]</t>
        </is>
      </c>
      <c r="H220" s="7" t="inlineStr"/>
      <c r="I220" s="7" t="inlineStr"/>
      <c r="J220" s="7" t="inlineStr"/>
      <c r="K220" s="7" t="inlineStr"/>
      <c r="L220" s="7" t="inlineStr"/>
      <c r="M220" s="7" t="n"/>
      <c r="N220" s="7" t="inlineStr"/>
      <c r="O220" s="7" t="inlineStr">
        <is>
          <t>yes</t>
        </is>
      </c>
      <c r="P220" s="7" t="inlineStr"/>
      <c r="Q220" s="7" t="inlineStr">
        <is>
          <t>the reacting atom is bonded to an aromatic carbon (unchanged) whose ortho position carries nitro, cyano, CF3, a carbonyl, a sulfonyl, an ammonium, an acyloxy, OCF3 or a sulfonyloxy group</t>
        </is>
      </c>
      <c r="R220" s="7" t="inlineStr">
        <is>
          <t>more electrophilic carbonyl: acyl substitution and addition are faster (p-nitrobenzoyl chloride reacts much faster than benzoyl chloride) An ortho group also crowds the atom.</t>
        </is>
      </c>
      <c r="S220" s="7" t="inlineStr">
        <is>
          <t>Hammett effect through the ring (σ values of the substituent)</t>
        </is>
      </c>
      <c r="T220" s="7" t="n"/>
      <c r="U220" s="10" t="n">
        <v>-0.39</v>
      </c>
      <c r="V220" s="7" t="inlineStr">
        <is>
          <t>carbonyl addition -2.35 (n=59; winner had it 19 % vs 46 % at random) · deprotection +0.22 (n=34; winner had it 76 % vs 40 % at random)</t>
        </is>
      </c>
      <c r="W220" s="7" t="n">
        <v>206</v>
      </c>
      <c r="X220" s="7" t="n">
        <v>138</v>
      </c>
      <c r="Y220" s="9" t="n">
        <v>0.534</v>
      </c>
      <c r="Z220" s="9" t="n">
        <v>0.4516</v>
      </c>
      <c r="AA220" s="7" t="n"/>
      <c r="AB220" s="7" t="n"/>
      <c r="AC220" s="7" t="n"/>
      <c r="AD220" s="7" t="n"/>
      <c r="AE220" s="7" t="inlineStr">
        <is>
          <t>learned from the training patents (tools/int_train.py)</t>
        </is>
      </c>
      <c r="AF220" s="7" t="inlineStr">
        <is>
          <t>Hansch, Leo, Taft, Chem. Rev. 91, 165 (1991); Clayden, Organic Chemistry (aromatic substitution)</t>
        </is>
      </c>
    </row>
    <row r="221">
      <c r="A221" s="7" t="inlineStr">
        <is>
          <t>I218</t>
        </is>
      </c>
      <c r="B221" s="7" t="inlineStr">
        <is>
          <t>co-aryl-p-edg</t>
        </is>
      </c>
      <c r="C221" s="7" t="inlineStr">
        <is>
          <t>the retained carbonyl carbon on an aryl ring with a para electron-donating group</t>
        </is>
      </c>
      <c r="D221" s="7" t="inlineStr">
        <is>
          <t>aryl ring on the reacting atom</t>
        </is>
      </c>
      <c r="E221" s="7" t="inlineStr">
        <is>
          <t>electronic</t>
        </is>
      </c>
      <c r="F221" s="7" t="inlineStr">
        <is>
          <t>carbonyl C</t>
        </is>
      </c>
      <c r="G221" s="7" t="inlineStr">
        <is>
          <t>[C;X3;$(C=[O,N,S]);$(C-[c;!900*]1:a:a:c(-[NX3;H0;+0;!$(N-C=O);!$(N-S=O);!$(N(-c)-c);!900*]([#6])[#6]):a:a:1),$(C-[c;!900*]1:a:a:c(-[NX3;H2,H1;+0;!$(N-[C,S,P]=[O,S,N]);!$(N-[#7,#8]);!900*]):a:a:1),$(C-[c;!900*]1:a:a:c(-[OX2H1;!900*]):a:a:1),$(C-[c;!900*]1:a:a:c(-[OX2;!900*][CX4;!$(C(F)(F)F)]):a:a:1),$(C-[c;!900*]1:a:a:c(-[CH3;!900*]):a:a:1),$(C-[c;!900*]1:a:a:c(-[CX4;!H3;!$(C-[F,Cl,Br,I,$(C#N)]);!900*]):a:a:1),$(C-[c;!900*]1:a:a:c(-[OX1-;!900*]):a:a:1)]</t>
        </is>
      </c>
      <c r="H221" s="7" t="inlineStr"/>
      <c r="I221" s="7" t="inlineStr"/>
      <c r="J221" s="7" t="inlineStr"/>
      <c r="K221" s="7" t="inlineStr"/>
      <c r="L221" s="7" t="inlineStr"/>
      <c r="M221" s="7" t="n"/>
      <c r="N221" s="7" t="inlineStr"/>
      <c r="O221" s="7" t="inlineStr">
        <is>
          <t>yes</t>
        </is>
      </c>
      <c r="P221" s="7" t="inlineStr"/>
      <c r="Q221" s="7" t="inlineStr">
        <is>
          <t>the reacting atom is bonded to an aromatic carbon (unchanged) whose para position carries an alkoxy, hydroxy, phenoxide, amino or alkyl group</t>
        </is>
      </c>
      <c r="R221" s="7" t="inlineStr">
        <is>
          <t>less electrophilic carbonyl (the ring donates into the C=O): slower acyl substitution and addition</t>
        </is>
      </c>
      <c r="S221" s="7" t="inlineStr">
        <is>
          <t>Hammett effect through the ring (σ values of the substituent)</t>
        </is>
      </c>
      <c r="T221" s="7" t="n"/>
      <c r="U221" s="10" t="n">
        <v>0.4</v>
      </c>
      <c r="V221" s="7" t="inlineStr">
        <is>
          <t>alkyl substitution +1.42 (n=30; winner had it 90 % vs 49 % at random) · deprotection +0.69 (n=72; winner had it 79 % vs 41 % at random) · aryl halide +0.65 (n=43; winner had it 79 % vs 45 % at random) · acyl substitution -0.47 (n=765; winner had it 68 % vs 48 % at random) · carbonyl addition -0.37 (n=242; winner had it 57 % vs 41 % at random)</t>
        </is>
      </c>
      <c r="W221" s="7" t="n">
        <v>1203</v>
      </c>
      <c r="X221" s="7" t="n">
        <v>662</v>
      </c>
      <c r="Y221" s="9" t="n">
        <v>0.6808</v>
      </c>
      <c r="Z221" s="9" t="n">
        <v>0.4583</v>
      </c>
      <c r="AA221" s="7" t="n"/>
      <c r="AB221" s="7" t="n"/>
      <c r="AC221" s="7" t="n"/>
      <c r="AD221" s="7" t="n"/>
      <c r="AE221" s="7" t="inlineStr">
        <is>
          <t>learned from the training patents (tools/int_train.py)</t>
        </is>
      </c>
      <c r="AF221" s="7" t="inlineStr">
        <is>
          <t>Hansch, Leo, Taft, Chem. Rev. 91, 165 (1991); Clayden, Organic Chemistry (aromatic substitution)</t>
        </is>
      </c>
    </row>
    <row r="222">
      <c r="A222" s="7" t="inlineStr">
        <is>
          <t>I219</t>
        </is>
      </c>
      <c r="B222" s="7" t="inlineStr">
        <is>
          <t>co-aryl-o-edg</t>
        </is>
      </c>
      <c r="C222" s="7" t="inlineStr">
        <is>
          <t>the retained carbonyl carbon on an aryl ring with a ortho electron-donating group</t>
        </is>
      </c>
      <c r="D222" s="7" t="inlineStr">
        <is>
          <t>aryl ring on the reacting atom</t>
        </is>
      </c>
      <c r="E222" s="7" t="inlineStr">
        <is>
          <t>electronic</t>
        </is>
      </c>
      <c r="F222" s="7" t="inlineStr">
        <is>
          <t>carbonyl C</t>
        </is>
      </c>
      <c r="G222" s="7" t="inlineStr">
        <is>
          <t>[C;X3;$(C=[O,N,S]);$(C-[c;!900*]:c-[NX3;H0;+0;!$(N-C=O);!$(N-S=O);!$(N(-c)-c);!900*]([#6])[#6]),$(C-[c;!900*]:c-[NX3;H2,H1;+0;!$(N-[C,S,P]=[O,S,N]);!$(N-[#7,#8]);!900*]),$(C-[c;!900*]:c-[OX2H1;!900*]),$(C-[c;!900*]:c-[OX2;!900*][CX4;!$(C(F)(F)F)]),$(C-[c;!900*]:c-[CH3;!900*]),$(C-[c;!900*]:c-[CX4;!H3;!$(C-[F,Cl,Br,I,$(C#N)]);!900*]),$(C-[c;!900*]:c-[OX1-;!900*])]</t>
        </is>
      </c>
      <c r="H222" s="7" t="inlineStr"/>
      <c r="I222" s="7" t="inlineStr"/>
      <c r="J222" s="7" t="inlineStr"/>
      <c r="K222" s="7" t="inlineStr"/>
      <c r="L222" s="7" t="inlineStr"/>
      <c r="M222" s="7" t="n"/>
      <c r="N222" s="7" t="inlineStr"/>
      <c r="O222" s="7" t="inlineStr">
        <is>
          <t>yes</t>
        </is>
      </c>
      <c r="P222" s="7" t="inlineStr"/>
      <c r="Q222" s="7" t="inlineStr">
        <is>
          <t>the reacting atom is bonded to an aromatic carbon (unchanged) whose ortho position carries an alkoxy, hydroxy, phenoxide, amino or alkyl group</t>
        </is>
      </c>
      <c r="R222" s="7" t="inlineStr">
        <is>
          <t>less electrophilic carbonyl (the ring donates into the C=O): slower acyl substitution and addition An ortho group also crowds the atom.</t>
        </is>
      </c>
      <c r="S222" s="7" t="inlineStr">
        <is>
          <t>Hammett effect through the ring (σ values of the substituent)</t>
        </is>
      </c>
      <c r="T222" s="7" t="n"/>
      <c r="U222" s="10" t="n">
        <v>-0.35</v>
      </c>
      <c r="V222" s="7" t="inlineStr">
        <is>
          <t>acyl substitution -1.23 (n=620; winner had it 62 % vs 48 % at random) · carbonyl addition -0.64 (n=278; winner had it 51 % vs 44 % at random) · deprotection -0.60 (n=119; winner had it 70 % vs 46 % at random) · other +0.15 (n=52; winner had it 88 % vs 43 % at random)</t>
        </is>
      </c>
      <c r="W222" s="7" t="n">
        <v>1148</v>
      </c>
      <c r="X222" s="7" t="n">
        <v>665</v>
      </c>
      <c r="Y222" s="9" t="n">
        <v>0.6159</v>
      </c>
      <c r="Z222" s="9" t="n">
        <v>0.4642</v>
      </c>
      <c r="AA222" s="7" t="n"/>
      <c r="AB222" s="7" t="n"/>
      <c r="AC222" s="7" t="n"/>
      <c r="AD222" s="7" t="n"/>
      <c r="AE222" s="7" t="inlineStr">
        <is>
          <t>learned from the training patents (tools/int_train.py)</t>
        </is>
      </c>
      <c r="AF222" s="7" t="inlineStr">
        <is>
          <t>Hansch, Leo, Taft, Chem. Rev. 91, 165 (1991); Clayden, Organic Chemistry (aromatic substitution)</t>
        </is>
      </c>
    </row>
    <row r="223">
      <c r="A223" s="7" t="inlineStr">
        <is>
          <t>I220</t>
        </is>
      </c>
      <c r="B223" s="7" t="inlineStr">
        <is>
          <t>bz-aryl-p-ewg</t>
        </is>
      </c>
      <c r="C223" s="7" t="inlineStr">
        <is>
          <t>the reacting sp3 carbon on an aryl ring with a para electron-withdrawing group</t>
        </is>
      </c>
      <c r="D223" s="7" t="inlineStr">
        <is>
          <t>aryl ring on the reacting atom</t>
        </is>
      </c>
      <c r="E223" s="7" t="inlineStr">
        <is>
          <t>electronic</t>
        </is>
      </c>
      <c r="F223" s="7" t="inlineStr">
        <is>
          <t>sp3 C</t>
        </is>
      </c>
      <c r="G223" s="7" t="inlineStr">
        <is>
          <t>[C;X4;$(C-[c;!900*]1:a:a:c(-[N+;!900*](=O)[O-]):a:a:1),$(C-[c;!900*]1:a:a:c(-[C;!900*]#N):a:a:1),$(C-[c;!900*]1:a:a:c(-[C;!900*](F)(F)F):a:a:1),$(C-[c;!900*]1:a:a:c(-[SX4;!900*](=O)=O):a:a:1),$(C-[c;!900*]1:a:a:c(-[CH1;!900*]=O):a:a:1),$(C-[c;!900*]1:a:a:c(-[CX3;!900*](=O)[#6]):a:a:1),$(C-[c;!900*]1:a:a:c(-[CX3;!900*](=O)[OX2]):a:a:1),$(C-[c;!900*]1:a:a:c(-[CX3;!900*](=O)[NX3]):a:a:1),$(C-[c;!900*]1:a:a:c(-[OX2;!900*]C(F)(F)F):a:a:1),$(C-[c;!900*]1:a:a:c(-[OX2;!900*][SX4](=O)=O):a:a:1),$(C-[c;!900*]1:a:a:c(-[OX2;!900*]C(=O)):a:a:1),$(C-[c;!900*]1:a:a:c(-[NX4+;!900*]):a:a:1)]</t>
        </is>
      </c>
      <c r="H223" s="7" t="inlineStr"/>
      <c r="I223" s="7" t="inlineStr"/>
      <c r="J223" s="7" t="inlineStr"/>
      <c r="K223" s="7" t="inlineStr"/>
      <c r="L223" s="7" t="inlineStr"/>
      <c r="M223" s="7" t="n"/>
      <c r="N223" s="7" t="inlineStr"/>
      <c r="O223" s="7" t="inlineStr">
        <is>
          <t>yes</t>
        </is>
      </c>
      <c r="P223" s="7" t="inlineStr"/>
      <c r="Q223" s="7" t="inlineStr">
        <is>
          <t>the reacting atom is bonded to an aromatic carbon (unchanged) whose para position carries nitro, cyano, CF3, a carbonyl, a sulfonyl, an ammonium, an acyloxy, OCF3 or a sulfonyloxy group</t>
        </is>
      </c>
      <c r="R223" s="7" t="inlineStr">
        <is>
          <t>SN2 slightly faster, SN1 much slower (the benzylic cation is destabilised)</t>
        </is>
      </c>
      <c r="S223" s="7" t="inlineStr">
        <is>
          <t>Hammett effect through the ring (σ values of the substituent)</t>
        </is>
      </c>
      <c r="T223" s="7" t="n"/>
      <c r="U223" s="10" t="n">
        <v>0.64</v>
      </c>
      <c r="V223" s="7" t="inlineStr">
        <is>
          <t>o nucleophile +1.14 (n=34; winner had it 76 % vs 46 % at random) · deprotection +1.06 (n=52; winner had it 81 % vs 46 % at random) · other +0.89 (n=43; winner had it 77 % vs 41 % at random) · acyl substitution +0.85 (n=243; winner had it 70 % vs 44 % at random) · aryl halide +0.35 (n=28; winner had it 64 % vs 43 % at random) · alkyl substitution +0.28 (n=106; winner had it 68 % vs 42 % at random)</t>
        </is>
      </c>
      <c r="W223" s="7" t="n">
        <v>684</v>
      </c>
      <c r="X223" s="7" t="n">
        <v>474</v>
      </c>
      <c r="Y223" s="9" t="n">
        <v>0.6886</v>
      </c>
      <c r="Z223" s="9" t="n">
        <v>0.4417</v>
      </c>
      <c r="AA223" s="7" t="n"/>
      <c r="AB223" s="7" t="n"/>
      <c r="AC223" s="7" t="n"/>
      <c r="AD223" s="7" t="n"/>
      <c r="AE223" s="7" t="inlineStr">
        <is>
          <t>learned from the training patents (tools/int_train.py)</t>
        </is>
      </c>
      <c r="AF223" s="7" t="inlineStr">
        <is>
          <t>Hansch, Leo, Taft, Chem. Rev. 91, 165 (1991); Clayden, Organic Chemistry (aromatic substitution)</t>
        </is>
      </c>
    </row>
    <row r="224">
      <c r="A224" s="7" t="inlineStr">
        <is>
          <t>I221</t>
        </is>
      </c>
      <c r="B224" s="7" t="inlineStr">
        <is>
          <t>bz-aryl-o-ewg</t>
        </is>
      </c>
      <c r="C224" s="7" t="inlineStr">
        <is>
          <t>the reacting sp3 carbon on an aryl ring with a ortho electron-withdrawing group</t>
        </is>
      </c>
      <c r="D224" s="7" t="inlineStr">
        <is>
          <t>aryl ring on the reacting atom</t>
        </is>
      </c>
      <c r="E224" s="7" t="inlineStr">
        <is>
          <t>electronic</t>
        </is>
      </c>
      <c r="F224" s="7" t="inlineStr">
        <is>
          <t>sp3 C</t>
        </is>
      </c>
      <c r="G224" s="7" t="inlineStr">
        <is>
          <t>[C;X4;$(C-[c;!900*]:c-[N+;!900*](=O)[O-]),$(C-[c;!900*]:c-[C;!900*]#N),$(C-[c;!900*]:c-[C;!900*](F)(F)F),$(C-[c;!900*]:c-[SX4;!900*](=O)=O),$(C-[c;!900*]:c-[CH1;!900*]=O),$(C-[c;!900*]:c-[CX3;!900*](=O)[#6]),$(C-[c;!900*]:c-[CX3;!900*](=O)[OX2]),$(C-[c;!900*]:c-[CX3;!900*](=O)[NX3]),$(C-[c;!900*]:c-[OX2;!900*]C(F)(F)F),$(C-[c;!900*]:c-[OX2;!900*][SX4](=O)=O),$(C-[c;!900*]:c-[OX2;!900*]C(=O)),$(C-[c;!900*]:c-[NX4+;!900*])]</t>
        </is>
      </c>
      <c r="H224" s="7" t="inlineStr"/>
      <c r="I224" s="7" t="inlineStr"/>
      <c r="J224" s="7" t="inlineStr"/>
      <c r="K224" s="7" t="inlineStr"/>
      <c r="L224" s="7" t="inlineStr"/>
      <c r="M224" s="7" t="n"/>
      <c r="N224" s="7" t="inlineStr"/>
      <c r="O224" s="7" t="inlineStr">
        <is>
          <t>yes</t>
        </is>
      </c>
      <c r="P224" s="7" t="inlineStr"/>
      <c r="Q224" s="7" t="inlineStr">
        <is>
          <t>the reacting atom is bonded to an aromatic carbon (unchanged) whose ortho position carries nitro, cyano, CF3, a carbonyl, a sulfonyl, an ammonium, an acyloxy, OCF3 or a sulfonyloxy group</t>
        </is>
      </c>
      <c r="R224" s="7" t="inlineStr">
        <is>
          <t>SN2 slightly faster, SN1 much slower (the benzylic cation is destabilised) An ortho group also crowds the atom.</t>
        </is>
      </c>
      <c r="S224" s="7" t="inlineStr">
        <is>
          <t>Hammett effect through the ring (σ values of the substituent)</t>
        </is>
      </c>
      <c r="T224" s="7" t="n"/>
      <c r="U224" s="10" t="n">
        <v>0.1</v>
      </c>
      <c r="V224" s="7" t="inlineStr">
        <is>
          <t>acyl substitution +0.59 (n=551; winner had it 67 % vs 41 % at random) · n nucleophile +0.48 (n=25; winner had it 48 % vs 38 % at random) · deprotection -0.23 (n=75; winner had it 53 % vs 39 % at random)</t>
        </is>
      </c>
      <c r="W224" s="7" t="n">
        <v>1262</v>
      </c>
      <c r="X224" s="7" t="n">
        <v>804</v>
      </c>
      <c r="Y224" s="9" t="n">
        <v>0.5024</v>
      </c>
      <c r="Z224" s="9" t="n">
        <v>0.4011</v>
      </c>
      <c r="AA224" s="7" t="n"/>
      <c r="AB224" s="7" t="n"/>
      <c r="AC224" s="7" t="n"/>
      <c r="AD224" s="7" t="n"/>
      <c r="AE224" s="7" t="inlineStr">
        <is>
          <t>learned from the training patents (tools/int_train.py)</t>
        </is>
      </c>
      <c r="AF224" s="7" t="inlineStr">
        <is>
          <t>Hansch, Leo, Taft, Chem. Rev. 91, 165 (1991); Clayden, Organic Chemistry (aromatic substitution)</t>
        </is>
      </c>
    </row>
    <row r="225">
      <c r="A225" s="7" t="inlineStr">
        <is>
          <t>I222</t>
        </is>
      </c>
      <c r="B225" s="7" t="inlineStr">
        <is>
          <t>bz-aryl-p-edg</t>
        </is>
      </c>
      <c r="C225" s="7" t="inlineStr">
        <is>
          <t>the reacting sp3 carbon on an aryl ring with a para electron-donating group</t>
        </is>
      </c>
      <c r="D225" s="7" t="inlineStr">
        <is>
          <t>aryl ring on the reacting atom</t>
        </is>
      </c>
      <c r="E225" s="7" t="inlineStr">
        <is>
          <t>electronic</t>
        </is>
      </c>
      <c r="F225" s="7" t="inlineStr">
        <is>
          <t>sp3 C</t>
        </is>
      </c>
      <c r="G225" s="7" t="inlineStr">
        <is>
          <t>[C;X4;$(C-[c;!900*]1:a:a:c(-[NX3;H0;+0;!$(N-C=O);!$(N-S=O);!$(N(-c)-c);!900*]([#6])[#6]):a:a:1),$(C-[c;!900*]1:a:a:c(-[NX3;H2,H1;+0;!$(N-[C,S,P]=[O,S,N]);!$(N-[#7,#8]);!900*]):a:a:1),$(C-[c;!900*]1:a:a:c(-[OX2H1;!900*]):a:a:1),$(C-[c;!900*]1:a:a:c(-[OX2;!900*][CX4;!$(C(F)(F)F)]):a:a:1),$(C-[c;!900*]1:a:a:c(-[CH3;!900*]):a:a:1),$(C-[c;!900*]1:a:a:c(-[CX4;!H3;!$(C-[F,Cl,Br,I,$(C#N)]);!900*]):a:a:1),$(C-[c;!900*]1:a:a:c(-[OX1-;!900*]):a:a:1)]</t>
        </is>
      </c>
      <c r="H225" s="7" t="inlineStr"/>
      <c r="I225" s="7" t="inlineStr"/>
      <c r="J225" s="7" t="inlineStr"/>
      <c r="K225" s="7" t="inlineStr"/>
      <c r="L225" s="7" t="inlineStr"/>
      <c r="M225" s="7" t="n"/>
      <c r="N225" s="7" t="inlineStr"/>
      <c r="O225" s="7" t="inlineStr">
        <is>
          <t>yes</t>
        </is>
      </c>
      <c r="P225" s="7" t="inlineStr"/>
      <c r="Q225" s="7" t="inlineStr">
        <is>
          <t>the reacting atom is bonded to an aromatic carbon (unchanged) whose para position carries an alkoxy, hydroxy, phenoxide, amino or alkyl group</t>
        </is>
      </c>
      <c r="R225" s="7" t="inlineStr">
        <is>
          <t>SN1 far faster (p-methoxybenzyl chloride solvolyses orders of magnitude faster than benzyl chloride: the PMB group is acid-labile); SN2 about as for benzyl</t>
        </is>
      </c>
      <c r="S225" s="7" t="inlineStr">
        <is>
          <t>Hammett effect through the ring (σ values of the substituent)</t>
        </is>
      </c>
      <c r="T225" s="7" t="n"/>
      <c r="U225" s="10" t="n">
        <v>0.63</v>
      </c>
      <c r="V225" s="7" t="inlineStr">
        <is>
          <t>n nucleophile +1.37 (n=45; winner had it 80 % vs 42 % at random) · deprotection +1.22 (n=339; winner had it 83 % vs 44 % at random) · o nucleophile +1.15 (n=110; winner had it 79 % vs 46 % at random) · alkyl substitution +0.57 (n=221; winner had it 61 % vs 38 % at random) · aryl halide +0.52 (n=68; winner had it 74 % vs 45 % at random) · other +0.35 (n=104; winner had it 63 % vs 38 % at random)</t>
        </is>
      </c>
      <c r="W225" s="7" t="n">
        <v>1943</v>
      </c>
      <c r="X225" s="7" t="n">
        <v>1160</v>
      </c>
      <c r="Y225" s="9" t="n">
        <v>0.6850000000000001</v>
      </c>
      <c r="Z225" s="9" t="n">
        <v>0.4229</v>
      </c>
      <c r="AA225" s="7" t="n"/>
      <c r="AB225" s="7" t="n"/>
      <c r="AC225" s="7" t="n"/>
      <c r="AD225" s="7" t="n"/>
      <c r="AE225" s="7" t="inlineStr">
        <is>
          <t>learned from the training patents (tools/int_train.py)</t>
        </is>
      </c>
      <c r="AF225" s="7" t="inlineStr">
        <is>
          <t>Hansch, Leo, Taft, Chem. Rev. 91, 165 (1991); Clayden, Organic Chemistry (aromatic substitution)</t>
        </is>
      </c>
    </row>
    <row r="226">
      <c r="A226" s="7" t="inlineStr">
        <is>
          <t>I223</t>
        </is>
      </c>
      <c r="B226" s="7" t="inlineStr">
        <is>
          <t>bz-aryl-o-edg</t>
        </is>
      </c>
      <c r="C226" s="7" t="inlineStr">
        <is>
          <t>the reacting sp3 carbon on an aryl ring with a ortho electron-donating group</t>
        </is>
      </c>
      <c r="D226" s="7" t="inlineStr">
        <is>
          <t>aryl ring on the reacting atom</t>
        </is>
      </c>
      <c r="E226" s="7" t="inlineStr">
        <is>
          <t>electronic</t>
        </is>
      </c>
      <c r="F226" s="7" t="inlineStr">
        <is>
          <t>sp3 C</t>
        </is>
      </c>
      <c r="G226" s="7" t="inlineStr">
        <is>
          <t>[C;X4;$(C-[c;!900*]:c-[NX3;H0;+0;!$(N-C=O);!$(N-S=O);!$(N(-c)-c);!900*]([#6])[#6]),$(C-[c;!900*]:c-[NX3;H2,H1;+0;!$(N-[C,S,P]=[O,S,N]);!$(N-[#7,#8]);!900*]),$(C-[c;!900*]:c-[OX2H1;!900*]),$(C-[c;!900*]:c-[OX2;!900*][CX4;!$(C(F)(F)F)]),$(C-[c;!900*]:c-[CH3;!900*]),$(C-[c;!900*]:c-[CX4;!H3;!$(C-[F,Cl,Br,I,$(C#N)]);!900*]),$(C-[c;!900*]:c-[OX1-;!900*])]</t>
        </is>
      </c>
      <c r="H226" s="7" t="inlineStr"/>
      <c r="I226" s="7" t="inlineStr"/>
      <c r="J226" s="7" t="inlineStr"/>
      <c r="K226" s="7" t="inlineStr"/>
      <c r="L226" s="7" t="inlineStr"/>
      <c r="M226" s="7" t="n"/>
      <c r="N226" s="7" t="inlineStr"/>
      <c r="O226" s="7" t="inlineStr">
        <is>
          <t>yes</t>
        </is>
      </c>
      <c r="P226" s="7" t="inlineStr"/>
      <c r="Q226" s="7" t="inlineStr">
        <is>
          <t>the reacting atom is bonded to an aromatic carbon (unchanged) whose ortho position carries an alkoxy, hydroxy, phenoxide, amino or alkyl group</t>
        </is>
      </c>
      <c r="R226" s="7" t="inlineStr">
        <is>
          <t>SN1 far faster (p-methoxybenzyl chloride solvolyses orders of magnitude faster than benzyl chloride: the PMB group is acid-labile); SN2 about as for benzyl An ortho group also crowds the atom.</t>
        </is>
      </c>
      <c r="S226" s="7" t="inlineStr">
        <is>
          <t>Hammett effect through the ring (σ values of the substituent)</t>
        </is>
      </c>
      <c r="T226" s="7" t="n"/>
      <c r="U226" s="10" t="n">
        <v>0.23</v>
      </c>
      <c r="V226" s="7" t="inlineStr">
        <is>
          <t>carbonyl addition -1.12 (n=783; winner had it 61 % vs 46 % at random) · o nucleophile +1.01 (n=156; winner had it 79 % vs 45 % at random) · deprotection +0.73 (n=375; winner had it 79 % vs 45 % at random) · n nucleophile +0.68 (n=56; winner had it 73 % vs 44 % at random) · alkyl substitution +0.57 (n=308; winner had it 80 % vs 47 % at random) · acyl substitution -0.24 (n=455; winner had it 67 % vs 45 % at random)</t>
        </is>
      </c>
      <c r="W226" s="7" t="n">
        <v>2429</v>
      </c>
      <c r="X226" s="7" t="n">
        <v>1383</v>
      </c>
      <c r="Y226" s="9" t="n">
        <v>0.697</v>
      </c>
      <c r="Z226" s="9" t="n">
        <v>0.4513</v>
      </c>
      <c r="AA226" s="7" t="n"/>
      <c r="AB226" s="7" t="n"/>
      <c r="AC226" s="7" t="n"/>
      <c r="AD226" s="7" t="n"/>
      <c r="AE226" s="7" t="inlineStr">
        <is>
          <t>learned from the training patents (tools/int_train.py)</t>
        </is>
      </c>
      <c r="AF226" s="7" t="inlineStr">
        <is>
          <t>Hansch, Leo, Taft, Chem. Rev. 91, 165 (1991); Clayden, Organic Chemistry (aromatic substitution)</t>
        </is>
      </c>
    </row>
    <row r="227">
      <c r="A227" s="7" t="inlineStr">
        <is>
          <t>I224</t>
        </is>
      </c>
      <c r="B227" s="7" t="inlineStr">
        <is>
          <t>alkene-terminal</t>
        </is>
      </c>
      <c r="C227" s="7" t="inlineStr">
        <is>
          <t>carbon of a vinyl group (CH=CH2)</t>
        </is>
      </c>
      <c r="D227" s="7" t="inlineStr">
        <is>
          <t>alkene carbon</t>
        </is>
      </c>
      <c r="E227" s="7" t="inlineStr">
        <is>
          <t>steric</t>
        </is>
      </c>
      <c r="F227" s="7" t="inlineStr">
        <is>
          <t>alkene C</t>
        </is>
      </c>
      <c r="G227" s="7" t="inlineStr">
        <is>
          <t>[C;X3;H1;$(C=[C;H2])]</t>
        </is>
      </c>
      <c r="H227" s="7" t="inlineStr"/>
      <c r="I227" s="7" t="inlineStr"/>
      <c r="J227" s="7" t="inlineStr"/>
      <c r="K227" s="7" t="inlineStr"/>
      <c r="L227" s="7" t="inlineStr"/>
      <c r="M227" s="7" t="n"/>
      <c r="N227" s="7" t="inlineStr"/>
      <c r="O227" s="7" t="inlineStr">
        <is>
          <t>yes</t>
        </is>
      </c>
      <c r="P227" s="7" t="inlineStr"/>
      <c r="Q227" s="7" t="inlineStr">
        <is>
          <t>the reacting carbon is the CH of a vinyl group</t>
        </is>
      </c>
      <c r="R227" s="7" t="inlineStr">
        <is>
          <t>the least hindered alkene: Heck, metathesis and hydroboration are fast; electrophiles end up on the CH2 (Markovnikov)</t>
        </is>
      </c>
      <c r="S227" s="7" t="inlineStr">
        <is>
          <t>one substituent only</t>
        </is>
      </c>
      <c r="T227" s="7" t="n"/>
      <c r="U227" s="10" t="n">
        <v>0.21</v>
      </c>
      <c r="V227" s="7" t="inlineStr"/>
      <c r="W227" s="7" t="n">
        <v>10</v>
      </c>
      <c r="X227" s="7" t="n">
        <v>7</v>
      </c>
      <c r="Y227" s="9" t="n">
        <v>0.5</v>
      </c>
      <c r="Z227" s="9" t="n">
        <v>0.525</v>
      </c>
      <c r="AA227" s="7" t="n"/>
      <c r="AB227" s="7" t="n"/>
      <c r="AC227" s="7" t="n"/>
      <c r="AD227" s="7" t="n"/>
      <c r="AE227" s="7" t="inlineStr">
        <is>
          <t>too few contests in the recorded reactions to learn a weight (the weight is shrunk to about zero): the textbook effect is advisory</t>
        </is>
      </c>
      <c r="AF227" s="7" t="inlineStr">
        <is>
          <t>Clayden, Organic Chemistry</t>
        </is>
      </c>
    </row>
    <row r="228">
      <c r="A228" s="7" t="inlineStr">
        <is>
          <t>I225</t>
        </is>
      </c>
      <c r="B228" s="7" t="inlineStr">
        <is>
          <t>alkene-conjugated-carbonyl</t>
        </is>
      </c>
      <c r="C228" s="7" t="inlineStr">
        <is>
          <t>alkene conjugated with an electron-withdrawing group (enone, acrylate, acrylonitrile, nitroalkene, vinyl sulfone)</t>
        </is>
      </c>
      <c r="D228" s="7" t="inlineStr">
        <is>
          <t>alkene carbon</t>
        </is>
      </c>
      <c r="E228" s="7" t="inlineStr">
        <is>
          <t>electronic</t>
        </is>
      </c>
      <c r="F228" s="7" t="inlineStr">
        <is>
          <t>alkene C</t>
        </is>
      </c>
      <c r="G228" s="7" t="inlineStr">
        <is>
          <t>[C;X3;$(C=C-[$([CX3]=[O,N]),$([CX2]#N),$([N+](=O)[O-]),$([SX4](=O)=O)]);!$(C=O)]</t>
        </is>
      </c>
      <c r="H228" s="7" t="inlineStr"/>
      <c r="I228" s="7" t="inlineStr"/>
      <c r="J228" s="7" t="inlineStr"/>
      <c r="K228" s="7" t="inlineStr"/>
      <c r="L228" s="7" t="inlineStr"/>
      <c r="M228" s="7" t="n"/>
      <c r="N228" s="7" t="inlineStr"/>
      <c r="O228" s="7" t="inlineStr">
        <is>
          <t>yes</t>
        </is>
      </c>
      <c r="P228" s="7" t="inlineStr"/>
      <c r="Q228" s="7" t="inlineStr">
        <is>
          <t>the reacting carbon is part of a C=C next to a C=O, C≡N, NO2 or SO2</t>
        </is>
      </c>
      <c r="R228" s="7" t="inlineStr">
        <is>
          <t>electron-poor alkene: nucleophiles add at the β carbon, electrophiles react slowly; a good dienophile</t>
        </is>
      </c>
      <c r="S228" s="7" t="inlineStr">
        <is>
          <t>the acceptor withdraws electrons from the C=C</t>
        </is>
      </c>
      <c r="T228" s="7" t="n"/>
      <c r="U228" s="10" t="n">
        <v>2.17</v>
      </c>
      <c r="V228" s="7" t="inlineStr">
        <is>
          <t>carbonyl addition +4.57 (n=2700; winner had it 97 % vs 36 % at random) · deprotection +3.69 (n=577; winner had it 95 % vs 43 % at random) · aryl halide +3.16 (n=448; winner had it 94 % vs 45 % at random) · redox other +2.70 (n=27; winner had it 100 % vs 48 % at random) · alkyl substitution +2.49 (n=67; winner had it 87 % vs 49 % at random) · unsaturated +1.41 (n=32; winner had it 62 % vs 48 % at random)</t>
        </is>
      </c>
      <c r="W228" s="7" t="n">
        <v>4586</v>
      </c>
      <c r="X228" s="7" t="n">
        <v>1999</v>
      </c>
      <c r="Y228" s="9" t="n">
        <v>0.913</v>
      </c>
      <c r="Z228" s="9" t="n">
        <v>0.3973</v>
      </c>
      <c r="AA228" s="7" t="n"/>
      <c r="AB228" s="7" t="n"/>
      <c r="AC228" s="7" t="n"/>
      <c r="AD228" s="7" t="n"/>
      <c r="AE228" s="7" t="inlineStr">
        <is>
          <t>learned from the training patents (tools/int_train.py)</t>
        </is>
      </c>
      <c r="AF228" s="7" t="inlineStr">
        <is>
          <t>Clayden, Organic Chemistry</t>
        </is>
      </c>
    </row>
    <row r="229">
      <c r="A229" s="7" t="inlineStr">
        <is>
          <t>I226</t>
        </is>
      </c>
      <c r="B229" s="7" t="inlineStr">
        <is>
          <t>alkene-styrenyl</t>
        </is>
      </c>
      <c r="C229" s="7" t="inlineStr">
        <is>
          <t>alkene conjugated with an aromatic ring</t>
        </is>
      </c>
      <c r="D229" s="7" t="inlineStr">
        <is>
          <t>alkene carbon</t>
        </is>
      </c>
      <c r="E229" s="7" t="inlineStr">
        <is>
          <t>electronic</t>
        </is>
      </c>
      <c r="F229" s="7" t="inlineStr">
        <is>
          <t>alkene C</t>
        </is>
      </c>
      <c r="G229" s="7" t="inlineStr">
        <is>
          <t>[C;X3;$(C=C-c);!$(C=O)]</t>
        </is>
      </c>
      <c r="H229" s="7" t="inlineStr"/>
      <c r="I229" s="7" t="inlineStr"/>
      <c r="J229" s="7" t="inlineStr"/>
      <c r="K229" s="7" t="inlineStr"/>
      <c r="L229" s="7" t="inlineStr"/>
      <c r="M229" s="7" t="n"/>
      <c r="N229" s="7" t="inlineStr"/>
      <c r="O229" s="7" t="inlineStr">
        <is>
          <t>yes</t>
        </is>
      </c>
      <c r="P229" s="7" t="inlineStr"/>
      <c r="Q229" s="7" t="inlineStr">
        <is>
          <t>the reacting carbon is part of a C=C next to an aromatic ring (styrene)</t>
        </is>
      </c>
      <c r="R229" s="7" t="inlineStr">
        <is>
          <t>electrophiles add to give the benzylic cation; hydrogenation and radical additions are fast</t>
        </is>
      </c>
      <c r="S229" s="7" t="inlineStr">
        <is>
          <t>the ring stabilises the cation or radical</t>
        </is>
      </c>
      <c r="T229" s="7" t="n"/>
      <c r="U229" s="10" t="n">
        <v>0.75</v>
      </c>
      <c r="V229" s="7" t="inlineStr">
        <is>
          <t>o nucleophile +1.61 (n=44; winner had it 89 % vs 48 % at random) · deprotection +1.42 (n=205; winner had it 58 % vs 44 % at random) · aryl halide +1.07 (n=102; winner had it 59 % vs 48 % at random) · other +1.05 (n=58; winner had it 59 % vs 42 % at random) · alkyl substitution +0.53 (n=28; winner had it 43 % vs 43 % at random) · acyl substitution +0.43 (n=239; winner had it 62 % vs 46 % at random)</t>
        </is>
      </c>
      <c r="W229" s="7" t="n">
        <v>1133</v>
      </c>
      <c r="X229" s="7" t="n">
        <v>680</v>
      </c>
      <c r="Y229" s="9" t="n">
        <v>0.5949</v>
      </c>
      <c r="Z229" s="9" t="n">
        <v>0.4425</v>
      </c>
      <c r="AA229" s="7" t="n"/>
      <c r="AB229" s="7" t="n"/>
      <c r="AC229" s="7" t="n"/>
      <c r="AD229" s="7" t="n"/>
      <c r="AE229" s="7" t="inlineStr">
        <is>
          <t>learned from the training patents (tools/int_train.py)</t>
        </is>
      </c>
      <c r="AF229" s="7" t="inlineStr">
        <is>
          <t>Clayden, Organic Chemistry</t>
        </is>
      </c>
    </row>
    <row r="230">
      <c r="A230" s="7" t="inlineStr">
        <is>
          <t>I227</t>
        </is>
      </c>
      <c r="B230" s="7" t="inlineStr">
        <is>
          <t>alkene-electron-rich</t>
        </is>
      </c>
      <c r="C230" s="7" t="inlineStr">
        <is>
          <t>alkene with an oxygen or nitrogen donor (enol ether, enamine)</t>
        </is>
      </c>
      <c r="D230" s="7" t="inlineStr">
        <is>
          <t>alkene carbon</t>
        </is>
      </c>
      <c r="E230" s="7" t="inlineStr">
        <is>
          <t>electronic</t>
        </is>
      </c>
      <c r="F230" s="7" t="inlineStr">
        <is>
          <t>alkene C</t>
        </is>
      </c>
      <c r="G230" s="7" t="inlineStr">
        <is>
          <t>[C;X3;$(C=C-[O,N;X2,X3;+0;!$(*-[C,S,P]=[O,S,N])])]</t>
        </is>
      </c>
      <c r="H230" s="7" t="inlineStr"/>
      <c r="I230" s="7" t="inlineStr"/>
      <c r="J230" s="7" t="inlineStr"/>
      <c r="K230" s="7" t="inlineStr"/>
      <c r="L230" s="7" t="inlineStr"/>
      <c r="M230" s="7" t="n"/>
      <c r="N230" s="7" t="inlineStr"/>
      <c r="O230" s="7" t="inlineStr">
        <is>
          <t>yes</t>
        </is>
      </c>
      <c r="P230" s="7" t="inlineStr"/>
      <c r="Q230" s="7" t="inlineStr">
        <is>
          <t>the reacting carbon is part of an enol ether, enamine or a simple vinyl ether / vinyl amine (not an enamide, enol ester or enol triflate)</t>
        </is>
      </c>
      <c r="R230" s="7" t="inlineStr">
        <is>
          <t>very electron-rich: reacts with electrophiles at the β carbon (Vilsmeier, halogenation, Mannich) and hydrolyses in mild acid</t>
        </is>
      </c>
      <c r="S230" s="7" t="inlineStr">
        <is>
          <t>the donor lone pair raises the HOMO of the C=C</t>
        </is>
      </c>
      <c r="T230" s="7" t="n"/>
      <c r="U230" s="10" t="n">
        <v>-1.32</v>
      </c>
      <c r="V230" s="7" t="inlineStr">
        <is>
          <t>carbonyl addition -2.91 (n=1939; winner had it 3 % vs 34 % at random) · aryl halide -2.41 (n=265; winner had it 6 % vs 43 % at random) · o nucleophile -1.57 (n=43; winner had it 9 % vs 47 % at random) · alkyl substitution -1.33 (n=49; winner had it 18 % vs 49 % at random) · acyl substitution -1.15 (n=191; winner had it 24 % vs 51 % at random) · deprotection -0.89 (n=167; winner had it 17 % vs 51 % at random)</t>
        </is>
      </c>
      <c r="W230" s="7" t="n">
        <v>2770</v>
      </c>
      <c r="X230" s="7" t="n">
        <v>1220</v>
      </c>
      <c r="Y230" s="9" t="n">
        <v>0.065</v>
      </c>
      <c r="Z230" s="9" t="n">
        <v>0.383</v>
      </c>
      <c r="AA230" s="7" t="n"/>
      <c r="AB230" s="7" t="n"/>
      <c r="AC230" s="7" t="n"/>
      <c r="AD230" s="7" t="n"/>
      <c r="AE230" s="7" t="inlineStr">
        <is>
          <t>learned from the training patents (tools/int_train.py)</t>
        </is>
      </c>
      <c r="AF230" s="7" t="inlineStr">
        <is>
          <t>Clayden, Organic Chemistry</t>
        </is>
      </c>
    </row>
    <row r="231">
      <c r="A231" s="7" t="inlineStr">
        <is>
          <t>I228</t>
        </is>
      </c>
      <c r="B231" s="7" t="inlineStr">
        <is>
          <t>alkene-two-carbons</t>
        </is>
      </c>
      <c r="C231" s="7" t="inlineStr">
        <is>
          <t>alkene carbon with two carbon substituents (no H)</t>
        </is>
      </c>
      <c r="D231" s="7" t="inlineStr">
        <is>
          <t>alkene carbon</t>
        </is>
      </c>
      <c r="E231" s="7" t="inlineStr">
        <is>
          <t>steric</t>
        </is>
      </c>
      <c r="F231" s="7" t="inlineStr">
        <is>
          <t>alkene C</t>
        </is>
      </c>
      <c r="G231" s="7" t="inlineStr">
        <is>
          <t>[C;X3;$(C(=C)(-[#6;!900*])-[#6;!900*])]</t>
        </is>
      </c>
      <c r="H231" s="7" t="inlineStr"/>
      <c r="I231" s="7" t="inlineStr"/>
      <c r="J231" s="7" t="inlineStr"/>
      <c r="K231" s="7" t="inlineStr"/>
      <c r="L231" s="7" t="inlineStr"/>
      <c r="M231" s="7" t="n"/>
      <c r="N231" s="7" t="inlineStr"/>
      <c r="O231" s="7" t="inlineStr">
        <is>
          <t>yes</t>
        </is>
      </c>
      <c r="P231" s="7" t="inlineStr"/>
      <c r="Q231" s="7" t="inlineStr">
        <is>
          <t>the reacting carbon has two carbon substituents besides the double bond (1,1-disubstituted, trisubstituted or tetrasubstituted alkene)</t>
        </is>
      </c>
      <c r="R231" s="7" t="inlineStr">
        <is>
          <t>more electron-rich (faster with electrophiles: epoxidation, halogenation) but more hindered for catalysts (hydrogenation, hydroboration slower)</t>
        </is>
      </c>
      <c r="S231" s="7" t="inlineStr">
        <is>
          <t>alkyl groups donate and crowd</t>
        </is>
      </c>
      <c r="T231" s="7" t="n"/>
      <c r="U231" s="10" t="n">
        <v>1.06</v>
      </c>
      <c r="V231" s="7" t="inlineStr">
        <is>
          <t>deprotection +2.10 (n=377; winner had it 97 % vs 52 % at random) · acyl substitution +1.69 (n=171; winner had it 93 % vs 51 % at random) · o nucleophile +1.16 (n=25; winner had it 88 % vs 51 % at random) · carbonyl addition +0.99 (n=1403; winner had it 88 % vs 61 % at random) · alkyl substitution +0.85 (n=48; winner had it 81 % vs 52 % at random) · aryl halide +0.15 (n=190; winner had it 54 % vs 52 % at random)</t>
        </is>
      </c>
      <c r="W231" s="7" t="n">
        <v>2251</v>
      </c>
      <c r="X231" s="7" t="n">
        <v>1093</v>
      </c>
      <c r="Y231" s="9" t="n">
        <v>0.8694</v>
      </c>
      <c r="Z231" s="9" t="n">
        <v>0.576</v>
      </c>
      <c r="AA231" s="7" t="n"/>
      <c r="AB231" s="7" t="n"/>
      <c r="AC231" s="7" t="n"/>
      <c r="AD231" s="7" t="n"/>
      <c r="AE231" s="7" t="inlineStr">
        <is>
          <t>learned from the training patents (tools/int_train.py)</t>
        </is>
      </c>
      <c r="AF231" s="7" t="inlineStr">
        <is>
          <t>Clayden, Organic Chemistry</t>
        </is>
      </c>
    </row>
    <row r="232">
      <c r="A232" s="7" t="inlineStr">
        <is>
          <t>I229</t>
        </is>
      </c>
      <c r="B232" s="7" t="inlineStr">
        <is>
          <t>alkene-new-bond-to-C</t>
        </is>
      </c>
      <c r="C232" s="7" t="inlineStr">
        <is>
          <t>retained alkene carbon that took a new carbon</t>
        </is>
      </c>
      <c r="D232" s="7" t="inlineStr">
        <is>
          <t>alkene carbon</t>
        </is>
      </c>
      <c r="E232" s="7" t="inlineStr">
        <is>
          <t>steric</t>
        </is>
      </c>
      <c r="F232" s="7" t="inlineStr">
        <is>
          <t>alkene C</t>
        </is>
      </c>
      <c r="G232" s="7" t="inlineStr">
        <is>
          <t>[C;X3;$(C=C);$(C-[900C,900c])]</t>
        </is>
      </c>
      <c r="H232" s="7" t="inlineStr"/>
      <c r="I232" s="7" t="inlineStr"/>
      <c r="J232" s="7" t="inlineStr"/>
      <c r="K232" s="7" t="inlineStr"/>
      <c r="L232" s="7" t="inlineStr"/>
      <c r="M232" s="7" t="n"/>
      <c r="N232" s="7" t="inlineStr"/>
      <c r="O232" s="7" t="inlineStr">
        <is>
          <t>yes</t>
        </is>
      </c>
      <c r="P232" s="7" t="inlineStr"/>
      <c r="Q232" s="7" t="inlineStr">
        <is>
          <t>the alkene carbon is bonded to a carbon the reaction put there (Heck, Suzuki or Negishi of a vinyl partner)</t>
        </is>
      </c>
      <c r="R232" s="7" t="inlineStr">
        <is>
          <t>Heck: the aryl goes to the less substituted carbon of the alkene (neutral Pd) or the more substituted one (cationic Pd, electron-rich alkene)</t>
        </is>
      </c>
      <c r="S232" s="7" t="inlineStr">
        <is>
          <t>sterics against polarisation in the insertion step</t>
        </is>
      </c>
      <c r="T232" s="7" t="n"/>
      <c r="U232" s="10" t="n">
        <v>-2.13</v>
      </c>
      <c r="V232" s="7" t="inlineStr">
        <is>
          <t>other -3.17 (n=39; winner had it 3 % vs 50 % at random) · acyl substitution -2.70 (n=25; winner had it 8 % vs 50 % at random) · carbonyl addition -1.65 (n=30; winner had it 37 % vs 48 % at random)</t>
        </is>
      </c>
      <c r="W232" s="7" t="n">
        <v>180</v>
      </c>
      <c r="X232" s="7" t="n">
        <v>134</v>
      </c>
      <c r="Y232" s="9" t="n">
        <v>0.1556</v>
      </c>
      <c r="Z232" s="9" t="n">
        <v>0.4999</v>
      </c>
      <c r="AA232" s="7" t="n"/>
      <c r="AB232" s="7" t="n"/>
      <c r="AC232" s="7" t="n"/>
      <c r="AD232" s="7" t="n"/>
      <c r="AE232" s="7" t="inlineStr">
        <is>
          <t>learned from the training patents (tools/int_train.py)</t>
        </is>
      </c>
      <c r="AF232" s="7" t="inlineStr">
        <is>
          <t>Clayden, Organic Chemistry</t>
        </is>
      </c>
    </row>
    <row r="233">
      <c r="A233" s="7" t="inlineStr">
        <is>
          <t>I230</t>
        </is>
      </c>
      <c r="B233" s="7" t="inlineStr">
        <is>
          <t>quench-organometallic-acidic-XH</t>
        </is>
      </c>
      <c r="C233" s="7" t="inlineStr">
        <is>
          <t>Grignard or organolithium + a group with an acidic X–H</t>
        </is>
      </c>
      <c r="D233" s="7" t="inlineStr">
        <is>
          <t>reagent + group</t>
        </is>
      </c>
      <c r="E233" s="7" t="inlineStr">
        <is>
          <t>quencher</t>
        </is>
      </c>
      <c r="F233" s="7" t="inlineStr">
        <is>
          <t>reagent + group</t>
        </is>
      </c>
      <c r="G233" s="7" t="inlineStr"/>
      <c r="H233" s="7" t="inlineStr"/>
      <c r="I233" s="7" t="inlineStr">
        <is>
          <t>frag:F029 | frag:F140 | frag:F141 | smiles:[CH3][Mg+] | smiles:C[CH2][Mg+] | smiles:[CH2-]CCC</t>
        </is>
      </c>
      <c r="J233" s="7" t="inlineStr">
        <is>
          <t>F001 carboxylic acid | F118 aromatic carboxylic acid (ArCO2H, ArCO2⁻) | F003 alcohol (1°) | F014 alcohol (on sp3 C) | F015 alcohol (2°) | F016 alcohol (3°) | F017 1,2-diol | F129 1,2-amino alcohol (free N–C–C–OH: ethanolamine, amino-alcohols) | F197 methanol (CH3–OH): reagent and solvent | F198 ethanol (CH3CH2–OH): reagent and solvent | F199 benzylic alcohol (Ar–CH2–OH) | F028 phenol | F072 thiol / thiolate (R–SH, Ar–SH, RS⁻; heteroaryl thiol ⇌ thione) | F002 amine (1°) | F034 amine (2°) | F026 arylamine (aniline NH2) | F094 secondary aryl amine (N-alkyl / N-aryl aniline, diarylamine, 2-alkylamino-azine, indoline) | F176 primary alkylamine (R–NH2 on sp3 C; not an aniline) | F177 cyclic secondary amine (piperidine, pyrrolidine, morpholine, piperazine N–H) | F178 acyclic secondary amine (R2NH: Et2NH, N-methylbenzylamine) | F181 secondary amine on a ring N-heteroarene (2-alkylamino-pyridine / pyrimidine / thiazole: Ar(het)–NH–R) | F115 heteroaryl NH2 (2-aminopyridine, aminopyrimidine, aminothiazole: NH2 on a carbon next to a ring N) | F182 2-aminoazole NH2 (2-aminothiazole, 2-aminoimidazole, 2-aminooxazole: NH2 on a 5-ring carbon next to a ring N) | F183 aminopyridine / aminopyrimidine NH2 (NH2 on a 6-ring carbon next to a ring N) | F096 hydrazine / hydrazide NH2 (α-effect N) | F097 hydroxylamine / alkoxyamine N–H (NH2OH, MeONH2, BnONH2, R–NHOH) | F095 amide / lactam / carbamate / urea / imide N–H | F120 primary amide (C(=O)NH2) | F185 secondary amide (R–C(=O)–NH–R) | F186 5-membered ring N–H amide / carbamate / urea (γ-lactam, oxazolidinone, hydantoin, thiazolidinedione N–H) | F187 imide N–H (succinimide, glutarimide, thiazolidinedione, maleimide N–H): an acid | F067 sulfonamide, primary (R–SO2NH2) | F068 sulfonamide N–H, secondary (R–SO2NH–R′, incl. sultam) | F089 azole N–H (pyrrole, indole, azaindole, imidazole, benzimidazole, pyrazole, indazole, triazole, tetrazole; 5-ring lactam N–H) | F090 2-/4-pyridone-type aromatic lactam N–H (pyridone, quinolone, quinazolinone, pyrimidinone, uracil) | F109 pyrazole / indazole N–H (N–H next to another ring N) | F110 imidazole / benzimidazole / purine / azaindole N–H (N–H next to a C=N) | F111 pyrrole / indole / carbazole N–H (no second ring N next to it) | F114 tetrazole (N–H acid, pKa ≈ 5: carboxylic-acid isostere) | F008 alkyne, terminal (C≡C–H) | F048 arenesulfonic acid | F169 ammonium salt (protonated amine R3NH⁺, RNH3⁺, NH4⁺: amine hydrochlorides) | F102 active methylene CH2 (1,3-dicarbonyl, malonate, β-keto ester, cyanoacetate, malononitrile) | F049 oxime | F099 amidoxime (C(=NOH)NH2 ⇌ C(=NH)NHOH) | F056 nitroalkane (R–NO2 on sp3 C) | F150 N-hydroxybenzotriazole (HOBt, HOAt: coupling additive) | F098 amidine (C(=NH)NH2)</t>
        </is>
      </c>
      <c r="K233" s="7" t="inlineStr">
        <is>
          <t>substrate</t>
        </is>
      </c>
      <c r="L233" s="7" t="inlineStr">
        <is>
          <t>bystander</t>
        </is>
      </c>
      <c r="M233" s="7" t="n">
        <v>1</v>
      </c>
      <c r="N233" s="7" t="inlineStr"/>
      <c r="O233" s="7" t="inlineStr">
        <is>
          <t>yes</t>
        </is>
      </c>
      <c r="P233" s="7" t="inlineStr">
        <is>
          <t>quenches</t>
        </is>
      </c>
      <c r="Q233" s="7" t="inlineStr"/>
      <c r="R233" s="7" t="inlineStr">
        <is>
          <t>the reagent is destroyed first: each O–H, N–H, S–H, CO2H or terminal C–H protonates one equivalent of R–M (R–H forms); protect the group or use an extra equivalent per acidic H</t>
        </is>
      </c>
      <c r="S233" s="7" t="inlineStr">
        <is>
          <t>the carbon bound to the metal is a very strong base (conjugate acid pKa 45–50); an O–H, N–H or S–H is deprotonated at once (C–H acids such as ketone α-H compete with addition to the carbonyl, and addition usually wins for aldehydes and unhindered ketones)</t>
        </is>
      </c>
      <c r="T233" s="7" t="n"/>
      <c r="U233" s="7" t="n"/>
      <c r="V233" s="7" t="inlineStr"/>
      <c r="W233" s="7" t="n"/>
      <c r="X233" s="7" t="n"/>
      <c r="Y233" s="7" t="n"/>
      <c r="Z233" s="7" t="n"/>
      <c r="AA233" s="7" t="n">
        <v>6018</v>
      </c>
      <c r="AB233" s="9" t="n">
        <v>0.0034</v>
      </c>
      <c r="AC233" s="9" t="n">
        <v>0.4356</v>
      </c>
      <c r="AD233" s="9" t="n">
        <v>0.592</v>
      </c>
      <c r="AE233" s="7" t="inlineStr">
        <is>
          <t>11,897 (reaction, group) pairs with this reagent; alternatives counted: frag:F029; frag:F140; frag:F141; smiles:[CH3][Mg+]; smiles:C[CH2][Mg+]; smiles:[CH2-]CCC. A group being consumed measures this effect only indirectly: the figures say how often the group reacts at all with this reagent</t>
        </is>
      </c>
      <c r="AF233" s="7" t="inlineStr">
        <is>
          <t>Clayden, Organic Chemistry (organometallics); Fragment_Conditions F029</t>
        </is>
      </c>
    </row>
    <row r="234">
      <c r="A234" s="7" t="inlineStr">
        <is>
          <t>I231</t>
        </is>
      </c>
      <c r="B234" s="7" t="inlineStr">
        <is>
          <t>quench-strong-base-acidic-XH</t>
        </is>
      </c>
      <c r="C234" s="7" t="inlineStr">
        <is>
          <t>a strong base + several different acidic groups</t>
        </is>
      </c>
      <c r="D234" s="7" t="inlineStr">
        <is>
          <t>reagent + group</t>
        </is>
      </c>
      <c r="E234" s="7" t="inlineStr">
        <is>
          <t>competing site</t>
        </is>
      </c>
      <c r="F234" s="7" t="inlineStr">
        <is>
          <t>reagent + group</t>
        </is>
      </c>
      <c r="G234" s="7" t="inlineStr"/>
      <c r="H234" s="7" t="inlineStr"/>
      <c r="I234" s="7" t="inlineStr">
        <is>
          <t>frag:F142 | frag:F143 | frag:F140 | frag:F029 | frag:F141 | smiles:[NH2-] | smiles:[Li][N]([Si](C)(C)C)[Si](C)(C)C | smiles:CC(C)(C)[O-] | smiles:CCC(C)(C)[O-] | smiles:CC(C)(C)[O][K] | smiles:CC(C)(C)[O][Na] | smiles:C[Si](C)(C)[O][K]</t>
        </is>
      </c>
      <c r="J234" s="7" t="inlineStr">
        <is>
          <t>F001 carboxylic acid | F014 alcohol (on sp3 C) | F028 phenol | F072 thiol / thiolate (R–SH, Ar–SH, RS⁻; heteroaryl thiol ⇌ thione) | F176 primary alkylamine (R–NH2 on sp3 C; not an aniline) | F026 arylamine (aniline NH2) | F034 amine (2°) | F094 secondary aryl amine (N-alkyl / N-aryl aniline, diarylamine, 2-alkylamino-azine, indoline) | F096 hydrazine / hydrazide NH2 (α-effect N) | F097 hydroxylamine / alkoxyamine N–H (NH2OH, MeONH2, BnONH2, R–NHOH) | F095 amide / lactam / carbamate / urea / imide N–H | F067 sulfonamide, primary (R–SO2NH2) | F068 sulfonamide N–H, secondary (R–SO2NH–R′, incl. sultam) | F089 azole N–H (pyrrole, indole, azaindole, imidazole, benzimidazole, pyrazole, indazole, triazole, tetrazole; 5-ring lactam N–H) | F090 2-/4-pyridone-type aromatic lactam N–H (pyridone, quinolone, quinazolinone, pyrimidinone, uracil) | F008 alkyne, terminal (C≡C–H) | F048 arenesulfonic acid | F169 ammonium salt (protonated amine R3NH⁺, RNH3⁺, NH4⁺: amine hydrochlorides) | F102 active methylene CH2 (1,3-dicarbonyl, malonate, β-keto ester, cyanoacetate, malononitrile) | F192 α-C–H of a ketone (R–CO–CH: pKa ≈ 19–20; aldol, enolate alkylation, α-halogenation) | F193 α-C–H of an ester or lactone (pKa ≈ 25; needs LDA/NaH-strength base) | F194 α-C–H of a nitrile (pKa ≈ 25; cyanomethyl anion) | F195 α-C–H of an aldehyde (pKa ≈ 17; enolises most easily) | F049 oxime | F099 amidoxime (C(=NOH)NH2 ⇌ C(=NH)NHOH) | F056 nitroalkane (R–NO2 on sp3 C) | F098 amidine (C(=NH)NH2) | F150 N-hydroxybenzotriazole (HOBt, HOAt: coupling additive)</t>
        </is>
      </c>
      <c r="K234" s="7" t="inlineStr">
        <is>
          <t>substrate</t>
        </is>
      </c>
      <c r="L234" s="7" t="inlineStr">
        <is>
          <t>bystander</t>
        </is>
      </c>
      <c r="M234" s="7" t="n">
        <v>2</v>
      </c>
      <c r="N234" s="7" t="inlineStr"/>
      <c r="O234" s="7" t="inlineStr">
        <is>
          <t>yes</t>
        </is>
      </c>
      <c r="P234" s="7" t="inlineStr">
        <is>
          <t>competes</t>
        </is>
      </c>
      <c r="Q234" s="7" t="inlineStr"/>
      <c r="R234" s="7" t="inlineStr">
        <is>
          <t>the base removes the most acidic proton first and a second equivalent the next: with several sites the product follows the acidity order (carboxylic acid 4–5, phenol 10, alcohol 16, amide N–H 17, ketone α-C–H 19–20, ester α-C–H 25, terminal alkyne 25)</t>
        </is>
      </c>
      <c r="S234" s="7" t="inlineStr">
        <is>
          <t>the equilibrium constant of a proton transfer is 10^ΔpKa</t>
        </is>
      </c>
      <c r="T234" s="7" t="n"/>
      <c r="U234" s="7" t="n"/>
      <c r="V234" s="7" t="inlineStr"/>
      <c r="W234" s="7" t="n"/>
      <c r="X234" s="7" t="n"/>
      <c r="Y234" s="7" t="n"/>
      <c r="Z234" s="7" t="n"/>
      <c r="AA234" s="7" t="n">
        <v>65653</v>
      </c>
      <c r="AB234" s="9" t="n">
        <v>0.0217</v>
      </c>
      <c r="AC234" s="9" t="n">
        <v>0.6965</v>
      </c>
      <c r="AD234" s="9" t="n">
        <v>0.5893</v>
      </c>
      <c r="AE234" s="7" t="inlineStr">
        <is>
          <t>88,579 (reaction, group) pairs with this reagent; alternatives counted: frag:F142; frag:F143; frag:F140; frag:F029; frag:F141; smiles:[NH2-]; smiles:[Li][N]([Si](C)(C)C)[Si](C)(C)C; smiles:CC(C)(C)[O-]; smiles:CCC(C)(C)[O-]; smiles:CC(C)(C)[O][K]; smiles:CC(C)(C)[O][Na]; smiles:C[Si](C)(C)[O][K]. A group being consumed measures this effect only indirectly: the figures say how often the group reacts at all with this reagent</t>
        </is>
      </c>
      <c r="AF234" s="7" t="inlineStr">
        <is>
          <t>Evans pKa table; Clayden, Organic Chemistry</t>
        </is>
      </c>
    </row>
    <row r="235">
      <c r="A235" s="7" t="inlineStr">
        <is>
          <t>I232</t>
        </is>
      </c>
      <c r="B235" s="7" t="inlineStr">
        <is>
          <t>incompatible-hydride-acidic-XH</t>
        </is>
      </c>
      <c r="C235" s="7" t="inlineStr">
        <is>
          <t>a metal hydride (LiAlH4, DIBAL-H, NaH) + O–H, N–H or CO2H</t>
        </is>
      </c>
      <c r="D235" s="7" t="inlineStr">
        <is>
          <t>reagent + group</t>
        </is>
      </c>
      <c r="E235" s="7" t="inlineStr">
        <is>
          <t>quencher</t>
        </is>
      </c>
      <c r="F235" s="7" t="inlineStr">
        <is>
          <t>reagent + group</t>
        </is>
      </c>
      <c r="G235" s="7" t="inlineStr"/>
      <c r="H235" s="7" t="inlineStr"/>
      <c r="I235" s="7" t="inlineStr">
        <is>
          <t>frag:F042 | frag:F143 + smiles:[Al+3] | smiles:COCC[O][AlH2-][O]CCOC | frag:F143 | frag:F145 | smiles:CCC(C)[BH-](C(C)CC)C(C)CC</t>
        </is>
      </c>
      <c r="J235" s="7" t="inlineStr">
        <is>
          <t>F001 carboxylic acid | F118 aromatic carboxylic acid (ArCO2H, ArCO2⁻) | F003 alcohol (1°) | F014 alcohol (on sp3 C) | F015 alcohol (2°) | F016 alcohol (3°) | F017 1,2-diol | F129 1,2-amino alcohol (free N–C–C–OH: ethanolamine, amino-alcohols) | F197 methanol (CH3–OH): reagent and solvent | F198 ethanol (CH3CH2–OH): reagent and solvent | F199 benzylic alcohol (Ar–CH2–OH) | F028 phenol | F072 thiol / thiolate (R–SH, Ar–SH, RS⁻; heteroaryl thiol ⇌ thione) | F002 amine (1°) | F034 amine (2°) | F026 arylamine (aniline NH2) | F094 secondary aryl amine (N-alkyl / N-aryl aniline, diarylamine, 2-alkylamino-azine, indoline) | F176 primary alkylamine (R–NH2 on sp3 C; not an aniline) | F177 cyclic secondary amine (piperidine, pyrrolidine, morpholine, piperazine N–H) | F178 acyclic secondary amine (R2NH: Et2NH, N-methylbenzylamine) | F181 secondary amine on a ring N-heteroarene (2-alkylamino-pyridine / pyrimidine / thiazole: Ar(het)–NH–R) | F115 heteroaryl NH2 (2-aminopyridine, aminopyrimidine, aminothiazole: NH2 on a carbon next to a ring N) | F182 2-aminoazole NH2 (2-aminothiazole, 2-aminoimidazole, 2-aminooxazole: NH2 on a 5-ring carbon next to a ring N) | F183 aminopyridine / aminopyrimidine NH2 (NH2 on a 6-ring carbon next to a ring N) | F096 hydrazine / hydrazide NH2 (α-effect N) | F097 hydroxylamine / alkoxyamine N–H (NH2OH, MeONH2, BnONH2, R–NHOH) | F095 amide / lactam / carbamate / urea / imide N–H | F120 primary amide (C(=O)NH2) | F185 secondary amide (R–C(=O)–NH–R) | F186 5-membered ring N–H amide / carbamate / urea (γ-lactam, oxazolidinone, hydantoin, thiazolidinedione N–H) | F187 imide N–H (succinimide, glutarimide, thiazolidinedione, maleimide N–H): an acid | F067 sulfonamide, primary (R–SO2NH2) | F068 sulfonamide N–H, secondary (R–SO2NH–R′, incl. sultam) | F089 azole N–H (pyrrole, indole, azaindole, imidazole, benzimidazole, pyrazole, indazole, triazole, tetrazole; 5-ring lactam N–H) | F090 2-/4-pyridone-type aromatic lactam N–H (pyridone, quinolone, quinazolinone, pyrimidinone, uracil) | F109 pyrazole / indazole N–H (N–H next to another ring N) | F110 imidazole / benzimidazole / purine / azaindole N–H (N–H next to a C=N) | F111 pyrrole / indole / carbazole N–H (no second ring N next to it) | F114 tetrazole (N–H acid, pKa ≈ 5: carboxylic-acid isostere) | F008 alkyne, terminal (C≡C–H) | F048 arenesulfonic acid | F169 ammonium salt (protonated amine R3NH⁺, RNH3⁺, NH4⁺: amine hydrochlorides) | F102 active methylene CH2 (1,3-dicarbonyl, malonate, β-keto ester, cyanoacetate, malononitrile) | F049 oxime | F099 amidoxime (C(=NOH)NH2 ⇌ C(=NH)NHOH) | F056 nitroalkane (R–NO2 on sp3 C) | F150 N-hydroxybenzotriazole (HOBt, HOAt: coupling additive) | F098 amidine (C(=NH)NH2)</t>
        </is>
      </c>
      <c r="K235" s="7" t="inlineStr">
        <is>
          <t>substrate</t>
        </is>
      </c>
      <c r="L235" s="7" t="inlineStr">
        <is>
          <t>bystander</t>
        </is>
      </c>
      <c r="M235" s="7" t="n">
        <v>1</v>
      </c>
      <c r="N235" s="7" t="inlineStr"/>
      <c r="O235" s="7" t="inlineStr">
        <is>
          <t>yes</t>
        </is>
      </c>
      <c r="P235" s="7" t="inlineStr">
        <is>
          <t>quenches</t>
        </is>
      </c>
      <c r="Q235" s="7" t="inlineStr"/>
      <c r="R235" s="7" t="inlineStr">
        <is>
          <t>H2 is evolved and one hydride used up per acidic proton; the alkoxide / amide formed may react more slowly than the free group (carboxylic acids are reduced via the carboxylate only with excess LiAlH4)</t>
        </is>
      </c>
      <c r="S235" s="7" t="inlineStr">
        <is>
          <t>hydride is a strong base (conjugate acid H2, pKa about 35)</t>
        </is>
      </c>
      <c r="T235" s="7" t="n"/>
      <c r="U235" s="7" t="n"/>
      <c r="V235" s="7" t="inlineStr"/>
      <c r="W235" s="7" t="n"/>
      <c r="X235" s="7" t="n"/>
      <c r="Y235" s="7" t="n"/>
      <c r="Z235" s="7" t="n"/>
      <c r="AA235" s="7" t="n">
        <v>38110</v>
      </c>
      <c r="AB235" s="9" t="n">
        <v>0.0107</v>
      </c>
      <c r="AC235" s="9" t="n">
        <v>0.7314000000000001</v>
      </c>
      <c r="AD235" s="9" t="n">
        <v>0.5861</v>
      </c>
      <c r="AE235" s="7" t="inlineStr">
        <is>
          <t>86,819 (reaction, group) pairs with this reagent; alternatives counted: frag:F042; frag:F143 + smiles:[Al+3]; smiles:COCC[O][AlH2-][O]CCOC; frag:F143; frag:F145; smiles:CCC(C)[BH-](C(C)CC)C(C)CC. A group being consumed measures this effect only indirectly: the figures say how often the group reacts at all with this reagent</t>
        </is>
      </c>
      <c r="AF235" s="7" t="inlineStr">
        <is>
          <t>Clayden, Organic Chemistry (reduction); Fragment_Conditions F042</t>
        </is>
      </c>
    </row>
    <row r="236">
      <c r="A236" s="7" t="inlineStr">
        <is>
          <t>I233</t>
        </is>
      </c>
      <c r="B236" s="7" t="inlineStr">
        <is>
          <t>also-reduced-LiAlH4</t>
        </is>
      </c>
      <c r="C236" s="7" t="inlineStr">
        <is>
          <t>LiAlH4 + other reducible groups</t>
        </is>
      </c>
      <c r="D236" s="7" t="inlineStr">
        <is>
          <t>reagent + group</t>
        </is>
      </c>
      <c r="E236" s="7" t="inlineStr">
        <is>
          <t>incompatible group</t>
        </is>
      </c>
      <c r="F236" s="7" t="inlineStr">
        <is>
          <t>reagent + group</t>
        </is>
      </c>
      <c r="G236" s="7" t="inlineStr"/>
      <c r="H236" s="7" t="inlineStr"/>
      <c r="I236" s="7" t="inlineStr">
        <is>
          <t>frag:F042 | frag:F143 + smiles:[Al+3] | smiles:COCC[O][AlH2-][O]CCOC</t>
        </is>
      </c>
      <c r="J236" s="7" t="inlineStr">
        <is>
          <t>F004 ester | F139 methyl / ethyl ester (saponified by LiOH, NaOH; the common ester protecting group) | F138 acetate ester (CH3–C(=O)–O–C: acetyl protecting group on an alcohol or phenol) | F021 amide | F120 primary amide (C(=O)NH2) | F184 tertiary amide (R–C(=O)–NR2: DMF, DMA, Weinreb amide, N-acylpiperidine, N-alkyl lactam) | F185 secondary amide (R–C(=O)–NH–R) | F202 lactam, 5- to 7-membered (pyrrolidinone, piperidinone, caprolactam, oxindole) | F022 nitrile | F191 aryl nitrile (Ar–C≡N: benzonitrile, cyanopyridine) | F001 carboxylic acid | F118 aromatic carboxylic acid (ArCO2H, ArCO2⁻) | F020 acyl chloride | F041 carboxylic anhydride | F018 aldehyde | F117 aromatic aldehyde (ArCHO) | F019 ketone | F116 aryl ketone (acetophenone, benzophenone: Ar–C(=O)–C) | F031 imine | F040 enone (α,β-unsaturated carbonyl) | F124 activated ester (N-hydroxysuccinimide, HOBt/HOAt, pentafluorophenyl, p-nitrophenyl ester) | F121 imide (phthalimide, succinimide, glutarimide: C(=O)–N–C(=O)) | F136 trifluoroacetyl (trifluoroacetic acid TFA, trifluoroacetamide, trifluoroacetate ester) | F074 thioester (S-acyl: thioacetate R–SAc, S-alkyl thiocarbonate) | F079 carbonate ester (aryl/alkyl carbonate, O-Boc phenol) | F100 isocyanate / isothiocyanate (R–N=C=O, R–N=C=S; incl. TMS-NCO, ClSO2NCO) | F122 urea (N–C(=O)–N: ureas, carbamoyl-ureas) | F023 epoxide | F025 nitroarene | F056 nitroalkane (R–NO2 on sp3 C) | F055 organic azide (R–N3, alkyl or aryl) | F010 alkyl bromide | F011 alkyl chloride | F012 alkyl iodide | F044 alkyl halide (1°) | F045 alkyl halide (2°) | F066 alkyl sulfonate / sulfate ester (R–OMs, R–OTs, R–OTf, Me2SO4, cyclic sulfamidate) | F077 carbamate (N–CO2R: Boc, Cbz, Moc, Eoc) | F049 oxime | F125 α-halo carbonyl (α-halo ketone, ester, amide)</t>
        </is>
      </c>
      <c r="K236" s="7" t="inlineStr">
        <is>
          <t>substrate</t>
        </is>
      </c>
      <c r="L236" s="7" t="inlineStr">
        <is>
          <t>bystander</t>
        </is>
      </c>
      <c r="M236" s="7" t="n">
        <v>1</v>
      </c>
      <c r="N236" s="7" t="inlineStr"/>
      <c r="O236" s="7" t="inlineStr">
        <is>
          <t>yes</t>
        </is>
      </c>
      <c r="P236" s="7" t="inlineStr">
        <is>
          <t>also_reacts</t>
        </is>
      </c>
      <c r="Q236" s="7" t="inlineStr"/>
      <c r="R236" s="7" t="inlineStr">
        <is>
          <t>also reduced: esters, amides, nitriles, acids, acyl chlorides, epoxides, azides, carbamates (to N-methyl) and most alkyl halides and sulfonates; aliphatic nitro compounds go to amines and nitroarenes to azo compounds; unless the amount is limited the molecule is reduced at every one of them</t>
        </is>
      </c>
      <c r="S236" s="7" t="inlineStr">
        <is>
          <t>a very strong hydride donor with little selectivity between polar functional groups</t>
        </is>
      </c>
      <c r="T236" s="7" t="n"/>
      <c r="U236" s="7" t="n"/>
      <c r="V236" s="7" t="inlineStr"/>
      <c r="W236" s="7" t="n"/>
      <c r="X236" s="7" t="n"/>
      <c r="Y236" s="7" t="n"/>
      <c r="Z236" s="7" t="n"/>
      <c r="AA236" s="7" t="n">
        <v>9169</v>
      </c>
      <c r="AB236" s="9" t="n">
        <v>0.001</v>
      </c>
      <c r="AC236" s="9" t="n">
        <v>0.906</v>
      </c>
      <c r="AD236" s="9" t="n">
        <v>0.4911</v>
      </c>
      <c r="AE236" s="7" t="inlineStr">
        <is>
          <t>20,458 (reaction, group) pairs with this reagent; alternatives counted: frag:F042; frag:F143 + smiles:[Al+3]; smiles:COCC[O][AlH2-][O]CCOC</t>
        </is>
      </c>
      <c r="AF236" s="7" t="inlineStr">
        <is>
          <t>Clayden, Organic Chemistry (reduction)</t>
        </is>
      </c>
    </row>
    <row r="237">
      <c r="A237" s="7" t="inlineStr">
        <is>
          <t>I234</t>
        </is>
      </c>
      <c r="B237" s="7" t="inlineStr">
        <is>
          <t>spared-by-NaBH4</t>
        </is>
      </c>
      <c r="C237" s="7" t="inlineStr">
        <is>
          <t>NaBH4 + an amide, carbamate or nitro group</t>
        </is>
      </c>
      <c r="D237" s="7" t="inlineStr">
        <is>
          <t>reagent + group</t>
        </is>
      </c>
      <c r="E237" s="7" t="inlineStr">
        <is>
          <t>selectivity</t>
        </is>
      </c>
      <c r="F237" s="7" t="inlineStr">
        <is>
          <t>reagent + group</t>
        </is>
      </c>
      <c r="G237" s="7" t="inlineStr"/>
      <c r="H237" s="7" t="inlineStr"/>
      <c r="I237" s="7" t="inlineStr">
        <is>
          <t>smiles:[BH4-] + smiles:[Na+] + not:smiles:[Li+] + not:role:Lewis acid + not:elem:Co + not:elem:Ni + not:elem:Cu + not:elem:Pd + not:elem:Pt + not:elem:Ca + not:smiles:II</t>
        </is>
      </c>
      <c r="J237" s="7" t="inlineStr">
        <is>
          <t>F021 amide | F077 carbamate (N–CO2R: Boc, Cbz, Moc, Eoc) | F120 primary amide (C(=O)NH2) | F025 nitroarene</t>
        </is>
      </c>
      <c r="K237" s="7" t="inlineStr">
        <is>
          <t>substrate</t>
        </is>
      </c>
      <c r="L237" s="7" t="inlineStr">
        <is>
          <t>bystander</t>
        </is>
      </c>
      <c r="M237" s="7" t="n">
        <v>1</v>
      </c>
      <c r="N237" s="7" t="inlineStr"/>
      <c r="O237" s="7" t="inlineStr">
        <is>
          <t>yes</t>
        </is>
      </c>
      <c r="P237" s="7" t="inlineStr">
        <is>
          <t>spared</t>
        </is>
      </c>
      <c r="Q237" s="7" t="inlineStr"/>
      <c r="R237" s="7" t="inlineStr">
        <is>
          <t>usually survive: NaBH4 alone reduces aldehydes, ketones, acyl chlorides and (with acid) imines at 0–25 °C but leaves amides, carbamates and nitro groups; esters, nitriles and acids also survive without an additive, but in the recorded reactions they are reduced about as often as with other reagents (they are the target, or LiCl / CaCl2 / CoCl2 / I2 / heat is added)</t>
        </is>
      </c>
      <c r="S237" s="7" t="inlineStr">
        <is>
          <t>the N lone pair makes an amide or carbamate C=O far less electrophilic than a ketone, and NaBH4 is a mild hydride donor</t>
        </is>
      </c>
      <c r="T237" s="7" t="n"/>
      <c r="U237" s="7" t="n"/>
      <c r="V237" s="7" t="inlineStr"/>
      <c r="W237" s="7" t="n"/>
      <c r="X237" s="7" t="n"/>
      <c r="Y237" s="7" t="n"/>
      <c r="Z237" s="7" t="n"/>
      <c r="AA237" s="7" t="n">
        <v>3896</v>
      </c>
      <c r="AB237" s="9" t="n">
        <v>0.0031</v>
      </c>
      <c r="AC237" s="9" t="n">
        <v>0.1082</v>
      </c>
      <c r="AD237" s="9" t="n">
        <v>0.2943</v>
      </c>
      <c r="AE237" s="7" t="inlineStr">
        <is>
          <t>5,409 (reaction, group) pairs with this reagent; alternatives counted: smiles:[BH4-] + smiles:[Na+] + not:smiles:[Li+] + not:role:Lewis acid + not:elem:Co + not:elem:Ni + not:elem:Cu + not:elem:Pd + not:elem:Pt + not:elem:Ca + not:smiles:II. A group being consumed measures this effect only indirectly: the figures say how often the group reacts at all with this reagent</t>
        </is>
      </c>
      <c r="AF237" s="7" t="inlineStr">
        <is>
          <t>Clayden, Organic Chemistry; Known_No_Reaction sheet (NaBH4)</t>
        </is>
      </c>
    </row>
    <row r="238">
      <c r="A238" s="7" t="inlineStr">
        <is>
          <t>I235</t>
        </is>
      </c>
      <c r="B238" s="7" t="inlineStr">
        <is>
          <t>also-reduced-LiBH4</t>
        </is>
      </c>
      <c r="C238" s="7" t="inlineStr">
        <is>
          <t>LiBH4 + an ester, lactone, epoxide or acid derivative</t>
        </is>
      </c>
      <c r="D238" s="7" t="inlineStr">
        <is>
          <t>reagent + group</t>
        </is>
      </c>
      <c r="E238" s="7" t="inlineStr">
        <is>
          <t>incompatible group</t>
        </is>
      </c>
      <c r="F238" s="7" t="inlineStr">
        <is>
          <t>reagent + group</t>
        </is>
      </c>
      <c r="G238" s="7" t="inlineStr"/>
      <c r="H238" s="7" t="inlineStr"/>
      <c r="I238" s="7" t="inlineStr">
        <is>
          <t>smiles:[BH4-] + smiles:[Li+]</t>
        </is>
      </c>
      <c r="J238" s="7" t="inlineStr">
        <is>
          <t>F004 ester | F139 methyl / ethyl ester (saponified by LiOH, NaOH; the common ester protecting group) | F138 acetate ester (CH3–C(=O)–O–C: acetyl protecting group on an alcohol or phenol) | F023 epoxide | F124 activated ester (N-hydroxysuccinimide, HOBt/HOAt, pentafluorophenyl, p-nitrophenyl ester) | F020 acyl chloride | F041 carboxylic anhydride | F121 imide (phthalimide, succinimide, glutarimide: C(=O)–N–C(=O))</t>
        </is>
      </c>
      <c r="K238" s="7" t="inlineStr">
        <is>
          <t>substrate</t>
        </is>
      </c>
      <c r="L238" s="7" t="inlineStr">
        <is>
          <t>bystander</t>
        </is>
      </c>
      <c r="M238" s="7" t="n">
        <v>1</v>
      </c>
      <c r="N238" s="7" t="inlineStr"/>
      <c r="O238" s="7" t="inlineStr">
        <is>
          <t>yes</t>
        </is>
      </c>
      <c r="P238" s="7" t="inlineStr">
        <is>
          <t>also_reacts</t>
        </is>
      </c>
      <c r="Q238" s="7" t="inlineStr"/>
      <c r="R238" s="7" t="inlineStr">
        <is>
          <t>also reduced: unlike NaBH4, LiBH4 reduces esters, lactones, epoxides and acyl derivatives (the Li⁺ activates the C=O); it still leaves acids, amides, nitriles and nitro groups largely alone</t>
        </is>
      </c>
      <c r="S238" s="7" t="inlineStr">
        <is>
          <t>the lithium ion is a better Lewis acid than sodium</t>
        </is>
      </c>
      <c r="T238" s="7" t="n"/>
      <c r="U238" s="7" t="n"/>
      <c r="V238" s="7" t="inlineStr"/>
      <c r="W238" s="7" t="n"/>
      <c r="X238" s="7" t="n"/>
      <c r="Y238" s="7" t="n"/>
      <c r="Z238" s="7" t="n"/>
      <c r="AA238" s="7" t="n">
        <v>1387</v>
      </c>
      <c r="AB238" s="9" t="n">
        <v>0</v>
      </c>
      <c r="AC238" s="9" t="n">
        <v>0.9829</v>
      </c>
      <c r="AD238" s="9" t="n">
        <v>0.4997</v>
      </c>
      <c r="AE238" s="7" t="inlineStr">
        <is>
          <t>2,689 (reaction, group) pairs with this reagent; alternatives counted: smiles:[BH4-] + smiles:[Li+]</t>
        </is>
      </c>
      <c r="AF238" s="7" t="inlineStr">
        <is>
          <t>Clayden, Organic Chemistry (reduction)</t>
        </is>
      </c>
    </row>
    <row r="239">
      <c r="A239" s="7" t="inlineStr">
        <is>
          <t>I236</t>
        </is>
      </c>
      <c r="B239" s="7" t="inlineStr">
        <is>
          <t>also-oxidised-by-peroxide</t>
        </is>
      </c>
      <c r="C239" s="7" t="inlineStr">
        <is>
          <t>a peroxide or peracid (H2O2, mCPBA, peracetic acid, Oxone) + a sulfide, tertiary amine, alkene or electron-rich ring</t>
        </is>
      </c>
      <c r="D239" s="7" t="inlineStr">
        <is>
          <t>reagent + group</t>
        </is>
      </c>
      <c r="E239" s="7" t="inlineStr">
        <is>
          <t>incompatible group</t>
        </is>
      </c>
      <c r="F239" s="7" t="inlineStr">
        <is>
          <t>reagent + group</t>
        </is>
      </c>
      <c r="G239" s="7" t="inlineStr"/>
      <c r="H239" s="7" t="inlineStr"/>
      <c r="I239" s="7" t="inlineStr">
        <is>
          <t>smiles:O=C(OO)c1cccc(Cl)c1 | smiles:CC(=O)OO | smiles:OO | smiles:O=S(=O)([O-])O[O-] | smiles:O=S([O-])OO</t>
        </is>
      </c>
      <c r="J239" s="7" t="inlineStr">
        <is>
          <t>F073 thioether (dialkyl / aryl alkyl sulfide, incl. 2-methylthio-azine) | F072 thiol / thiolate (R–SH, Ar–SH, RS⁻; heteroaryl thiol ⇌ thione) | F093 amine 3° (trialkylamine, N,N-dialkylaniline, enamine) | F179 trialkylamine, all three substituents acyclic (Et3N, DIPEA, Me2NR): a base | F180 N,N-dialkylaniline (Ar–NR2: dimethylaniline, N-arylpiperazine/piperidine) | F005 alkene (C=C) | F006 alkene, terminal (=CH2) | F126 enol ether / vinyl ether (C=C–O–R; dihydropyran, dihydrofuran) | F127 enamine / enaminone (C=C–N, not an enamide) | F203 acyclic enamine / enaminone (N–CH=C: Me2N–CH=CH–C(=O)R from DMF-DMA) | F106 pyrrole / indole ring C–H | F105 furan / benzofuran ring C–H | F104 thiophene / benzothiophene ring C–H | F028 phenol | F026 arylamine (aniline NH2) | F019 ketone | F091 pyridine-type ring N (azine N)</t>
        </is>
      </c>
      <c r="K239" s="7" t="inlineStr">
        <is>
          <t>substrate</t>
        </is>
      </c>
      <c r="L239" s="7" t="inlineStr">
        <is>
          <t>bystander</t>
        </is>
      </c>
      <c r="M239" s="7" t="n">
        <v>1</v>
      </c>
      <c r="N239" s="7" t="inlineStr"/>
      <c r="O239" s="7" t="inlineStr">
        <is>
          <t>yes</t>
        </is>
      </c>
      <c r="P239" s="7" t="inlineStr">
        <is>
          <t>also_reacts</t>
        </is>
      </c>
      <c r="Q239" s="7" t="inlineStr"/>
      <c r="R239" s="7" t="inlineStr">
        <is>
          <t>also oxidised: sulfides to sulfoxide and sulfone, tertiary amines and pyridines to N-oxides, alkenes to epoxides, enol ethers and enamines, electron-rich heteroarenes, phenols and anilines (to quinones and tars), ketones to esters (Baeyer–Villiger)</t>
        </is>
      </c>
      <c r="S239" s="7" t="inlineStr">
        <is>
          <t>a peracid is an electrophilic oxygen donor: it takes electrons from whichever group is the most electron-rich first</t>
        </is>
      </c>
      <c r="T239" s="7" t="n"/>
      <c r="U239" s="7" t="n"/>
      <c r="V239" s="7" t="inlineStr"/>
      <c r="W239" s="7" t="n"/>
      <c r="X239" s="7" t="n"/>
      <c r="Y239" s="7" t="n"/>
      <c r="Z239" s="7" t="n"/>
      <c r="AA239" s="7" t="n">
        <v>5505</v>
      </c>
      <c r="AB239" s="9" t="n">
        <v>0.0031</v>
      </c>
      <c r="AC239" s="9" t="n">
        <v>0.5038</v>
      </c>
      <c r="AD239" s="9" t="n">
        <v>0.285</v>
      </c>
      <c r="AE239" s="7" t="inlineStr">
        <is>
          <t>9,791 (reaction, group) pairs with this reagent; alternatives counted: smiles:O=C(OO)c1cccc(Cl)c1; smiles:CC(=O)OO; smiles:OO; smiles:O=S(=O)([O-])O[O-]; smiles:O=S([O-])OO</t>
        </is>
      </c>
      <c r="AF239" s="7" t="inlineStr">
        <is>
          <t>Clayden, Organic Chemistry (oxidation)</t>
        </is>
      </c>
    </row>
    <row r="240">
      <c r="A240" s="7" t="inlineStr">
        <is>
          <t>I237</t>
        </is>
      </c>
      <c r="B240" s="7" t="inlineStr">
        <is>
          <t>also-oxidised-by-metal-oxo</t>
        </is>
      </c>
      <c r="C240" s="7" t="inlineStr">
        <is>
          <t>a chromium(VI), permanganate, ruthenium or hypervalent-iodine oxidant + other oxidisable groups</t>
        </is>
      </c>
      <c r="D240" s="7" t="inlineStr">
        <is>
          <t>reagent + group</t>
        </is>
      </c>
      <c r="E240" s="7" t="inlineStr">
        <is>
          <t>incompatible group</t>
        </is>
      </c>
      <c r="F240" s="7" t="inlineStr">
        <is>
          <t>reagent + group</t>
        </is>
      </c>
      <c r="G240" s="7" t="inlineStr"/>
      <c r="H240" s="7" t="inlineStr"/>
      <c r="I240" s="7" t="inlineStr">
        <is>
          <t>smiles:CC(=O)OI1(OC(C)=O)(OC(C)=O)OC(=O)c2ccccc21 | smiles:O=C(O)c1ccccc1I(=O)=O | smiles:CC(=O)OI(OC(C)=O)c1ccccc1 | smiles:O=C(OI(OC(=O)C(F)(F)F)c1ccccc1)C(F)(F)F | smiles:[O]=[Cr](=[O])([O-])[Cl] | smiles:[O]=[Cr](=[O])=[O] | smiles:[O]=[Cr](=[O])([O-])[O][Cr](=[O])(=[O])[O-] | smiles:[O]=[Cr](=[O])([OH])[OH] | smiles:[O]=[Mn](=[O])(=[O])[O-] | smiles:[O]=[Ru](=[O])(=[O])[O-] | smiles:[O]=[Ru]=[O]</t>
        </is>
      </c>
      <c r="J240" s="7" t="inlineStr">
        <is>
          <t>F003 alcohol (1°) | F015 alcohol (2°) | F199 benzylic alcohol (Ar–CH2–OH) | F073 thioether (dialkyl / aryl alkyl sulfide, incl. 2-methylthio-azine) | F072 thiol / thiolate (R–SH, Ar–SH, RS⁻; heteroaryl thiol ⇌ thione) | F130 benzyl group on O, N or S (benzyl ether, N-benzyl amine / amide, benzyl thioether)</t>
        </is>
      </c>
      <c r="K240" s="7" t="inlineStr">
        <is>
          <t>substrate</t>
        </is>
      </c>
      <c r="L240" s="7" t="inlineStr">
        <is>
          <t>bystander</t>
        </is>
      </c>
      <c r="M240" s="7" t="n">
        <v>1</v>
      </c>
      <c r="N240" s="7" t="inlineStr"/>
      <c r="O240" s="7" t="inlineStr">
        <is>
          <t>yes</t>
        </is>
      </c>
      <c r="P240" s="7" t="inlineStr">
        <is>
          <t>also_reacts</t>
        </is>
      </c>
      <c r="Q240" s="7" t="inlineStr"/>
      <c r="R240" s="7" t="inlineStr">
        <is>
          <t>also oxidised: primary and secondary alcohols (to aldehydes / ketones; tertiary alcohols are not oxidised), sulfides and thiols, and benzyl ethers (chromic acid, permanganate, ruthenium tetroxide); permanganate and chromic acid carry aldehydes on to acids, while Dess–Martin periodinane and IBX stop at the aldehyde or ketone; alkenes and benzylic C–H are attacked only by the strongest of these (permanganate, RuO4), which the recorded reactions do not show often enough to list them</t>
        </is>
      </c>
      <c r="S240" s="7" t="inlineStr">
        <is>
          <t>high-valent metal oxo and iodine(V) reagents take hydrides or electrons from whatever is most oxidisable</t>
        </is>
      </c>
      <c r="T240" s="7" t="n"/>
      <c r="U240" s="7" t="n"/>
      <c r="V240" s="7" t="inlineStr"/>
      <c r="W240" s="7" t="n"/>
      <c r="X240" s="7" t="n"/>
      <c r="Y240" s="7" t="n"/>
      <c r="Z240" s="7" t="n"/>
      <c r="AA240" s="7" t="n">
        <v>4068</v>
      </c>
      <c r="AB240" s="9" t="n">
        <v>0.0005</v>
      </c>
      <c r="AC240" s="9" t="n">
        <v>0.91</v>
      </c>
      <c r="AD240" s="9" t="n">
        <v>0.3749</v>
      </c>
      <c r="AE240" s="7" t="inlineStr">
        <is>
          <t>6,133 (reaction, group) pairs with this reagent; alternatives counted: smiles:CC(=O)OI1(OC(C)=O)(OC(C)=O)OC(=O)c2ccccc21; smiles:O=C(O)c1ccccc1I(=O)=O; smiles:CC(=O)OI(OC(C)=O)c1ccccc1; smiles:O=C(OI(OC(=O)C(F)(F)F)c1ccccc1)C(F)(F)F; smiles:[O]=[Cr](=[O])([O-])[Cl]; smiles:[O]=[Cr](=[O])=[O]; smiles:[O]=[Cr](=[O])([O-])[O][Cr](=[O])(=[O])[O-]; smiles:[O]=[Cr](=[O])([OH])[OH]; smiles:[O]=[Mn](=[O])(=[O])[O-]; smiles:[O]=[Ru](=[O])(=[O])[O-]; smiles:[O]=[Ru]=[O]</t>
        </is>
      </c>
      <c r="AF240" s="7" t="inlineStr">
        <is>
          <t>Clayden, Organic Chemistry (oxidation)</t>
        </is>
      </c>
    </row>
    <row r="241">
      <c r="A241" s="7" t="inlineStr">
        <is>
          <t>I238</t>
        </is>
      </c>
      <c r="B241" s="7" t="inlineStr">
        <is>
          <t>cleaved-by-acid</t>
        </is>
      </c>
      <c r="C241" s="7" t="inlineStr">
        <is>
          <t>a strong acid (TFA, HCl, HBr, H2SO4, TsOH, MsOH, TfOH, formic acid) + an acid-labile protecting group</t>
        </is>
      </c>
      <c r="D241" s="7" t="inlineStr">
        <is>
          <t>reagent + group</t>
        </is>
      </c>
      <c r="E241" s="7" t="inlineStr">
        <is>
          <t>protecting group</t>
        </is>
      </c>
      <c r="F241" s="7" t="inlineStr">
        <is>
          <t>reagent + group</t>
        </is>
      </c>
      <c r="G241" s="7" t="inlineStr"/>
      <c r="H241" s="7" t="inlineStr"/>
      <c r="I241" s="7" t="inlineStr">
        <is>
          <t>smiles:O=C(O)C(F)(F)F | smiles:Cl | smiles:Br | smiles:I | smiles:F | smiles:O=S(=O)(O)O | smiles:Cc1ccc(S(=O)(=O)O)cc1 | smiles:CS(=O)(=O)O | smiles:O=S(=O)(O)C(F)(F)F | smiles:CC1(C)C2CCC1(CS(=O)(=O)O)C(=O)C2 | smiles:[O-][Cl+3]([O-])([O-])O | smiles:O=CO | smiles:O=P(O)(O)O | smiles:[H+]</t>
        </is>
      </c>
      <c r="J241" s="7" t="inlineStr">
        <is>
          <t>F078 tert-butyl protecting group (Boc, t-Bu ester / ether / carbonate / phosphate, N-t-Bu azole, N-t-Bu sulfonamide / aminoazine) | F039 acetal / ketal | F052 silyl ether / N-silyl (TMS, TES, TBS, TIPS, TBDPS on O or N) | F134 trityl group (Ph3C–N, Ph3C–O, Ph3C–S) | F132 4-methoxybenzyl (PMB) group on O, N or S | F126 enol ether / vinyl ether (C=C–O–R; dihydropyran, dihydrofuran) | F200 orthoester (R–C(OR)3: triethyl orthoformate, trimethyl orthoacetate) | F201 amide acetal / aminal ether (DMF-DMA: Me2N–CH(OMe)2)</t>
        </is>
      </c>
      <c r="K241" s="7" t="inlineStr">
        <is>
          <t>substrate</t>
        </is>
      </c>
      <c r="L241" s="7" t="inlineStr">
        <is>
          <t>both</t>
        </is>
      </c>
      <c r="M241" s="7" t="n">
        <v>1</v>
      </c>
      <c r="N241" s="7" t="inlineStr"/>
      <c r="O241" s="7" t="inlineStr">
        <is>
          <t>yes</t>
        </is>
      </c>
      <c r="P241" s="7" t="inlineStr">
        <is>
          <t>cleaved</t>
        </is>
      </c>
      <c r="Q241" s="7" t="inlineStr"/>
      <c r="R241" s="7" t="inlineStr">
        <is>
          <t>removed or opened: Boc and tert-butyl esters / ethers (TFA, HCl), acetals, THP and MOM ethers, trityl, PMB, enol ethers and silyl ethers are cleaved by acid; benzyl carbamates (Cbz) survive TFA and HCl but go with HBr / AcOH; choose a base-mediated step or a milder acid when the group must survive</t>
        </is>
      </c>
      <c r="S241" s="7" t="inlineStr">
        <is>
          <t>the cation formed on protonation is stabilised (tert-butyl, oxocarbenium, trityl, benzylic)</t>
        </is>
      </c>
      <c r="T241" s="7" t="n"/>
      <c r="U241" s="7" t="n"/>
      <c r="V241" s="7" t="inlineStr"/>
      <c r="W241" s="7" t="n"/>
      <c r="X241" s="7" t="n"/>
      <c r="Y241" s="7" t="n"/>
      <c r="Z241" s="7" t="n"/>
      <c r="AA241" s="7" t="n">
        <v>62021</v>
      </c>
      <c r="AB241" s="9" t="n">
        <v>0.0144</v>
      </c>
      <c r="AC241" s="9" t="n">
        <v>0.7514999999999999</v>
      </c>
      <c r="AD241" s="9" t="n">
        <v>0.2274</v>
      </c>
      <c r="AE241" s="7" t="inlineStr">
        <is>
          <t>64,816 (reaction, group) pairs with this reagent; alternatives counted: smiles:O=C(O)C(F)(F)F; smiles:Cl; smiles:Br; smiles:I; smiles:F; smiles:O=S(=O)(O)O; smiles:Cc1ccc(S(=O)(=O)O)cc1; smiles:CS(=O)(=O)O; smiles:O=S(=O)(O)C(F)(F)F; smiles:CC1(C)C2CCC1(CS(=O)(=O)O)C(=O)C2; smiles:[O-][Cl+3]([O-])([O-])O; smiles:O=CO; smiles:O=P(O)(O)O; smiles:[H+]. A group being consumed measures this effect only indirectly: the figures say how often the group reacts at all with this reagent</t>
        </is>
      </c>
      <c r="AF241" s="7" t="inlineStr">
        <is>
          <t>Greene, Protective Groups in Organic Synthesis</t>
        </is>
      </c>
    </row>
    <row r="242">
      <c r="A242" s="7" t="inlineStr">
        <is>
          <t>I239</t>
        </is>
      </c>
      <c r="B242" s="7" t="inlineStr">
        <is>
          <t>cleaved-by-boron-halide</t>
        </is>
      </c>
      <c r="C242" s="7" t="inlineStr">
        <is>
          <t>BBr3 / BCl3 / TMSI / TMSBr / HBr + an ether, benzyl group or acid-labile group</t>
        </is>
      </c>
      <c r="D242" s="7" t="inlineStr">
        <is>
          <t>reagent + group</t>
        </is>
      </c>
      <c r="E242" s="7" t="inlineStr">
        <is>
          <t>protecting group</t>
        </is>
      </c>
      <c r="F242" s="7" t="inlineStr">
        <is>
          <t>reagent + group</t>
        </is>
      </c>
      <c r="G242" s="7" t="inlineStr"/>
      <c r="H242" s="7" t="inlineStr"/>
      <c r="I242" s="7" t="inlineStr">
        <is>
          <t>smiles:BrB(Br)Br | smiles:ClB(Cl)Cl | smiles:Br | smiles:I | smiles:C[Si](C)(C)I | smiles:C[Si](C)(C)Br</t>
        </is>
      </c>
      <c r="J242" s="7" t="inlineStr">
        <is>
          <t>F050 aryl alkyl ether (Ar–O–R; anisole-type, incl. methoxy-azines) | F051 imidate / lactim ether (R–O–C=N, incl. 2-/4-alkoxy-azines) | F024 ether (dialkyl) | F130 benzyl group on O, N or S (benzyl ether, N-benzyl amine / amide, benzyl thioether) | F131 benzyl ester / benzyl carbamate (Cbz) / benzyl carbonate: Ar–CH2–O–C(=O) | F078 tert-butyl protecting group (Boc, t-Bu ester / ether / carbonate / phosphate, N-t-Bu azole, N-t-Bu sulfonamide / aminoazine) | F039 acetal / ketal | F052 silyl ether / N-silyl (TMS, TES, TBS, TIPS, TBDPS on O or N) | F103 phosphonate / phosphinate / phosphate alkyl ester (P(=O)–O–alkyl)</t>
        </is>
      </c>
      <c r="K242" s="7" t="inlineStr">
        <is>
          <t>substrate</t>
        </is>
      </c>
      <c r="L242" s="7" t="inlineStr">
        <is>
          <t>both</t>
        </is>
      </c>
      <c r="M242" s="7" t="n">
        <v>1</v>
      </c>
      <c r="N242" s="7" t="inlineStr"/>
      <c r="O242" s="7" t="inlineStr">
        <is>
          <t>yes</t>
        </is>
      </c>
      <c r="P242" s="7" t="inlineStr">
        <is>
          <t>cleaved</t>
        </is>
      </c>
      <c r="Q242" s="7" t="inlineStr"/>
      <c r="R242" s="7" t="inlineStr">
        <is>
          <t>cleaved: methyl and benzyl ethers (BBr3 and BCl3 at −78 °C to rt), aryl alkyl ethers, benzyl carbamates and esters, tert-butyl groups, acetals, silyl ethers and phosphonate esters (TMSBr)</t>
        </is>
      </c>
      <c r="S242" s="7" t="inlineStr">
        <is>
          <t>the boron halide binds the ether O, and bromide displaces the alkyl group</t>
        </is>
      </c>
      <c r="T242" s="7" t="n"/>
      <c r="U242" s="7" t="n"/>
      <c r="V242" s="7" t="inlineStr"/>
      <c r="W242" s="7" t="n"/>
      <c r="X242" s="7" t="n"/>
      <c r="Y242" s="7" t="n"/>
      <c r="Z242" s="7" t="n"/>
      <c r="AA242" s="7" t="n">
        <v>9165</v>
      </c>
      <c r="AB242" s="9" t="n">
        <v>0.0028</v>
      </c>
      <c r="AC242" s="9" t="n">
        <v>0.7007</v>
      </c>
      <c r="AD242" s="9" t="n">
        <v>0.1981</v>
      </c>
      <c r="AE242" s="7" t="inlineStr">
        <is>
          <t>12,305 (reaction, group) pairs with this reagent; alternatives counted: smiles:BrB(Br)Br; smiles:ClB(Cl)Cl; smiles:Br; smiles:I; smiles:C[Si](C)(C)I; smiles:C[Si](C)(C)Br. A group being consumed measures this effect only indirectly: the figures say how often the group reacts at all with this reagent</t>
        </is>
      </c>
      <c r="AF242" s="7" t="inlineStr">
        <is>
          <t>Greene, Protective Groups in Organic Synthesis</t>
        </is>
      </c>
    </row>
    <row r="243">
      <c r="A243" s="7" t="inlineStr">
        <is>
          <t>I240</t>
        </is>
      </c>
      <c r="B243" s="7" t="inlineStr">
        <is>
          <t>cleaved-by-base-nucleophile</t>
        </is>
      </c>
      <c r="C243" s="7" t="inlineStr">
        <is>
          <t>hydroxide or an alkoxide + a base-labile group</t>
        </is>
      </c>
      <c r="D243" s="7" t="inlineStr">
        <is>
          <t>reagent + group</t>
        </is>
      </c>
      <c r="E243" s="7" t="inlineStr">
        <is>
          <t>protecting group</t>
        </is>
      </c>
      <c r="F243" s="7" t="inlineStr">
        <is>
          <t>reagent + group</t>
        </is>
      </c>
      <c r="G243" s="7" t="inlineStr"/>
      <c r="H243" s="7" t="inlineStr"/>
      <c r="I243" s="7" t="inlineStr">
        <is>
          <t>frag:F060 + not:smiles:CCOC([O-])[O-] + not:smiles:COC([O-])[O-] | smiles:[Li][OH] | smiles:CC(C)(C)[O][K] | smiles:CC(C)(C)[O][Na] | smiles:C[O][Na] | smiles:C[Si](C)(C)[O-] | smiles:C[Si](C)(C)[O][K]</t>
        </is>
      </c>
      <c r="J243" s="7" t="inlineStr">
        <is>
          <t>F004 ester | F139 methyl / ethyl ester (saponified by LiOH, NaOH; the common ester protecting group) | F138 acetate ester (CH3–C(=O)–O–C: acetyl protecting group on an alcohol or phenol) | F136 trifluoroacetyl (trifluoroacetic acid TFA, trifluoroacetamide, trifluoroacetate ester) | F135 fluorenylmethyl carbamate (Fmoc) | F124 activated ester (N-hydroxysuccinimide, HOBt/HOAt, pentafluorophenyl, p-nitrophenyl ester) | F079 carbonate ester (aryl/alkyl carbonate, O-Boc phenol) | F074 thioester (S-acyl: thioacetate R–SAc, S-alkyl thiocarbonate) | F125 α-halo carbonyl (α-halo ketone, ester, amide) | F023 epoxide | F041 carboxylic anhydride | F020 acyl chloride | F121 imide (phthalimide, succinimide, glutarimide: C(=O)–N–C(=O)) | F080 N-acyl / N-alkoxycarbonyl / N-sulfonyl azole (activated azolide) | F069 N,N-bis(sulfonyl)amine (over-sulfonylated aniline, ArN(SO2R)2) | F065 aryl / enol sulfonate ester (Ar–OTf, vinyl-OTf, Ar–OMs, Ar–OTs) | F066 alkyl sulfonate / sulfate ester (R–OMs, R–OTs, R–OTf, Me2SO4, cyclic sulfamidate) | F064 sulfonyl chloride and other sulfonylating agents (R–SO2Cl, sulfamoyl chloride, Tf2O, C6F5O-sulfonate)</t>
        </is>
      </c>
      <c r="K243" s="7" t="inlineStr">
        <is>
          <t>substrate</t>
        </is>
      </c>
      <c r="L243" s="7" t="inlineStr">
        <is>
          <t>bystander</t>
        </is>
      </c>
      <c r="M243" s="7" t="n">
        <v>1</v>
      </c>
      <c r="N243" s="7" t="inlineStr"/>
      <c r="O243" s="7" t="inlineStr">
        <is>
          <t>yes</t>
        </is>
      </c>
      <c r="P243" s="7" t="inlineStr">
        <is>
          <t>cleaved</t>
        </is>
      </c>
      <c r="Q243" s="7" t="inlineStr"/>
      <c r="R243" s="7" t="inlineStr">
        <is>
          <t>attacked: esters hydrolyse or transesterify (with an alkoxide the alkoxy group of the ester exchanges), Fmoc and trifluoroacetyl come off, carbonates, thioesters and active esters are cleaved, α-halo carbonyls and epoxides are opened, sulfonates are displaced</t>
        </is>
      </c>
      <c r="S243" s="7" t="inlineStr">
        <is>
          <t>hydroxide and alkoxides are strong nucleophiles toward carbonyl carbons; Fmoc is removed by E1cB (fluorenyl C–H pKa about 23)</t>
        </is>
      </c>
      <c r="T243" s="7" t="n"/>
      <c r="U243" s="7" t="n"/>
      <c r="V243" s="7" t="inlineStr"/>
      <c r="W243" s="7" t="n"/>
      <c r="X243" s="7" t="n"/>
      <c r="Y243" s="7" t="n"/>
      <c r="Z243" s="7" t="n"/>
      <c r="AA243" s="7" t="n">
        <v>63418</v>
      </c>
      <c r="AB243" s="9" t="n">
        <v>0.0072</v>
      </c>
      <c r="AC243" s="9" t="n">
        <v>0.8942</v>
      </c>
      <c r="AD243" s="9" t="n">
        <v>0.4802</v>
      </c>
      <c r="AE243" s="7" t="inlineStr">
        <is>
          <t>117,349 (reaction, group) pairs with this reagent; alternatives counted: frag:F060 + not:smiles:CCOC([O-])[O-] + not:smiles:COC([O-])[O-]; smiles:[Li][OH]; smiles:CC(C)(C)[O][K]; smiles:CC(C)(C)[O][Na]; smiles:C[O][Na]; smiles:C[Si](C)(C)[O-]; smiles:C[Si](C)(C)[O][K]. A group being consumed measures this effect only indirectly: the figures say how often the group reacts at all with this reagent</t>
        </is>
      </c>
      <c r="AF243" s="7" t="inlineStr">
        <is>
          <t>Greene, Protective Groups in Organic Synthesis</t>
        </is>
      </c>
    </row>
    <row r="244">
      <c r="A244" s="7" t="inlineStr">
        <is>
          <t>I241</t>
        </is>
      </c>
      <c r="B244" s="7" t="inlineStr">
        <is>
          <t>cleaved-by-Pd0</t>
        </is>
      </c>
      <c r="C244" s="7" t="inlineStr">
        <is>
          <t>a palladium catalyst + an allyl ester, carbamate or ether</t>
        </is>
      </c>
      <c r="D244" s="7" t="inlineStr">
        <is>
          <t>reagent + group</t>
        </is>
      </c>
      <c r="E244" s="7" t="inlineStr">
        <is>
          <t>protecting group</t>
        </is>
      </c>
      <c r="F244" s="7" t="inlineStr">
        <is>
          <t>reagent + group</t>
        </is>
      </c>
      <c r="G244" s="7" t="inlineStr"/>
      <c r="H244" s="7" t="inlineStr"/>
      <c r="I244" s="7" t="inlineStr">
        <is>
          <t>elem:Pd</t>
        </is>
      </c>
      <c r="J244" s="7" t="inlineStr">
        <is>
          <t>F133 allyl group on O, N or S (allyl ether, allyl ester, Alloc)</t>
        </is>
      </c>
      <c r="K244" s="7" t="inlineStr">
        <is>
          <t>substrate</t>
        </is>
      </c>
      <c r="L244" s="7" t="inlineStr">
        <is>
          <t>bystander</t>
        </is>
      </c>
      <c r="M244" s="7" t="n">
        <v>1</v>
      </c>
      <c r="N244" s="7" t="inlineStr"/>
      <c r="O244" s="7" t="inlineStr">
        <is>
          <t>yes</t>
        </is>
      </c>
      <c r="P244" s="7" t="inlineStr">
        <is>
          <t>cleaved</t>
        </is>
      </c>
      <c r="Q244" s="7" t="inlineStr"/>
      <c r="R244" s="7" t="inlineStr">
        <is>
          <t>cleaved: Pd(0) ionises allyl carbonates, carbamates (Alloc), esters and ethers into a π-allyl complex that a nucleophile (amine, morpholine, dimedone, silane) takes; allyl groups are otherwise stable to acid and base</t>
        </is>
      </c>
      <c r="S244" s="7" t="inlineStr">
        <is>
          <t>oxidative addition of Pd(0) into the allylic C–O bond</t>
        </is>
      </c>
      <c r="T244" s="7" t="n"/>
      <c r="U244" s="7" t="n"/>
      <c r="V244" s="7" t="inlineStr"/>
      <c r="W244" s="7" t="n"/>
      <c r="X244" s="7" t="n"/>
      <c r="Y244" s="7" t="n"/>
      <c r="Z244" s="7" t="n"/>
      <c r="AA244" s="7" t="n">
        <v>628</v>
      </c>
      <c r="AB244" s="9" t="n">
        <v>0.0001</v>
      </c>
      <c r="AC244" s="9" t="n">
        <v>0.8965</v>
      </c>
      <c r="AD244" s="9" t="n">
        <v>0.235</v>
      </c>
      <c r="AE244" s="7" t="inlineStr">
        <is>
          <t>628 (reaction, group) pairs with this reagent; alternatives counted: elem:Pd. A group being consumed measures this effect only indirectly: the figures say how often the group reacts at all with this reagent</t>
        </is>
      </c>
      <c r="AF244" s="7" t="inlineStr">
        <is>
          <t>Greene, Protective Groups in Organic Synthesis</t>
        </is>
      </c>
    </row>
    <row r="245">
      <c r="A245" s="7" t="inlineStr">
        <is>
          <t>I242</t>
        </is>
      </c>
      <c r="B245" s="7" t="inlineStr">
        <is>
          <t>also-hydrogenated</t>
        </is>
      </c>
      <c r="C245" s="7" t="inlineStr">
        <is>
          <t>H2 with Pd / Pt / Rh / Ni + other reducible groups</t>
        </is>
      </c>
      <c r="D245" s="7" t="inlineStr">
        <is>
          <t>reagent + group</t>
        </is>
      </c>
      <c r="E245" s="7" t="inlineStr">
        <is>
          <t>incompatible group</t>
        </is>
      </c>
      <c r="F245" s="7" t="inlineStr">
        <is>
          <t>reagent + group</t>
        </is>
      </c>
      <c r="G245" s="7" t="inlineStr"/>
      <c r="H245" s="7" t="inlineStr"/>
      <c r="I245" s="7" t="inlineStr">
        <is>
          <t>frag:F164 + smiles:[H][H]</t>
        </is>
      </c>
      <c r="J245" s="7" t="inlineStr">
        <is>
          <t>F005 alkene (C=C) | F006 alkene, terminal (=CH2) | F007 alkyne (C≡C) | F008 alkyne, terminal (C≡C–H) | F030 conjugated diene | F130 benzyl group on O, N or S (benzyl ether, N-benzyl amine / amide, benzyl thioether) | F131 benzyl ester / benzyl carbamate (Cbz) / benzyl carbonate: Ar–CH2–O–C(=O) | F132 4-methoxybenzyl (PMB) group on O, N or S | F025 nitroarene | F056 nitroalkane (R–NO2 on sp3 C) | F055 organic azide (R–N3, alkyl or aryl) | F013 aryl bromide | F084 aryl iodide (Ar–I, incl. heteroaryl iodides) | F047 aryl chloride | F086 2-/4-halo-azine (SNAr-activated heteroaryl halide) | F170 aryl chloride next to a ring N (2-chloropyridine, 2-chlorothiazole, 2-chloropyrimidine) | F175 2-halo-azole (Cl/Br/I on a 5-ring carbon next to a ring N: thiazole, imidazole, oxazole) | F036 benzylic bromide | F174 benzylic chloride (Ar–CH2–Cl) | F022 nitrile | F191 aryl nitrile (Ar–C≡N: benzonitrile, cyanopyridine) | F031 imine | F049 oxime | F196 aldimine / aldoxime (H–C=N: one substituent on carbon) | F204 acyclic imine / oxime / hydrazone (C=N not in a ring) | F018 aldehyde | F117 aromatic aldehyde (ArCHO) | F057 nitroso (C–N=O or N–N=O)</t>
        </is>
      </c>
      <c r="K245" s="7" t="inlineStr">
        <is>
          <t>substrate</t>
        </is>
      </c>
      <c r="L245" s="7" t="inlineStr">
        <is>
          <t>bystander</t>
        </is>
      </c>
      <c r="M245" s="7" t="n">
        <v>1</v>
      </c>
      <c r="N245" s="7" t="inlineStr"/>
      <c r="O245" s="7" t="inlineStr">
        <is>
          <t>yes</t>
        </is>
      </c>
      <c r="P245" s="7" t="inlineStr">
        <is>
          <t>also_reacts</t>
        </is>
      </c>
      <c r="Q245" s="7" t="inlineStr"/>
      <c r="R245" s="7" t="inlineStr">
        <is>
          <t>also reduced or cleaved: alkenes and alkynes, benzyl ethers / benzyl esters / Cbz / PMB (hydrogenolysis), nitro groups and azides, aryl iodides, bromides and (slowly) chlorides, benzylic halides, nitriles, imines and oximes</t>
        </is>
      </c>
      <c r="S245" s="7" t="inlineStr">
        <is>
          <t>a metal surface binds π systems and activates H2; weak benzylic C–O / C–N bonds and weak C–X bonds are cleaved</t>
        </is>
      </c>
      <c r="T245" s="7" t="n"/>
      <c r="U245" s="7" t="n"/>
      <c r="V245" s="7" t="inlineStr"/>
      <c r="W245" s="7" t="n"/>
      <c r="X245" s="7" t="n"/>
      <c r="Y245" s="7" t="n"/>
      <c r="Z245" s="7" t="n"/>
      <c r="AA245" s="7" t="n">
        <v>8320</v>
      </c>
      <c r="AB245" s="9" t="n">
        <v>0.0017</v>
      </c>
      <c r="AC245" s="9" t="n">
        <v>0.7947</v>
      </c>
      <c r="AD245" s="9" t="n">
        <v>0.4443</v>
      </c>
      <c r="AE245" s="7" t="inlineStr">
        <is>
          <t>12,209 (reaction, group) pairs with this reagent; alternatives counted: frag:F164 + smiles:[H][H]</t>
        </is>
      </c>
      <c r="AF245" s="7" t="inlineStr">
        <is>
          <t>Greene, Protective Groups in Organic Synthesis; Clayden, Organic Chemistry</t>
        </is>
      </c>
    </row>
    <row r="246">
      <c r="A246" s="7" t="inlineStr">
        <is>
          <t>I243</t>
        </is>
      </c>
      <c r="B246" s="7" t="inlineStr">
        <is>
          <t>desulfurised-by-Raney-Ni</t>
        </is>
      </c>
      <c r="C246" s="7" t="inlineStr">
        <is>
          <t>Raney nickel + sulfur</t>
        </is>
      </c>
      <c r="D246" s="7" t="inlineStr">
        <is>
          <t>reagent + group</t>
        </is>
      </c>
      <c r="E246" s="7" t="inlineStr">
        <is>
          <t>incompatible group</t>
        </is>
      </c>
      <c r="F246" s="7" t="inlineStr">
        <is>
          <t>reagent + group</t>
        </is>
      </c>
      <c r="G246" s="7" t="inlineStr"/>
      <c r="H246" s="7" t="inlineStr"/>
      <c r="I246" s="7" t="inlineStr">
        <is>
          <t>smiles:[Ni]</t>
        </is>
      </c>
      <c r="J246" s="7" t="inlineStr">
        <is>
          <t>F072 thiol / thiolate (R–SH, Ar–SH, RS⁻; heteroaryl thiol ⇌ thione) | F073 thioether (dialkyl / aryl alkyl sulfide, incl. 2-methylthio-azine) | F076 thiocarbonyl (thioamide / thiolactam, thiourea, thionoester, dithiocarbamate) | F104 thiophene / benzothiophene ring C–H | F074 thioester (S-acyl: thioacetate R–SAc, S-alkyl thiocarbonate)</t>
        </is>
      </c>
      <c r="K246" s="7" t="inlineStr">
        <is>
          <t>substrate</t>
        </is>
      </c>
      <c r="L246" s="7" t="inlineStr">
        <is>
          <t>bystander</t>
        </is>
      </c>
      <c r="M246" s="7" t="n">
        <v>1</v>
      </c>
      <c r="N246" s="7" t="inlineStr"/>
      <c r="O246" s="7" t="inlineStr">
        <is>
          <t>yes</t>
        </is>
      </c>
      <c r="P246" s="7" t="inlineStr">
        <is>
          <t>also_reacts</t>
        </is>
      </c>
      <c r="Q246" s="7" t="inlineStr"/>
      <c r="R246" s="7" t="inlineStr">
        <is>
          <t>desulfurised: Raney Ni replaces C–S bonds by C–H (thioethers, thiols, thiophenes, thioacetals), whatever else is being hydrogenated</t>
        </is>
      </c>
      <c r="S246" s="7" t="inlineStr">
        <is>
          <t>nickel binds sulfur strongly and hydrogenolyses the C–S bond</t>
        </is>
      </c>
      <c r="T246" s="7" t="n"/>
      <c r="U246" s="7" t="n"/>
      <c r="V246" s="7" t="inlineStr"/>
      <c r="W246" s="7" t="n"/>
      <c r="X246" s="7" t="n"/>
      <c r="Y246" s="7" t="n"/>
      <c r="Z246" s="7" t="n"/>
      <c r="AA246" s="7" t="n">
        <v>352</v>
      </c>
      <c r="AB246" s="9" t="n">
        <v>0.0001</v>
      </c>
      <c r="AC246" s="9" t="n">
        <v>0.6423</v>
      </c>
      <c r="AD246" s="9" t="n">
        <v>0.3144</v>
      </c>
      <c r="AE246" s="7" t="inlineStr">
        <is>
          <t>355 (reaction, group) pairs with this reagent; alternatives counted: smiles:[Ni]</t>
        </is>
      </c>
      <c r="AF246" s="7" t="inlineStr">
        <is>
          <t>Clayden, Organic Chemistry</t>
        </is>
      </c>
    </row>
    <row r="247">
      <c r="A247" s="7" t="inlineStr">
        <is>
          <t>I244</t>
        </is>
      </c>
      <c r="B247" s="7" t="inlineStr">
        <is>
          <t>poisoned-by-sulfur</t>
        </is>
      </c>
      <c r="C247" s="7" t="inlineStr">
        <is>
          <t>hydrogenation over Pd / Pt / Rh / Ru / Ir + sulfur</t>
        </is>
      </c>
      <c r="D247" s="7" t="inlineStr">
        <is>
          <t>reagent + group</t>
        </is>
      </c>
      <c r="E247" s="7" t="inlineStr">
        <is>
          <t>catalyst poison</t>
        </is>
      </c>
      <c r="F247" s="7" t="inlineStr">
        <is>
          <t>reagent + group</t>
        </is>
      </c>
      <c r="G247" s="7" t="inlineStr"/>
      <c r="H247" s="7" t="inlineStr"/>
      <c r="I247" s="7" t="inlineStr">
        <is>
          <t>frag:F164 + smiles:[H][H] + not:elem:Ni</t>
        </is>
      </c>
      <c r="J247" s="7" t="inlineStr">
        <is>
          <t>F072 thiol / thiolate (R–SH, Ar–SH, RS⁻; heteroaryl thiol ⇌ thione) | F073 thioether (dialkyl / aryl alkyl sulfide, incl. 2-methylthio-azine) | F076 thiocarbonyl (thioamide / thiolactam, thiourea, thionoester, dithiocarbamate) | F074 thioester (S-acyl: thioacetate R–SAc, S-alkyl thiocarbonate) | F075 thioacetate anion (KSAc, RC(O)S⁻) | F104 thiophene / benzothiophene ring C–H</t>
        </is>
      </c>
      <c r="K247" s="7" t="inlineStr">
        <is>
          <t>substrate</t>
        </is>
      </c>
      <c r="L247" s="7" t="inlineStr">
        <is>
          <t>bystander</t>
        </is>
      </c>
      <c r="M247" s="7" t="n">
        <v>1</v>
      </c>
      <c r="N247" s="7" t="inlineStr"/>
      <c r="O247" s="7" t="inlineStr">
        <is>
          <t>yes</t>
        </is>
      </c>
      <c r="P247" s="7" t="inlineStr">
        <is>
          <t>poisons</t>
        </is>
      </c>
      <c r="Q247" s="7" t="inlineStr"/>
      <c r="R247" s="7" t="inlineStr">
        <is>
          <t>the catalyst is poisoned or inhibited: thiols, sulfides, thioureas and thiophenes bind Pd and Pt irreversibly (use much more catalyst, a sulfur-tolerant catalyst, or do the step before the sulfur is introduced); cross-couplings of thiophenes and aryl sulfides usually work with a suitable ligand</t>
        </is>
      </c>
      <c r="S247" s="7" t="inlineStr">
        <is>
          <t>soft sulfur lone pairs bind the soft metal more strongly than the substrate</t>
        </is>
      </c>
      <c r="T247" s="7" t="n"/>
      <c r="U247" s="7" t="n"/>
      <c r="V247" s="7" t="inlineStr"/>
      <c r="W247" s="7" t="n"/>
      <c r="X247" s="7" t="n"/>
      <c r="Y247" s="7" t="n"/>
      <c r="Z247" s="7" t="n"/>
      <c r="AA247" s="7" t="n">
        <v>216</v>
      </c>
      <c r="AB247" s="9" t="n">
        <v>0.0002</v>
      </c>
      <c r="AC247" s="9" t="n">
        <v>0.0721</v>
      </c>
      <c r="AD247" s="9" t="n">
        <v>0.3177</v>
      </c>
      <c r="AE247" s="7" t="inlineStr">
        <is>
          <t>222 (reaction, group) pairs with this reagent; alternatives counted: frag:F164 + smiles:[H][H] + not:elem:Ni. A group being consumed measures this effect only indirectly: the figures say how often the group reacts at all with this reagent</t>
        </is>
      </c>
      <c r="AF247" s="7" t="inlineStr">
        <is>
          <t>Clayden, Organic Chemistry; Hartwig, Organotransition Metal Chemistry</t>
        </is>
      </c>
    </row>
    <row r="248">
      <c r="A248" s="7" t="inlineStr">
        <is>
          <t>I245</t>
        </is>
      </c>
      <c r="B248" s="7" t="inlineStr">
        <is>
          <t>inhibited-by-chelating-N</t>
        </is>
      </c>
      <c r="C248" s="7" t="inlineStr">
        <is>
          <t>a palladium or copper catalyst + a chelating nitrogen group</t>
        </is>
      </c>
      <c r="D248" s="7" t="inlineStr">
        <is>
          <t>reagent + group</t>
        </is>
      </c>
      <c r="E248" s="7" t="inlineStr">
        <is>
          <t>catalyst poison</t>
        </is>
      </c>
      <c r="F248" s="7" t="inlineStr">
        <is>
          <t>reagent + group</t>
        </is>
      </c>
      <c r="G248" s="7" t="inlineStr"/>
      <c r="H248" s="7" t="inlineStr"/>
      <c r="I248" s="7" t="inlineStr">
        <is>
          <t>frag:F164 | frag:F165</t>
        </is>
      </c>
      <c r="J248" s="7" t="inlineStr">
        <is>
          <t>F096 hydrazine / hydrazide NH2 (α-effect N) | F097 hydroxylamine / alkoxyamine N–H (NH2OH, MeONH2, BnONH2, R–NHOH) | F098 amidine (C(=NH)NH2) | F099 amidoxime (C(=NOH)NH2 ⇌ C(=NH)NHOH) | F114 tetrazole (N–H acid, pKa ≈ 5: carboxylic-acid isostere) | F115 heteroaryl NH2 (2-aminopyridine, aminopyrimidine, aminothiazole: NH2 on a carbon next to a ring N) | F182 2-aminoazole NH2 (2-aminothiazole, 2-aminoimidazole, 2-aminooxazole: NH2 on a 5-ring carbon next to a ring N) | F183 aminopyridine / aminopyrimidine NH2 (NH2 on a 6-ring carbon next to a ring N)</t>
        </is>
      </c>
      <c r="K248" s="7" t="inlineStr">
        <is>
          <t>substrate</t>
        </is>
      </c>
      <c r="L248" s="7" t="inlineStr">
        <is>
          <t>bystander</t>
        </is>
      </c>
      <c r="M248" s="7" t="n">
        <v>1</v>
      </c>
      <c r="N248" s="7" t="inlineStr"/>
      <c r="O248" s="7" t="inlineStr">
        <is>
          <t>yes</t>
        </is>
      </c>
      <c r="P248" s="7" t="inlineStr">
        <is>
          <t>poisons</t>
        </is>
      </c>
      <c r="Q248" s="7" t="inlineStr"/>
      <c r="R248" s="7" t="inlineStr">
        <is>
          <t>hydrazines, hydroxylamines, amidines, tetrazoles and 2-aminoazines chelate the metal and slow couplings (use a bidentate or bulky ligand, protect the nitrogen, or add a Lewis acid to tie it up)</t>
        </is>
      </c>
      <c r="S248" s="7" t="inlineStr">
        <is>
          <t>a bidentate N,N group competes with the substrate and the ligand for the metal</t>
        </is>
      </c>
      <c r="T248" s="7" t="n"/>
      <c r="U248" s="7" t="n"/>
      <c r="V248" s="7" t="inlineStr"/>
      <c r="W248" s="7" t="n"/>
      <c r="X248" s="7" t="n"/>
      <c r="Y248" s="7" t="n"/>
      <c r="Z248" s="7" t="n"/>
      <c r="AA248" s="7" t="n">
        <v>6577</v>
      </c>
      <c r="AB248" s="9" t="n">
        <v>0.0043</v>
      </c>
      <c r="AC248" s="9" t="n">
        <v>0.2806</v>
      </c>
      <c r="AD248" s="9" t="n">
        <v>0.5649999999999999</v>
      </c>
      <c r="AE248" s="7" t="inlineStr">
        <is>
          <t>12,169 (reaction, group) pairs with this reagent; alternatives counted: frag:F164; frag:F165. A group being consumed measures this effect only indirectly: the figures say how often the group reacts at all with this reagent</t>
        </is>
      </c>
      <c r="AF248" s="7" t="inlineStr">
        <is>
          <t>Hartwig, Organotransition Metal Chemistry</t>
        </is>
      </c>
    </row>
    <row r="249">
      <c r="A249" s="7" t="inlineStr">
        <is>
          <t>I246</t>
        </is>
      </c>
      <c r="B249" s="7" t="inlineStr">
        <is>
          <t>consumed-lewis-acid</t>
        </is>
      </c>
      <c r="C249" s="7" t="inlineStr">
        <is>
          <t>a Lewis acid (AlCl3, TiCl4, BF3, ZnCl2, BBr3) + a basic nitrogen or oxygen</t>
        </is>
      </c>
      <c r="D249" s="7" t="inlineStr">
        <is>
          <t>reagent + group</t>
        </is>
      </c>
      <c r="E249" s="7" t="inlineStr">
        <is>
          <t>catalyst poison</t>
        </is>
      </c>
      <c r="F249" s="7" t="inlineStr">
        <is>
          <t>reagent + group</t>
        </is>
      </c>
      <c r="G249" s="7" t="inlineStr"/>
      <c r="H249" s="7" t="inlineStr"/>
      <c r="I249" s="7" t="inlineStr">
        <is>
          <t>smiles:FB(F)F | smiles:BrB(Br)Br | smiles:ClB(Cl)Cl | smiles:[Cl][Ti]([Cl])([Cl])[Cl] | smiles:[Cl][Sn]([Cl])([Cl])[Cl] | smiles:[Cl][Fe]([Cl])[Cl] | smiles:[Al+3] + smiles:[Cl-] | smiles:[Zn+2] + smiles:[Cl-] | smiles:C[Si](C)(C)OS(=O)(=O)C(F)(F)F</t>
        </is>
      </c>
      <c r="J249" s="7" t="inlineStr">
        <is>
          <t>F002 amine (1°) | F034 amine (2°) | F093 amine 3° (trialkylamine, N,N-dialkylaniline, enamine) | F026 arylamine (aniline NH2) | F094 secondary aryl amine (N-alkyl / N-aryl aniline, diarylamine, 2-alkylamino-azine, indoline) | F091 pyridine-type ring N (azine N) | F112 imidazole-type ring N (sp2 N of imidazole, benzimidazole, purine: next to a C bonded to the substituted ring N) | F113 other azole ring N (sp2 N of pyrazole, thiazole, oxazole, triazole, tetrazole) | F115 heteroaryl NH2 (2-aminopyridine, aminopyrimidine, aminothiazole: NH2 on a carbon next to a ring N) | F021 amide | F184 tertiary amide (R–C(=O)–NR2: DMF, DMA, Weinreb amide, N-acylpiperidine, N-alkyl lactam) | F095 amide / lactam / carbamate / urea / imide N–H | F004 ester | F019 ketone | F018 aldehyde | F024 ether (dialkyl) | F050 aryl alkyl ether (Ar–O–R; anisole-type, incl. methoxy-azines) | F028 phenol | F003 alcohol (1°) | F014 alcohol (on sp3 C) | F015 alcohol (2°) | F001 carboxylic acid | F118 aromatic carboxylic acid (ArCO2H, ArCO2⁻)</t>
        </is>
      </c>
      <c r="K249" s="7" t="inlineStr">
        <is>
          <t>substrate</t>
        </is>
      </c>
      <c r="L249" s="7" t="inlineStr">
        <is>
          <t>bystander</t>
        </is>
      </c>
      <c r="M249" s="7" t="n">
        <v>1</v>
      </c>
      <c r="N249" s="7" t="inlineStr"/>
      <c r="O249" s="7" t="inlineStr">
        <is>
          <t>yes</t>
        </is>
      </c>
      <c r="P249" s="7" t="inlineStr">
        <is>
          <t>poisons</t>
        </is>
      </c>
      <c r="Q249" s="7" t="inlineStr"/>
      <c r="R249" s="7" t="inlineStr">
        <is>
          <t>the Lewis acid is bound and used up by the basic site (an amine, azine or amide takes one equivalent), so the group it was meant to activate stays untouched: Friedel–Crafts fails on anilines and pyridines; use one extra equivalent per basic site</t>
        </is>
      </c>
      <c r="S249" s="7" t="inlineStr">
        <is>
          <t>a free lone pair coordinates the Lewis acid; the complexed group is then a strong electron-withdrawing group</t>
        </is>
      </c>
      <c r="T249" s="7" t="n"/>
      <c r="U249" s="7" t="n"/>
      <c r="V249" s="7" t="inlineStr"/>
      <c r="W249" s="7" t="n"/>
      <c r="X249" s="7" t="n"/>
      <c r="Y249" s="7" t="n"/>
      <c r="Z249" s="7" t="n"/>
      <c r="AA249" s="7" t="n">
        <v>13459</v>
      </c>
      <c r="AB249" s="9" t="n">
        <v>0.0104</v>
      </c>
      <c r="AC249" s="9" t="n">
        <v>0.3854</v>
      </c>
      <c r="AD249" s="9" t="n">
        <v>0.3868</v>
      </c>
      <c r="AE249" s="7" t="inlineStr">
        <is>
          <t>36,809 (reaction, group) pairs with this reagent; alternatives counted: smiles:FB(F)F; smiles:BrB(Br)Br; smiles:ClB(Cl)Cl; smiles:[Cl][Ti]([Cl])([Cl])[Cl]; smiles:[Cl][Sn]([Cl])([Cl])[Cl]; smiles:[Cl][Fe]([Cl])[Cl]; smiles:[Al+3] + smiles:[Cl-]; smiles:[Zn+2] + smiles:[Cl-]; smiles:C[Si](C)(C)OS(=O)(=O)C(F)(F)F. A group being consumed measures this effect only indirectly: the figures say how often the group reacts at all with this reagent</t>
        </is>
      </c>
      <c r="AF249" s="7" t="inlineStr">
        <is>
          <t>Clayden, Organic Chemistry (Friedel–Crafts); Directing_Groups: blocks Friedel–Crafts</t>
        </is>
      </c>
    </row>
    <row r="250">
      <c r="A250" s="7" t="inlineStr">
        <is>
          <t>I247</t>
        </is>
      </c>
      <c r="B250" s="7" t="inlineStr">
        <is>
          <t>competing-nucleophile-acylation</t>
        </is>
      </c>
      <c r="C250" s="7" t="inlineStr">
        <is>
          <t>an acylating, sulfonylating or alkylating agent + several nucleophilic sites</t>
        </is>
      </c>
      <c r="D250" s="7" t="inlineStr">
        <is>
          <t>reagent + group</t>
        </is>
      </c>
      <c r="E250" s="7" t="inlineStr">
        <is>
          <t>competing site</t>
        </is>
      </c>
      <c r="F250" s="7" t="inlineStr">
        <is>
          <t>reagent + group</t>
        </is>
      </c>
      <c r="G250" s="7" t="inlineStr"/>
      <c r="H250" s="7" t="inlineStr"/>
      <c r="I250" s="7" t="inlineStr">
        <is>
          <t>frag:F020 | frag:F041 | frag:F064 | role:coupling reagent (activates an acid) | smiles:CC(=O)OC(C)=O | role:electrophile / alkylating agent + frag:F010 | role:electrophile / alkylating agent + frag:F011 | role:electrophile / alkylating agent + frag:F012 | role:electrophile / alkylating agent + frag:F036 | role:electrophile / alkylating agent + frag:F174 | role:electrophile / alkylating agent + frag:F066 | role:electrophile / alkylating agent + frag:F125</t>
        </is>
      </c>
      <c r="J250" s="7" t="inlineStr">
        <is>
          <t>F002 amine (1°) | F034 amine (2°) | F026 arylamine (aniline NH2) | F094 secondary aryl amine (N-alkyl / N-aryl aniline, diarylamine, 2-alkylamino-azine, indoline) | F176 primary alkylamine (R–NH2 on sp3 C; not an aniline) | F177 cyclic secondary amine (piperidine, pyrrolidine, morpholine, piperazine N–H) | F178 acyclic secondary amine (R2NH: Et2NH, N-methylbenzylamine) | F181 secondary amine on a ring N-heteroarene (2-alkylamino-pyridine / pyrimidine / thiazole: Ar(het)–NH–R) | F115 heteroaryl NH2 (2-aminopyridine, aminopyrimidine, aminothiazole: NH2 on a carbon next to a ring N) | F003 alcohol (1°) | F014 alcohol (on sp3 C) | F015 alcohol (2°) | F028 phenol | F072 thiol / thiolate (R–SH, Ar–SH, RS⁻; heteroaryl thiol ⇌ thione) | F090 2-/4-pyridone-type aromatic lactam N–H (pyridone, quinolone, quinazolinone, pyrimidinone, uracil) | F129 1,2-amino alcohol (free N–C–C–OH: ethanolamine, amino-alcohols) | F017 1,2-diol | F197 methanol (CH3–OH): reagent and solvent | F198 ethanol (CH3CH2–OH): reagent and solvent</t>
        </is>
      </c>
      <c r="K250" s="7" t="inlineStr">
        <is>
          <t>substrate</t>
        </is>
      </c>
      <c r="L250" s="7" t="inlineStr">
        <is>
          <t>bystander</t>
        </is>
      </c>
      <c r="M250" s="7" t="n">
        <v>1</v>
      </c>
      <c r="N250" s="7" t="inlineStr"/>
      <c r="O250" s="7" t="inlineStr">
        <is>
          <t>yes</t>
        </is>
      </c>
      <c r="P250" s="7" t="inlineStr">
        <is>
          <t>competes</t>
        </is>
      </c>
      <c r="Q250" s="7" t="inlineStr"/>
      <c r="R250" s="7" t="inlineStr">
        <is>
          <t>which site reacts decides the product: amines are acylated before alcohols before phenols; with a base, alkylation follows acidity (phenol O before alcohol O) and softness (S and N before O with soft electrophiles; hard electrophiles go to O); ambident anions (pyridone, amide, azole) give N- and O-products</t>
        </is>
      </c>
      <c r="S250" s="7" t="inlineStr">
        <is>
          <t>nucleophilicity falls with delocalisation of the lone pair and rises with basicity and polarisability; with a base the most acidic site is the one deprotonated</t>
        </is>
      </c>
      <c r="T250" s="7" t="n"/>
      <c r="U250" s="7" t="n"/>
      <c r="V250" s="7" t="inlineStr"/>
      <c r="W250" s="7" t="n"/>
      <c r="X250" s="7" t="n"/>
      <c r="Y250" s="7" t="n"/>
      <c r="Z250" s="7" t="n"/>
      <c r="AA250" s="7" t="n">
        <v>63278</v>
      </c>
      <c r="AB250" s="9" t="n">
        <v>0.0177</v>
      </c>
      <c r="AC250" s="9" t="n">
        <v>0.7733</v>
      </c>
      <c r="AD250" s="9" t="n">
        <v>0.6784</v>
      </c>
      <c r="AE250" s="7" t="inlineStr">
        <is>
          <t>157,452 (reaction, group) pairs with this reagent; alternatives counted: frag:F020; frag:F041; frag:F064; role:coupling reagent (activates an acid); smiles:CC(=O)OC(C)=O; role:electrophile / alkylating agent + frag:F010; role:electrophile / alkylating agent + frag:F011; role:electrophile / alkylating agent + frag:F012; role:electrophile / alkylating agent + frag:F036; role:electrophile / alkylating agent + frag:F066; role:electrophile / alkylating agent + frag:F125. A group being consumed measures this effect only indirectly: the figures say how often the group reacts at all with this reagent</t>
        </is>
      </c>
      <c r="AF250" s="7" t="inlineStr">
        <is>
          <t>Clayden, Organic Chemistry; Reactivity_Order sheet</t>
        </is>
      </c>
    </row>
    <row r="251">
      <c r="A251" s="7" t="inlineStr">
        <is>
          <t>I248</t>
        </is>
      </c>
      <c r="B251" s="7" t="inlineStr">
        <is>
          <t>competing-radical-or-ring-bromination</t>
        </is>
      </c>
      <c r="C251" s="7" t="inlineStr">
        <is>
          <t>NBS or Br2 + an electron-rich ring, alkene or benzylic C–H</t>
        </is>
      </c>
      <c r="D251" s="7" t="inlineStr">
        <is>
          <t>reagent + group</t>
        </is>
      </c>
      <c r="E251" s="7" t="inlineStr">
        <is>
          <t>competing site</t>
        </is>
      </c>
      <c r="F251" s="7" t="inlineStr">
        <is>
          <t>reagent + group</t>
        </is>
      </c>
      <c r="G251" s="7" t="inlineStr"/>
      <c r="H251" s="7" t="inlineStr"/>
      <c r="I251" s="7" t="inlineStr">
        <is>
          <t>smiles:BrBr | smiles:O=C1CCC(=O)N1Br | smiles:CC1(C)C(=O)N(Br)C(=O)N1Br | smiles:ClBr</t>
        </is>
      </c>
      <c r="J251" s="7" t="inlineStr">
        <is>
          <t>F035 aryl methyl (benzylic C–H) | F037 allylic CH2 | F038 alkyl arene (aryl–C sp3) | F005 alkene (C=C) | F006 alkene, terminal (=CH2) | F028 phenol | F026 arylamine (aniline NH2) | F050 aryl alkyl ether (Ar–O–R; anisole-type, incl. methoxy-azines) | F106 pyrrole / indole ring C–H | F105 furan / benzofuran ring C–H | F104 thiophene / benzothiophene ring C–H</t>
        </is>
      </c>
      <c r="K251" s="7" t="inlineStr">
        <is>
          <t>substrate</t>
        </is>
      </c>
      <c r="L251" s="7" t="inlineStr">
        <is>
          <t>bystander</t>
        </is>
      </c>
      <c r="M251" s="7" t="n">
        <v>1</v>
      </c>
      <c r="N251" s="7" t="inlineStr"/>
      <c r="O251" s="7" t="inlineStr">
        <is>
          <t>yes</t>
        </is>
      </c>
      <c r="P251" s="7" t="inlineStr">
        <is>
          <t>competes</t>
        </is>
      </c>
      <c r="Q251" s="7" t="inlineStr"/>
      <c r="R251" s="7" t="inlineStr">
        <is>
          <t>radical bromination goes at the weakest C–H (allylic, benzylic) but the same reagent adds to alkenes and brominates electron-rich rings by electrophilic substitution; light or a radical initiator in CCl4 / PhCF3 favours the radical path, polar solvents and acid the ring</t>
        </is>
      </c>
      <c r="S251" s="7" t="inlineStr">
        <is>
          <t>conditions decide between a radical chain and electrophilic bromine</t>
        </is>
      </c>
      <c r="T251" s="7" t="n"/>
      <c r="U251" s="7" t="n"/>
      <c r="V251" s="7" t="inlineStr"/>
      <c r="W251" s="7" t="n"/>
      <c r="X251" s="7" t="n"/>
      <c r="Y251" s="7" t="n"/>
      <c r="Z251" s="7" t="n"/>
      <c r="AA251" s="7" t="n">
        <v>4872</v>
      </c>
      <c r="AB251" s="9" t="n">
        <v>0.004</v>
      </c>
      <c r="AC251" s="9" t="n">
        <v>0.2042</v>
      </c>
      <c r="AD251" s="9" t="n">
        <v>0.2138</v>
      </c>
      <c r="AE251" s="7" t="inlineStr">
        <is>
          <t>8,518 (reaction, group) pairs with this reagent; alternatives counted: smiles:BrBr; smiles:O=C1CCC(=O)N1Br; smiles:CC1(C)C(=O)N(Br)C(=O)N1Br; smiles:ClBr. A group being consumed measures this effect only indirectly: the figures say how often the group reacts at all with this reagent</t>
        </is>
      </c>
      <c r="AF251" s="7" t="inlineStr">
        <is>
          <t>Clayden, Organic Chemistry; Condition_Suggestions sheet</t>
        </is>
      </c>
    </row>
    <row r="252">
      <c r="A252" s="7" t="inlineStr">
        <is>
          <t>I249</t>
        </is>
      </c>
      <c r="B252" s="7" t="inlineStr">
        <is>
          <t>competing-diazonium-coupling</t>
        </is>
      </c>
      <c r="C252" s="7" t="inlineStr">
        <is>
          <t>a diazonium salt (or nitrite making one) + a phenol, aniline or active methylene</t>
        </is>
      </c>
      <c r="D252" s="7" t="inlineStr">
        <is>
          <t>reagent + group</t>
        </is>
      </c>
      <c r="E252" s="7" t="inlineStr">
        <is>
          <t>competing site</t>
        </is>
      </c>
      <c r="F252" s="7" t="inlineStr">
        <is>
          <t>reagent + group</t>
        </is>
      </c>
      <c r="G252" s="7" t="inlineStr"/>
      <c r="H252" s="7" t="inlineStr"/>
      <c r="I252" s="7" t="inlineStr">
        <is>
          <t>frag:F027 | smiles:O=N[O-] | smiles:CC(C)(C)ON=O | smiles:CC(C)CCON=O</t>
        </is>
      </c>
      <c r="J252" s="7" t="inlineStr">
        <is>
          <t>F028 phenol | F026 arylamine (aniline NH2) | F002 amine (1°) | F034 amine (2°) | F102 active methylene CH2 (1,3-dicarbonyl, malonate, β-keto ester, cyanoacetate, malononitrile) | F106 pyrrole / indole ring C–H | F105 furan / benzofuran ring C–H</t>
        </is>
      </c>
      <c r="K252" s="7" t="inlineStr">
        <is>
          <t>substrate</t>
        </is>
      </c>
      <c r="L252" s="7" t="inlineStr">
        <is>
          <t>bystander</t>
        </is>
      </c>
      <c r="M252" s="7" t="n">
        <v>1</v>
      </c>
      <c r="N252" s="7" t="inlineStr"/>
      <c r="O252" s="7" t="inlineStr">
        <is>
          <t>yes</t>
        </is>
      </c>
      <c r="P252" s="7" t="inlineStr">
        <is>
          <t>competes</t>
        </is>
      </c>
      <c r="Q252" s="7" t="inlineStr"/>
      <c r="R252" s="7" t="inlineStr">
        <is>
          <t>azo coupling: the diazonium ion attacks phenols (pH 8–10, ortho / para to O⁻), anilines (pH 4–6) and active methylene compounds (Japp–Klingemann) before it can be used for Sandmeyer or reduction; keep it at 0–5 °C and add the nucleophile on purpose</t>
        </is>
      </c>
      <c r="S252" s="7" t="inlineStr">
        <is>
          <t>the diazonium ion is a weak electrophile that picks the most electron-rich partner</t>
        </is>
      </c>
      <c r="T252" s="7" t="n"/>
      <c r="U252" s="7" t="n"/>
      <c r="V252" s="7" t="inlineStr"/>
      <c r="W252" s="7" t="n"/>
      <c r="X252" s="7" t="n"/>
      <c r="Y252" s="7" t="n"/>
      <c r="Z252" s="7" t="n"/>
      <c r="AA252" s="7" t="n">
        <v>4948</v>
      </c>
      <c r="AB252" s="9" t="n">
        <v>0.0005</v>
      </c>
      <c r="AC252" s="9" t="n">
        <v>0.9255</v>
      </c>
      <c r="AD252" s="9" t="n">
        <v>0.7030999999999999</v>
      </c>
      <c r="AE252" s="7" t="inlineStr">
        <is>
          <t>9,976 (reaction, group) pairs with this reagent; alternatives counted: frag:F027; smiles:O=N[O-]; smiles:CC(C)(C)ON=O; smiles:CC(C)CCON=O. A group being consumed measures this effect only indirectly: the figures say how often the group reacts at all with this reagent</t>
        </is>
      </c>
      <c r="AF252" s="7" t="inlineStr">
        <is>
          <t>Clayden, Organic Chemistry (diazonium salts); Fragment_Conditions F027</t>
        </is>
      </c>
    </row>
    <row r="253">
      <c r="A253" s="7" t="inlineStr">
        <is>
          <t>I250</t>
        </is>
      </c>
      <c r="B253" s="7" t="inlineStr">
        <is>
          <t>activates-every-OH</t>
        </is>
      </c>
      <c r="C253" s="7" t="inlineStr">
        <is>
          <t>SOCl2, POCl3, PCl5, oxalyl chloride or Tf2O + several O–H / N–H groups</t>
        </is>
      </c>
      <c r="D253" s="7" t="inlineStr">
        <is>
          <t>reagent + group</t>
        </is>
      </c>
      <c r="E253" s="7" t="inlineStr">
        <is>
          <t>competing site</t>
        </is>
      </c>
      <c r="F253" s="7" t="inlineStr">
        <is>
          <t>reagent + group</t>
        </is>
      </c>
      <c r="G253" s="7" t="inlineStr"/>
      <c r="H253" s="7" t="inlineStr"/>
      <c r="I253" s="7" t="inlineStr">
        <is>
          <t>smiles:O=S(Cl)Cl | smiles:O=P(Cl)(Cl)Cl | smiles:ClP(Cl)(Cl)(Cl)Cl | smiles:O=C(Cl)C(=O)Cl | smiles:O=S(=O)(OS(=O)(=O)C(F)(F)F)C(F)(F)F | smiles:O=S(Br)Br | smiles:BrP(Br)Br | smiles:ClP(Cl)Cl | smiles:O=P(Br)(Br)Br</t>
        </is>
      </c>
      <c r="J253" s="7" t="inlineStr">
        <is>
          <t>F001 carboxylic acid | F118 aromatic carboxylic acid (ArCO2H, ArCO2⁻) | F003 alcohol (1°) | F014 alcohol (on sp3 C) | F015 alcohol (2°) | F016 alcohol (3°) | F017 1,2-diol | F129 1,2-amino alcohol (free N–C–C–OH: ethanolamine, amino-alcohols) | F197 methanol (CH3–OH): reagent and solvent | F198 ethanol (CH3CH2–OH): reagent and solvent | F199 benzylic alcohol (Ar–CH2–OH) | F028 phenol | F120 primary amide (C(=O)NH2) | F089 azole N–H (pyrrole, indole, azaindole, imidazole, benzimidazole, pyrazole, indazole, triazole, tetrazole; 5-ring lactam N–H) | F049 oxime</t>
        </is>
      </c>
      <c r="K253" s="7" t="inlineStr">
        <is>
          <t>substrate</t>
        </is>
      </c>
      <c r="L253" s="7" t="inlineStr">
        <is>
          <t>bystander</t>
        </is>
      </c>
      <c r="M253" s="7" t="n">
        <v>1</v>
      </c>
      <c r="N253" s="7" t="inlineStr"/>
      <c r="O253" s="7" t="inlineStr">
        <is>
          <t>yes</t>
        </is>
      </c>
      <c r="P253" s="7" t="inlineStr">
        <is>
          <t>also_reacts</t>
        </is>
      </c>
      <c r="Q253" s="7" t="inlineStr"/>
      <c r="R253" s="7" t="inlineStr">
        <is>
          <t>every hydroxyl group, acid, primary amide (to nitrile), azole N–H and oxime (Beckmann) can react: acids become acyl chlorides, alcohols chlorides or sulfonates, primary amides dehydrate; amines are protonated or sulfonylated</t>
        </is>
      </c>
      <c r="S253" s="7" t="inlineStr">
        <is>
          <t>these reagents turn any O–H into a leaving group</t>
        </is>
      </c>
      <c r="T253" s="7" t="n"/>
      <c r="U253" s="7" t="n"/>
      <c r="V253" s="7" t="inlineStr"/>
      <c r="W253" s="7" t="n"/>
      <c r="X253" s="7" t="n"/>
      <c r="Y253" s="7" t="n"/>
      <c r="Z253" s="7" t="n"/>
      <c r="AA253" s="7" t="n">
        <v>21500</v>
      </c>
      <c r="AB253" s="9" t="n">
        <v>0.0026</v>
      </c>
      <c r="AC253" s="9" t="n">
        <v>0.9215</v>
      </c>
      <c r="AD253" s="9" t="n">
        <v>0.618</v>
      </c>
      <c r="AE253" s="7" t="inlineStr">
        <is>
          <t>43,310 (reaction, group) pairs with this reagent; alternatives counted: smiles:O=S(Cl)Cl; smiles:O=P(Cl)(Cl)Cl; smiles:ClP(Cl)(Cl)(Cl)Cl; smiles:O=C(Cl)C(=O)Cl; smiles:O=S(=O)(OS(=O)(=O)C(F)(F)F)C(F)(F)F; smiles:O=S(Br)Br; smiles:BrP(Br)Br; smiles:ClP(Cl)Cl; smiles:O=P(Br)(Br)Br</t>
        </is>
      </c>
      <c r="AF253" s="7" t="inlineStr">
        <is>
          <t>Clayden, Organic Chemistry</t>
        </is>
      </c>
    </row>
    <row r="254">
      <c r="A254" s="7" t="inlineStr">
        <is>
          <t>I251</t>
        </is>
      </c>
      <c r="B254" s="7" t="inlineStr">
        <is>
          <t>cleaved-by-fluoride</t>
        </is>
      </c>
      <c r="C254" s="7" t="inlineStr">
        <is>
          <t>fluoride (TBAF, CsF, HF) + silyl ethers</t>
        </is>
      </c>
      <c r="D254" s="7" t="inlineStr">
        <is>
          <t>reagent + group</t>
        </is>
      </c>
      <c r="E254" s="7" t="inlineStr">
        <is>
          <t>protecting group</t>
        </is>
      </c>
      <c r="F254" s="7" t="inlineStr">
        <is>
          <t>reagent + group</t>
        </is>
      </c>
      <c r="G254" s="7" t="inlineStr"/>
      <c r="H254" s="7" t="inlineStr"/>
      <c r="I254" s="7" t="inlineStr">
        <is>
          <t>frag:F154 | smiles:F</t>
        </is>
      </c>
      <c r="J254" s="7" t="inlineStr">
        <is>
          <t>F052 silyl ether / N-silyl (TMS, TES, TBS, TIPS, TBDPS on O or N) | F053 C-silyl group (organosilane: TMS/TES/TIPS-alkyne, aryl-SiR3, Me3Si–CH2 groups)</t>
        </is>
      </c>
      <c r="K254" s="7" t="inlineStr">
        <is>
          <t>substrate</t>
        </is>
      </c>
      <c r="L254" s="7" t="inlineStr">
        <is>
          <t>both</t>
        </is>
      </c>
      <c r="M254" s="7" t="n">
        <v>1</v>
      </c>
      <c r="N254" s="7" t="inlineStr"/>
      <c r="O254" s="7" t="inlineStr">
        <is>
          <t>yes</t>
        </is>
      </c>
      <c r="P254" s="7" t="inlineStr">
        <is>
          <t>cleaved</t>
        </is>
      </c>
      <c r="Q254" s="7" t="inlineStr"/>
      <c r="R254" s="7" t="inlineStr">
        <is>
          <t>silyl ethers (TMS, TES, TBS, TIPS, TBDPS) and C-silyl groups are cleaved, fastest for the least hindered (TMS ≫ TES &gt; TBS &gt; TIPS ≈ TBDPS); the alkoxide formed can act as a base and move acyl or silyl groups</t>
        </is>
      </c>
      <c r="S254" s="7" t="inlineStr">
        <is>
          <t>the Si–F bond (about 140 kcal/mol) is far stronger than Si–O</t>
        </is>
      </c>
      <c r="T254" s="7" t="n"/>
      <c r="U254" s="7" t="n"/>
      <c r="V254" s="7" t="inlineStr"/>
      <c r="W254" s="7" t="n"/>
      <c r="X254" s="7" t="n"/>
      <c r="Y254" s="7" t="n"/>
      <c r="Z254" s="7" t="n"/>
      <c r="AA254" s="7" t="n">
        <v>5118</v>
      </c>
      <c r="AB254" s="9" t="n">
        <v>0.0001</v>
      </c>
      <c r="AC254" s="9" t="n">
        <v>0.9782</v>
      </c>
      <c r="AD254" s="9" t="n">
        <v>0.2862</v>
      </c>
      <c r="AE254" s="7" t="inlineStr">
        <is>
          <t>5,144 (reaction, group) pairs with this reagent; alternatives counted: frag:F154; smiles:F. A group being consumed measures this effect only indirectly: the figures say how often the group reacts at all with this reagent</t>
        </is>
      </c>
      <c r="AF254" s="7" t="inlineStr">
        <is>
          <t>Greene, Protective Groups in Organic Synthesis</t>
        </is>
      </c>
    </row>
    <row r="255">
      <c r="A255" s="7" t="inlineStr">
        <is>
          <t>I252</t>
        </is>
      </c>
      <c r="B255" s="7" t="inlineStr">
        <is>
          <t>also-attacked-by-organometallic</t>
        </is>
      </c>
      <c r="C255" s="7" t="inlineStr">
        <is>
          <t>a Grignard or organolithium + an ester, nitrile, amide, acyl chloride, epoxide or carbonyl elsewhere in the molecule</t>
        </is>
      </c>
      <c r="D255" s="7" t="inlineStr">
        <is>
          <t>reagent + group</t>
        </is>
      </c>
      <c r="E255" s="7" t="inlineStr">
        <is>
          <t>incompatible group</t>
        </is>
      </c>
      <c r="F255" s="7" t="inlineStr">
        <is>
          <t>reagent + group</t>
        </is>
      </c>
      <c r="G255" s="7" t="inlineStr"/>
      <c r="H255" s="7" t="inlineStr"/>
      <c r="I255" s="7" t="inlineStr">
        <is>
          <t>frag:F029 | frag:F140 | frag:F141 | smiles:[CH3][Mg+] | smiles:C[CH2][Mg+] | smiles:[CH2-]CCC</t>
        </is>
      </c>
      <c r="J255" s="7" t="inlineStr">
        <is>
          <t>F004 ester | F022 nitrile | F191 aryl nitrile (Ar–C≡N: benzonitrile, cyanopyridine) | F021 amide | F184 tertiary amide (R–C(=O)–NR2: DMF, DMA, Weinreb amide, N-acylpiperidine, N-alkyl lactam) | F123 hydroxamic acid / hydroxamate (C(=O)–N–OH, C(=O)–N–OR; Weinreb amide) | F020 acyl chloride | F041 carboxylic anhydride | F023 epoxide | F018 aldehyde | F117 aromatic aldehyde (ArCHO) | F019 ketone | F116 aryl ketone (acetophenone, benzophenone: Ar–C(=O)–C) | F040 enone (α,β-unsaturated carbonyl) | F031 imine | F124 activated ester (N-hydroxysuccinimide, HOBt/HOAt, pentafluorophenyl, p-nitrophenyl ester) | F136 trifluoroacetyl (trifluoroacetic acid TFA, trifluoroacetamide, trifluoroacetate ester) | F121 imide (phthalimide, succinimide, glutarimide: C(=O)–N–C(=O))</t>
        </is>
      </c>
      <c r="K255" s="7" t="inlineStr">
        <is>
          <t>substrate</t>
        </is>
      </c>
      <c r="L255" s="7" t="inlineStr">
        <is>
          <t>bystander</t>
        </is>
      </c>
      <c r="M255" s="7" t="n">
        <v>1</v>
      </c>
      <c r="N255" s="7" t="inlineStr"/>
      <c r="O255" s="7" t="inlineStr">
        <is>
          <t>yes</t>
        </is>
      </c>
      <c r="P255" s="7" t="inlineStr">
        <is>
          <t>also_reacts</t>
        </is>
      </c>
      <c r="Q255" s="7" t="inlineStr"/>
      <c r="R255" s="7" t="inlineStr">
        <is>
          <t>also attacked: esters add twice (to the tertiary alcohol), acyl chlorides over-add, nitriles give ketones after hydrolysis, aldehydes and ketones add, epoxides open, enones take 1,2- or 1,4-addition; protect the group, use a more selective organometallic (organozinc, organocuprate), or use an acyl electrophile that stops at the ketone (Weinreb amide). In the recorded reactions an ester is consumed about as often with a Grignard as with other reagents: chemists choose conditions that spare it, or it is the target</t>
        </is>
      </c>
      <c r="S255" s="7" t="inlineStr">
        <is>
          <t>carbon nucleophiles of this strength attack every electrophilic carbonyl-type carbon</t>
        </is>
      </c>
      <c r="T255" s="7" t="n"/>
      <c r="U255" s="7" t="n"/>
      <c r="V255" s="7" t="inlineStr"/>
      <c r="W255" s="7" t="n"/>
      <c r="X255" s="7" t="n"/>
      <c r="Y255" s="7" t="n"/>
      <c r="Z255" s="7" t="n"/>
      <c r="AA255" s="7" t="n">
        <v>13060</v>
      </c>
      <c r="AB255" s="9" t="n">
        <v>0.0051</v>
      </c>
      <c r="AC255" s="9" t="n">
        <v>0.7054</v>
      </c>
      <c r="AD255" s="9" t="n">
        <v>0.423</v>
      </c>
      <c r="AE255" s="7" t="inlineStr">
        <is>
          <t>24,956 (reaction, group) pairs with this reagent; alternatives counted: frag:F029; frag:F140; frag:F141; smiles:[CH3][Mg+]; smiles:C[CH2][Mg+]; smiles:[CH2-]CCC</t>
        </is>
      </c>
      <c r="AF255" s="7" t="inlineStr">
        <is>
          <t>Clayden, Organic Chemistry (organometallics)</t>
        </is>
      </c>
    </row>
    <row r="256">
      <c r="A256" s="7" t="inlineStr">
        <is>
          <t>I253</t>
        </is>
      </c>
      <c r="B256" s="7" t="inlineStr">
        <is>
          <t>halogen-metal-exchange</t>
        </is>
      </c>
      <c r="C256" s="7" t="inlineStr">
        <is>
          <t>n-BuLi, s-BuLi, t-BuLi or iPrMgCl / iPrMgBr + an aryl bromide / iodide or a vinyl halide</t>
        </is>
      </c>
      <c r="D256" s="7" t="inlineStr">
        <is>
          <t>reagent + group</t>
        </is>
      </c>
      <c r="E256" s="7" t="inlineStr">
        <is>
          <t>incompatible group</t>
        </is>
      </c>
      <c r="F256" s="7" t="inlineStr">
        <is>
          <t>reagent + group</t>
        </is>
      </c>
      <c r="G256" s="7" t="inlineStr"/>
      <c r="H256" s="7" t="inlineStr"/>
      <c r="I256" s="7" t="inlineStr">
        <is>
          <t>smiles:[Li][CH2]CCC | smiles:[Li][C](C)(C)C | smiles:[Li][CH](C)CC | smiles:C[CH](C)[Mg][Cl] | smiles:C[CH](C)[Mg][Br]</t>
        </is>
      </c>
      <c r="J256" s="7" t="inlineStr">
        <is>
          <t>F084 aryl iodide (Ar–I, incl. heteroaryl iodides) | F013 aryl bromide | F087 vinyl / alkynyl halide (alkenyl Br/Cl/I, α-/β-halo enone, 1-bromoalkyne) | F012 alkyl iodide | F171 aryl bromide next to a ring N (2-bromopyridine, 2-bromothiazole)</t>
        </is>
      </c>
      <c r="K256" s="7" t="inlineStr">
        <is>
          <t>substrate</t>
        </is>
      </c>
      <c r="L256" s="7" t="inlineStr">
        <is>
          <t>bystander</t>
        </is>
      </c>
      <c r="M256" s="7" t="n">
        <v>1</v>
      </c>
      <c r="N256" s="7" t="inlineStr"/>
      <c r="O256" s="7" t="inlineStr">
        <is>
          <t>yes</t>
        </is>
      </c>
      <c r="P256" s="7" t="inlineStr">
        <is>
          <t>also_reacts</t>
        </is>
      </c>
      <c r="Q256" s="7" t="inlineStr"/>
      <c r="R256" s="7" t="inlineStr">
        <is>
          <t>halogen–metal exchange: n-BuLi, t-BuLi and iPrMgCl swap with aryl iodides and bromides (and vinyl halides) at −78 °C faster than they add to an ester or nitrile or deprotonate; aldehydes and ketones are still attacked first; the new organometallic then reacts with whatever electrophile is present (aryl chlorides do not exchange)</t>
        </is>
      </c>
      <c r="S256" s="7" t="inlineStr">
        <is>
          <t>the exchange is fast and favours the more stabilised carbanion (sp2 over sp3)</t>
        </is>
      </c>
      <c r="T256" s="7" t="n"/>
      <c r="U256" s="7" t="n"/>
      <c r="V256" s="7" t="inlineStr"/>
      <c r="W256" s="7" t="n"/>
      <c r="X256" s="7" t="n"/>
      <c r="Y256" s="7" t="n"/>
      <c r="Z256" s="7" t="n"/>
      <c r="AA256" s="7" t="n">
        <v>7453</v>
      </c>
      <c r="AB256" s="9" t="n">
        <v>0.0008</v>
      </c>
      <c r="AC256" s="9" t="n">
        <v>0.8923</v>
      </c>
      <c r="AD256" s="9" t="n">
        <v>0.5894</v>
      </c>
      <c r="AE256" s="7" t="inlineStr">
        <is>
          <t>8,632 (reaction, group) pairs with this reagent; alternatives counted: smiles:[Li][CH2]CCC; smiles:[Li][C](C)(C)C; smiles:[Li][CH](C)CC; smiles:C[CH](C)[Mg][Cl]; smiles:C[CH](C)[Mg][Br]</t>
        </is>
      </c>
      <c r="AF256" s="7" t="inlineStr">
        <is>
          <t>Clayden, Organic Chemistry (organolithiums)</t>
        </is>
      </c>
    </row>
    <row r="257">
      <c r="A257" s="7" t="inlineStr">
        <is>
          <t>I254</t>
        </is>
      </c>
      <c r="B257" s="7" t="inlineStr">
        <is>
          <t>epimerised-by-base</t>
        </is>
      </c>
      <c r="C257" s="7" t="inlineStr">
        <is>
          <t>a strong base + an α-amino acid derivative</t>
        </is>
      </c>
      <c r="D257" s="7" t="inlineStr">
        <is>
          <t>reagent + group</t>
        </is>
      </c>
      <c r="E257" s="7" t="inlineStr">
        <is>
          <t>stereochemistry</t>
        </is>
      </c>
      <c r="F257" s="7" t="inlineStr">
        <is>
          <t>reagent + group</t>
        </is>
      </c>
      <c r="G257" s="7" t="inlineStr"/>
      <c r="H257" s="7" t="inlineStr"/>
      <c r="I257" s="7" t="inlineStr">
        <is>
          <t>frag:F060 + not:smiles:CCOC([O-])[O-] + not:smiles:COC([O-])[O-] | smiles:[Li][OH] | smiles:CC(C)(C)[O][K] | smiles:CC(C)(C)[O][Na] | smiles:C[O][Na] | smiles:C[Si](C)(C)[O-] | smiles:C[Si](C)(C)[O][K] | frag:F142 | frag:F143 | frag:F140 | frag:F029 | frag:F141 | smiles:[NH2-] | smiles:[Li][N]([Si](C)(C)C)[Si](C)(C)C</t>
        </is>
      </c>
      <c r="J257" s="7" t="inlineStr">
        <is>
          <t>F119 α-amino acid / N-protected α-amino acid (N–CH–CO2H)</t>
        </is>
      </c>
      <c r="K257" s="7" t="inlineStr">
        <is>
          <t>substrate</t>
        </is>
      </c>
      <c r="L257" s="7" t="inlineStr">
        <is>
          <t>bystander</t>
        </is>
      </c>
      <c r="M257" s="7" t="n">
        <v>1</v>
      </c>
      <c r="N257" s="7" t="inlineStr"/>
      <c r="O257" s="7" t="inlineStr">
        <is>
          <t>no</t>
        </is>
      </c>
      <c r="P257" s="7" t="inlineStr">
        <is>
          <t>epimerises</t>
        </is>
      </c>
      <c r="Q257" s="7" t="inlineStr"/>
      <c r="R257" s="7" t="inlineStr">
        <is>
          <t>epimerisation: a base that can remove the α C–H racemises or epimerises the stereocentre through the enolate (amino acid esters and amides first; α-aryl ketones and esters too); use a hindered or weaker base, a lower temperature or a shorter time. Knowledge only: the page does not test it, because the fragments cannot tell whether the α carbon is a stereocentre (F119 finds the free acid, which a base turns into a carboxylate that does not enolise)</t>
        </is>
      </c>
      <c r="S257" s="7" t="inlineStr">
        <is>
          <t>enolisation is fast when the α C–H pKa is below the pKaH of the base</t>
        </is>
      </c>
      <c r="T257" s="7" t="n"/>
      <c r="U257" s="7" t="n"/>
      <c r="V257" s="7" t="inlineStr"/>
      <c r="W257" s="7" t="n"/>
      <c r="X257" s="7" t="n"/>
      <c r="Y257" s="7" t="n"/>
      <c r="Z257" s="7" t="n"/>
      <c r="AA257" s="7" t="n">
        <v>1791</v>
      </c>
      <c r="AB257" s="9" t="n">
        <v>0.0012</v>
      </c>
      <c r="AC257" s="9" t="n">
        <v>0.2764</v>
      </c>
      <c r="AD257" s="9" t="n">
        <v>0.7943</v>
      </c>
      <c r="AE257" s="7" t="inlineStr">
        <is>
          <t>1,791 (reaction, group) pairs with this reagent; alternatives counted: frag:F060 + not:smiles:CCOC([O-])[O-] + not:smiles:COC([O-])[O-]; smiles:[Li][OH]; smiles:CC(C)(C)[O][K]; smiles:CC(C)(C)[O][Na]; smiles:C[O][Na]; smiles:C[Si](C)(C)[O-]; smiles:C[Si](C)(C)[O][K]; frag:F142; frag:F143; frag:F140; frag:F029; frag:F141; smiles:[NH2-]; smiles:[Li][N]([Si](C)(C)C)[Si](C)(C)C. A group being consumed measures this effect only indirectly: the figures say how often the group reacts at all with this reagent</t>
        </is>
      </c>
      <c r="AF257" s="7" t="inlineStr">
        <is>
          <t>Clayden, Organic Chemistry</t>
        </is>
      </c>
    </row>
    <row r="258">
      <c r="A258" s="7" t="inlineStr">
        <is>
          <t>I255</t>
        </is>
      </c>
      <c r="B258" s="7" t="inlineStr">
        <is>
          <t>protic-solvent-slows-SN2</t>
        </is>
      </c>
      <c r="C258" s="7" t="inlineStr">
        <is>
          <t>a protic solvent (water, alcohols) with an anionic nucleophile</t>
        </is>
      </c>
      <c r="D258" s="7" t="inlineStr">
        <is>
          <t>reagent + group</t>
        </is>
      </c>
      <c r="E258" s="7" t="inlineStr">
        <is>
          <t>medium</t>
        </is>
      </c>
      <c r="F258" s="7" t="inlineStr">
        <is>
          <t>reagent + group</t>
        </is>
      </c>
      <c r="G258" s="7" t="inlineStr"/>
      <c r="H258" s="7" t="inlineStr"/>
      <c r="I258" s="7" t="inlineStr">
        <is>
          <t>solvent:protic + frag:F153 | solvent:protic + frag:F155 | solvent:protic + frag:F061 | solvent:protic + frag:F060</t>
        </is>
      </c>
      <c r="J258" s="7" t="inlineStr">
        <is>
          <t>F010 alkyl bromide | F011 alkyl chloride | F012 alkyl iodide | F043 methyl halide | F044 alkyl halide (1°) | F045 alkyl halide (2°)</t>
        </is>
      </c>
      <c r="K258" s="7" t="inlineStr">
        <is>
          <t>substrate</t>
        </is>
      </c>
      <c r="L258" s="7" t="inlineStr">
        <is>
          <t>both</t>
        </is>
      </c>
      <c r="M258" s="7" t="n">
        <v>1</v>
      </c>
      <c r="N258" s="7" t="inlineStr">
        <is>
          <t>solvent</t>
        </is>
      </c>
      <c r="O258" s="7" t="inlineStr">
        <is>
          <t>yes</t>
        </is>
      </c>
      <c r="P258" s="7" t="inlineStr">
        <is>
          <t>slows</t>
        </is>
      </c>
      <c r="Q258" s="7" t="inlineStr"/>
      <c r="R258" s="7" t="inlineStr">
        <is>
          <t>SN2 with anionic nucleophiles (halide, azide, cyanide, hydroxide, alkoxide) is slower in protic solvents (hydrogen-bonded nucleophile: 10^3–10^5 slower than in DMF, DMSO or acetone); SN1 and solvolysis are favoured</t>
        </is>
      </c>
      <c r="S258" s="7" t="inlineStr">
        <is>
          <t>protic solvents solvate small anions strongly</t>
        </is>
      </c>
      <c r="T258" s="7" t="n"/>
      <c r="U258" s="7" t="n"/>
      <c r="V258" s="7" t="inlineStr"/>
      <c r="W258" s="7" t="n"/>
      <c r="X258" s="7" t="n"/>
      <c r="Y258" s="7" t="n"/>
      <c r="Z258" s="7" t="n"/>
      <c r="AA258" s="7" t="n"/>
      <c r="AB258" s="7" t="n"/>
      <c r="AC258" s="7" t="n"/>
      <c r="AD258" s="7" t="n"/>
      <c r="AE258" s="7" t="inlineStr">
        <is>
          <t>its reagent side names a solvent type: the recorded conditions are not in the feature table</t>
        </is>
      </c>
      <c r="AF258" s="7" t="inlineStr">
        <is>
          <t>Clayden, Organic Chemistry (SN1 / SN2)</t>
        </is>
      </c>
    </row>
    <row r="259">
      <c r="A259" s="7" t="inlineStr">
        <is>
          <t>I256</t>
        </is>
      </c>
      <c r="B259" s="7" t="inlineStr">
        <is>
          <t>water-destroys-reagent</t>
        </is>
      </c>
      <c r="C259" s="7" t="inlineStr">
        <is>
          <t>water or a protic solvent with an acyl chloride, anhydride, organometallic or hydride</t>
        </is>
      </c>
      <c r="D259" s="7" t="inlineStr">
        <is>
          <t>reagent + group</t>
        </is>
      </c>
      <c r="E259" s="7" t="inlineStr">
        <is>
          <t>medium</t>
        </is>
      </c>
      <c r="F259" s="7" t="inlineStr">
        <is>
          <t>reagent + group</t>
        </is>
      </c>
      <c r="G259" s="7" t="inlineStr"/>
      <c r="H259" s="7" t="inlineStr"/>
      <c r="I259" s="7" t="inlineStr">
        <is>
          <t>solvent:protic</t>
        </is>
      </c>
      <c r="J259" s="7" t="inlineStr">
        <is>
          <t>F029 Grignard (C–MgBr) | F140 organolithium (R–Li: n-BuLi, s-BuLi, t-BuLi, MeLi, PhLi) | F141 Grignard reagent, chloride / iodide (R–MgCl, R–MgI: MeMgCl, iPrMgCl) | F042 aluminium hydride (LiAlH4) | F143 metal hydride (H⁻: NaH, KH, CaH2) | F145 alkylaluminium hydride (DIBAL-H, Red-Al) | F020 acyl chloride | F041 carboxylic anhydride | F124 activated ester (N-hydroxysuccinimide, HOBt/HOAt, pentafluorophenyl, p-nitrophenyl ester)</t>
        </is>
      </c>
      <c r="K259" s="7" t="inlineStr">
        <is>
          <t>both</t>
        </is>
      </c>
      <c r="L259" s="7" t="inlineStr">
        <is>
          <t>both</t>
        </is>
      </c>
      <c r="M259" s="7" t="n">
        <v>1</v>
      </c>
      <c r="N259" s="7" t="inlineStr">
        <is>
          <t>solvent</t>
        </is>
      </c>
      <c r="O259" s="7" t="inlineStr">
        <is>
          <t>yes</t>
        </is>
      </c>
      <c r="P259" s="7" t="inlineStr">
        <is>
          <t>quenches</t>
        </is>
      </c>
      <c r="Q259" s="7" t="inlineStr"/>
      <c r="R259" s="7" t="inlineStr">
        <is>
          <t>hydrolysed or quenched: acyl chlorides and anhydrides are hydrolysed, Grignards, organolithiums and hydrides destroyed; use an anhydrous aprotic solvent (THF, ether, DCM) under inert gas</t>
        </is>
      </c>
      <c r="S259" s="7" t="inlineStr">
        <is>
          <t>these reagents react faster with water than with most organic substrates</t>
        </is>
      </c>
      <c r="T259" s="7" t="n"/>
      <c r="U259" s="7" t="n"/>
      <c r="V259" s="7" t="inlineStr"/>
      <c r="W259" s="7" t="n"/>
      <c r="X259" s="7" t="n"/>
      <c r="Y259" s="7" t="n"/>
      <c r="Z259" s="7" t="n"/>
      <c r="AA259" s="7" t="n"/>
      <c r="AB259" s="7" t="n"/>
      <c r="AC259" s="7" t="n"/>
      <c r="AD259" s="7" t="n"/>
      <c r="AE259" s="7" t="inlineStr">
        <is>
          <t>its reagent side names a solvent type: the recorded conditions are not in the feature table</t>
        </is>
      </c>
      <c r="AF259" s="7" t="inlineStr">
        <is>
          <t>Fragment_Conditions (F020, F029, F042)</t>
        </is>
      </c>
    </row>
    <row r="260">
      <c r="A260" s="7" t="inlineStr">
        <is>
          <t>I257</t>
        </is>
      </c>
      <c r="B260" s="7" t="inlineStr">
        <is>
          <t>leaving-group-order</t>
        </is>
      </c>
      <c r="C260" s="7" t="inlineStr">
        <is>
          <t>several leaving groups in one molecule</t>
        </is>
      </c>
      <c r="D260" s="7" t="inlineStr">
        <is>
          <t>reagent + group</t>
        </is>
      </c>
      <c r="E260" s="7" t="inlineStr">
        <is>
          <t>leaving group</t>
        </is>
      </c>
      <c r="F260" s="7" t="inlineStr">
        <is>
          <t>reagent + group</t>
        </is>
      </c>
      <c r="G260" s="7" t="inlineStr"/>
      <c r="H260" s="7" t="inlineStr"/>
      <c r="I260" s="7" t="inlineStr"/>
      <c r="J260" s="7" t="inlineStr">
        <is>
          <t>F010 alkyl bromide | F011 alkyl chloride | F012 alkyl iodide | F013 aryl bromide | F047 aryl chloride | F084 aryl iodide (Ar–I, incl. heteroaryl iodides) | F065 aryl / enol sulfonate ester (Ar–OTf, vinyl-OTf, Ar–OMs, Ar–OTs) | F066 alkyl sulfonate / sulfate ester (R–OMs, R–OTs, R–OTf, Me2SO4, cyclic sulfamidate) | F087 vinyl / alkynyl halide (alkenyl Br/Cl/I, α-/β-halo enone, 1-bromoalkyne) | F085 aryl fluoride, SNAr-activated (o/p-EWG or ring N)</t>
        </is>
      </c>
      <c r="K260" s="7" t="inlineStr">
        <is>
          <t>substrate</t>
        </is>
      </c>
      <c r="L260" s="7" t="inlineStr">
        <is>
          <t>both</t>
        </is>
      </c>
      <c r="M260" s="7" t="n">
        <v>2</v>
      </c>
      <c r="N260" s="7" t="inlineStr"/>
      <c r="O260" s="7" t="inlineStr">
        <is>
          <t>yes</t>
        </is>
      </c>
      <c r="P260" s="7" t="inlineStr">
        <is>
          <t>competes</t>
        </is>
      </c>
      <c r="Q260" s="7" t="inlineStr"/>
      <c r="R260" s="7" t="inlineStr">
        <is>
          <t>which one goes first: Pd / Ni / Cu couplings follow I &gt; Br ≈ OTf &gt; Cl ≫ F (oxidative addition); SN2 follows OTf ≫ I &gt; Br ≈ OTs &gt; Cl ≫ F; SNAr, when addition is rate-limiting, follows F &gt; Cl ≈ Br &gt; I and is helped by ortho / para electron-withdrawing groups and ring nitrogens. With several leaving groups in one molecule the best one for that mechanism reacts first</t>
        </is>
      </c>
      <c r="S260" s="7" t="inlineStr">
        <is>
          <t>bond strength and the stability of the leaving anion (pKa of HX: HI −10, HBr −9, HCl −7, HF 3.2)</t>
        </is>
      </c>
      <c r="T260" s="7" t="n"/>
      <c r="U260" s="7" t="n"/>
      <c r="V260" s="7" t="inlineStr"/>
      <c r="W260" s="7" t="n"/>
      <c r="X260" s="7" t="n"/>
      <c r="Y260" s="7" t="n"/>
      <c r="Z260" s="7" t="n"/>
      <c r="AA260" s="7" t="n"/>
      <c r="AB260" s="7" t="n"/>
      <c r="AC260" s="7" t="n"/>
      <c r="AD260" s="7" t="n"/>
      <c r="AE260" s="7" t="inlineStr"/>
      <c r="AF260" s="7" t="inlineStr">
        <is>
          <t>Clayden, Organic Chemistry</t>
        </is>
      </c>
    </row>
    <row r="261">
      <c r="A261" s="7" t="inlineStr">
        <is>
          <t>I258</t>
        </is>
      </c>
      <c r="B261" s="7" t="inlineStr">
        <is>
          <t>weak-base-for-the-acid</t>
        </is>
      </c>
      <c r="C261" s="7" t="inlineStr">
        <is>
          <t>a base weaker than the proton it should remove</t>
        </is>
      </c>
      <c r="D261" s="7" t="inlineStr">
        <is>
          <t>reagent + group</t>
        </is>
      </c>
      <c r="E261" s="7" t="inlineStr">
        <is>
          <t>reagent strength</t>
        </is>
      </c>
      <c r="F261" s="7" t="inlineStr">
        <is>
          <t>reagent + group</t>
        </is>
      </c>
      <c r="G261" s="7" t="inlineStr"/>
      <c r="H261" s="7" t="inlineStr"/>
      <c r="I261" s="7" t="inlineStr">
        <is>
          <t>role:base</t>
        </is>
      </c>
      <c r="J261" s="7" t="inlineStr">
        <is>
          <t>F101 enolisable α-C–H (α to ketone, aldehyde, ester, nitrile or sulfone) | F102 active methylene CH2 (1,3-dicarbonyl, malonate, β-keto ester, cyanoacetate, malononitrile) | F003 alcohol (1°) | F014 alcohol (on sp3 C) | F028 phenol | F001 carboxylic acid | F008 alkyne, terminal (C≡C–H) | F095 amide / lactam / carbamate / urea / imide N–H | F192 α-C–H of a ketone (R–CO–CH: pKa ≈ 19–20; aldol, enolate alkylation, α-halogenation) | F193 α-C–H of an ester or lactone (pKa ≈ 25; needs LDA/NaH-strength base)</t>
        </is>
      </c>
      <c r="K261" s="7" t="inlineStr">
        <is>
          <t>substrate</t>
        </is>
      </c>
      <c r="L261" s="7" t="inlineStr">
        <is>
          <t>bystander</t>
        </is>
      </c>
      <c r="M261" s="7" t="n">
        <v>1</v>
      </c>
      <c r="N261" s="7" t="inlineStr"/>
      <c r="O261" s="7" t="inlineStr">
        <is>
          <t>no</t>
        </is>
      </c>
      <c r="P261" s="7" t="inlineStr">
        <is>
          <t>slows</t>
        </is>
      </c>
      <c r="Q261" s="7" t="inlineStr"/>
      <c r="R261" s="7" t="inlineStr">
        <is>
          <t>little or no reaction when the pKaH of the base is more than 3–5 units below the pKa of the proton: K2CO3 (pKaH 10.3) deprotonates phenols and acids but not alcohols or ketones (use NaH, KOt-Bu or LDA); Et3N (10.8) does not deprotonate amides</t>
        </is>
      </c>
      <c r="S261" s="7" t="inlineStr">
        <is>
          <t>ΔpKa sets the equilibrium (K = 10^ΔpKa); a catalytic amount of the anion is enough when the next step is fast</t>
        </is>
      </c>
      <c r="T261" s="7" t="n"/>
      <c r="U261" s="7" t="n"/>
      <c r="V261" s="7" t="inlineStr"/>
      <c r="W261" s="7" t="n"/>
      <c r="X261" s="7" t="n"/>
      <c r="Y261" s="7" t="n"/>
      <c r="Z261" s="7" t="n"/>
      <c r="AA261" s="7" t="n">
        <v>327930</v>
      </c>
      <c r="AB261" s="9" t="n">
        <v>0.1602</v>
      </c>
      <c r="AC261" s="9" t="n">
        <v>0.5588</v>
      </c>
      <c r="AD261" s="9" t="n">
        <v>0.542</v>
      </c>
      <c r="AE261" s="7" t="inlineStr">
        <is>
          <t>570,886 (reaction, group) pairs with this reagent; alternatives counted: role:base. A group being consumed measures this effect only indirectly: the figures say how often the group reacts at all with this reagent</t>
        </is>
      </c>
      <c r="AF261" s="7" t="inlineStr">
        <is>
          <t>Acids_Bases sheet; Evans pKa table</t>
        </is>
      </c>
    </row>
    <row r="262">
      <c r="A262" s="7" t="inlineStr">
        <is>
          <t>I259</t>
        </is>
      </c>
      <c r="B262" s="7" t="inlineStr">
        <is>
          <t>temperature-selectivity</t>
        </is>
      </c>
      <c r="C262" s="7" t="inlineStr">
        <is>
          <t>temperature, time and equivalents</t>
        </is>
      </c>
      <c r="D262" s="7" t="inlineStr">
        <is>
          <t>reagent + group</t>
        </is>
      </c>
      <c r="E262" s="7" t="inlineStr">
        <is>
          <t>medium</t>
        </is>
      </c>
      <c r="F262" s="7" t="inlineStr">
        <is>
          <t>reagent + group</t>
        </is>
      </c>
      <c r="G262" s="7" t="inlineStr"/>
      <c r="H262" s="7" t="inlineStr"/>
      <c r="I262" s="7" t="inlineStr"/>
      <c r="J262" s="7" t="inlineStr"/>
      <c r="K262" s="7" t="inlineStr">
        <is>
          <t>substrate</t>
        </is>
      </c>
      <c r="L262" s="7" t="inlineStr">
        <is>
          <t>bystander</t>
        </is>
      </c>
      <c r="M262" s="7" t="n">
        <v>1</v>
      </c>
      <c r="N262" s="7" t="inlineStr">
        <is>
          <t>conditions</t>
        </is>
      </c>
      <c r="O262" s="7" t="inlineStr">
        <is>
          <t>no</t>
        </is>
      </c>
      <c r="P262" s="7" t="inlineStr">
        <is>
          <t>redirects</t>
        </is>
      </c>
      <c r="Q262" s="7" t="inlineStr"/>
      <c r="R262" s="7" t="inlineStr">
        <is>
          <t>kinetic against thermodynamic control: low temperature and short times give the faster product (the less substituted enolate, the 1,2-adduct, ortho substitution), heat and long times the more stable one (the more substituted enolate, the 1,4-adduct, para, rearranged); equivalents decide mono- against bis-reaction</t>
        </is>
      </c>
      <c r="S262" s="7" t="inlineStr">
        <is>
          <t>the recorded reactions list the solvent only; temperature, time and amounts are not in the learned data, so this interference is advisory</t>
        </is>
      </c>
      <c r="T262" s="7" t="n"/>
      <c r="U262" s="7" t="n"/>
      <c r="V262" s="7" t="inlineStr"/>
      <c r="W262" s="7" t="n"/>
      <c r="X262" s="7" t="n"/>
      <c r="Y262" s="7" t="n"/>
      <c r="Z262" s="7" t="n"/>
      <c r="AA262" s="7" t="n"/>
      <c r="AB262" s="7" t="n"/>
      <c r="AC262" s="7" t="n"/>
      <c r="AD262" s="7" t="n"/>
      <c r="AE262" s="7" t="inlineStr">
        <is>
          <t>not a reagent-and-group pair: a property of the data or of the conditions the records lack</t>
        </is>
      </c>
      <c r="AF262" s="7" t="inlineStr">
        <is>
          <t>Clayden, Organic Chemistry</t>
        </is>
      </c>
    </row>
    <row r="263">
      <c r="A263" s="7" t="inlineStr">
        <is>
          <t>I260</t>
        </is>
      </c>
      <c r="B263" s="7" t="inlineStr">
        <is>
          <t>data-support-size</t>
        </is>
      </c>
      <c r="C263" s="7" t="inlineStr">
        <is>
          <t>starting materials with fewer than 8 heavy atoms</t>
        </is>
      </c>
      <c r="D263" s="7" t="inlineStr">
        <is>
          <t>reagent + group</t>
        </is>
      </c>
      <c r="E263" s="7" t="inlineStr">
        <is>
          <t>data support</t>
        </is>
      </c>
      <c r="F263" s="7" t="inlineStr">
        <is>
          <t>reagent + group</t>
        </is>
      </c>
      <c r="G263" s="7" t="inlineStr"/>
      <c r="H263" s="7" t="inlineStr"/>
      <c r="I263" s="7" t="inlineStr"/>
      <c r="J263" s="7" t="inlineStr"/>
      <c r="K263" s="7" t="inlineStr">
        <is>
          <t>substrate</t>
        </is>
      </c>
      <c r="L263" s="7" t="inlineStr">
        <is>
          <t>bystander</t>
        </is>
      </c>
      <c r="M263" s="7" t="n">
        <v>1</v>
      </c>
      <c r="N263" s="7" t="inlineStr">
        <is>
          <t>size</t>
        </is>
      </c>
      <c r="O263" s="7" t="inlineStr">
        <is>
          <t>no</t>
        </is>
      </c>
      <c r="P263" s="7" t="inlineStr">
        <is>
          <t>unreliable</t>
        </is>
      </c>
      <c r="Q263" s="7" t="inlineStr"/>
      <c r="R263" s="7" t="inlineStr">
        <is>
          <t>the learned predictor was built from patent reactions and has seen almost none this small, so no figure can say how far to trust it there and the page predicts nothing. Measured on 12,000 held-out reactions: 5 had fewer than 8 heavy atoms (too few to measure anything), and starting materials of 8–11 heavy atoms got a right first answer 67 % of the time against a stated chance of 68 %.</t>
        </is>
      </c>
      <c r="S263" s="7" t="inlineStr">
        <is>
          <t>a model can only be as good as the molecules it saw</t>
        </is>
      </c>
      <c r="T263" s="7" t="n"/>
      <c r="U263" s="7" t="n"/>
      <c r="V263" s="7" t="inlineStr"/>
      <c r="W263" s="7" t="n"/>
      <c r="X263" s="7" t="n"/>
      <c r="Y263" s="7" t="n"/>
      <c r="Z263" s="7" t="n"/>
      <c r="AA263" s="7" t="n"/>
      <c r="AB263" s="7" t="n"/>
      <c r="AC263" s="7" t="n"/>
      <c r="AD263" s="7" t="n"/>
      <c r="AE263" s="7" t="inlineStr">
        <is>
          <t>not a reagent-and-group pair: a property of the data or of the conditions the records lack</t>
        </is>
      </c>
      <c r="AF263" s="7" t="inlineStr">
        <is>
          <t>tools/eval_top1.json by_size</t>
        </is>
      </c>
    </row>
    <row r="264">
      <c r="A264" s="7" t="inlineStr">
        <is>
          <t>I261</t>
        </is>
      </c>
      <c r="B264" s="7" t="inlineStr">
        <is>
          <t>data-support-reagent-role</t>
        </is>
      </c>
      <c r="C264" s="7" t="inlineStr">
        <is>
          <t>a reagent with no reactive role in the Reagents sheet</t>
        </is>
      </c>
      <c r="D264" s="7" t="inlineStr">
        <is>
          <t>reagent + group</t>
        </is>
      </c>
      <c r="E264" s="7" t="inlineStr">
        <is>
          <t>data support</t>
        </is>
      </c>
      <c r="F264" s="7" t="inlineStr">
        <is>
          <t>reagent + group</t>
        </is>
      </c>
      <c r="G264" s="7" t="inlineStr"/>
      <c r="H264" s="7" t="inlineStr"/>
      <c r="I264" s="7" t="inlineStr"/>
      <c r="J264" s="7" t="inlineStr"/>
      <c r="K264" s="7" t="inlineStr">
        <is>
          <t>substrate</t>
        </is>
      </c>
      <c r="L264" s="7" t="inlineStr">
        <is>
          <t>bystander</t>
        </is>
      </c>
      <c r="M264" s="7" t="n">
        <v>1</v>
      </c>
      <c r="N264" s="7" t="inlineStr">
        <is>
          <t>reagent</t>
        </is>
      </c>
      <c r="O264" s="7" t="inlineStr">
        <is>
          <t>no</t>
        </is>
      </c>
      <c r="P264" s="7" t="inlineStr">
        <is>
          <t>unreliable</t>
        </is>
      </c>
      <c r="Q264" s="7" t="inlineStr"/>
      <c r="R264" s="7" t="inlineStr">
        <is>
          <t>spectator ions, solvents and parts the sheet does not list tell the model nothing about what the reagent does, so the page asks for a higher stated chance of being right before it shows an answer. Measured: reactions whose reagent has no reactive role in the Reagents sheet got a right first answer 45 % of the time overall; the page shows an answer for them only at a stated chance of 85 %, and the answers it shows were right 91 % of the time.</t>
        </is>
      </c>
      <c r="S264" s="7" t="inlineStr">
        <is>
          <t>measured on held-out patents</t>
        </is>
      </c>
      <c r="T264" s="7" t="n"/>
      <c r="U264" s="7" t="n"/>
      <c r="V264" s="7" t="inlineStr"/>
      <c r="W264" s="7" t="n"/>
      <c r="X264" s="7" t="n"/>
      <c r="Y264" s="7" t="n"/>
      <c r="Z264" s="7" t="n"/>
      <c r="AA264" s="7" t="n"/>
      <c r="AB264" s="7" t="n"/>
      <c r="AC264" s="7" t="n"/>
      <c r="AD264" s="7" t="n"/>
      <c r="AE264" s="7" t="inlineStr">
        <is>
          <t>not a reagent-and-group pair: a property of the data or of the conditions the records lack</t>
        </is>
      </c>
      <c r="AF264" s="7" t="inlineStr">
        <is>
          <t>tools/eval_top1.json by_reagent</t>
        </is>
      </c>
    </row>
  </sheetData>
  <autoFilter ref="A1:AF264"/>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10" customWidth="1" min="1" max="1"/>
  </cols>
  <sheetData>
    <row r="1">
      <c r="A1" s="6" t="inlineStr">
        <is>
          <t>Reaction rules</t>
        </is>
      </c>
    </row>
    <row r="2">
      <c r="A2" s="7" t="inlineStr">
        <is>
          <t>One row per reaction rule. Molecules are named with their InChIKey and fragments with their fragment ID, both from molecule_data.xlsx (sheets Molecules and Fragments).</t>
        </is>
      </c>
    </row>
    <row r="3">
      <c r="A3" s="7" t="inlineStr">
        <is>
          <t>Reaction SMARTS is the rule a program applies: reactant patterns &gt;&gt; product pattern. [X:n] numbers an atom so it can be followed from reactants to product; an atom on the left without a number that is missing on the right leaves (in R001 the acid's OH, as water).</t>
        </is>
      </c>
    </row>
    <row r="4">
      <c r="A4" s="7" t="inlineStr">
        <is>
          <t>Checked: the result of running the SMARTS in RDKit on the reaction's molecules.</t>
        </is>
      </c>
    </row>
    <row r="5">
      <c r="A5" s="7" t="inlineStr">
        <is>
          <t>Reaction code: identifies one specific reaction as 'reactants&gt;reagents&gt;products | conc=&lt;strength&gt; | cond=&lt;conditions&gt;'. The first word is an ordinary reaction SMILES that RDKit and other chemistry programs read as it stands; the molecule parts are RDKit canonical SMILES, in the SMILES-line order, so the same reaction always gives the same code. After a space come what a reaction SMILES cannot say: conc= the reagent's strength (37%w/w, 2M, conc, dil) and cond= the conditions box's comma list. The Reactions page shows the code in the bar at the top, and a code pasted there (Enter) fills the page; the old form 'starting materials~reagent~conditions~products' is still read there. Each rule's code is the reaction written in its row.</t>
        </is>
      </c>
    </row>
    <row r="6">
      <c r="A6" s="7" t="inlineStr">
        <is>
          <t>Required conditions: what the conditions box under the arrow must contain for the rule to fire. A comma means ALL of them (heat, dry); a | separates ALTERNATIVES, any one of which is enough (heat | microwave). Leave it empty when the reaction needs no special conditions. An item is either a condition from the Conditions sheet (reflux, anhydrous …) or a temperature: an exact range '60-120 °C', a limit '&gt;= 50 °C' or '&lt;= 0 °C', or one temperature '-78 °C' (± 5 °C).</t>
        </is>
      </c>
    </row>
    <row r="7">
      <c r="A7" s="7" t="inlineStr">
        <is>
          <t>Conditions sheet: the accepted words for each named condition, the temperature range it stands for, and what it counts as (reflux counts as heat). Solvents sheet: each solvent's words and boiling point; 'reflux in &lt;solvent&gt;' runs at that boiling point. A temperature typed in the conditions box (80 °C, 353 K, 176 °F) counts for every condition whose range contains it.</t>
        </is>
      </c>
    </row>
    <row r="8">
      <c r="A8" s="7" t="inlineStr">
        <is>
          <t>Mechanism: the electron flow of each rule, one row per step (each row is one curved-arrow step). 'Electrons from' is the lone pair or bond that moves; 'Electrons to' is where it goes. Proton transfers give the donor's pKa and the pKa of the acid formed: ΔpKa = formed − donor and K ≈ 10^ΔpKa say which way the proton goes (K &gt; 1 favoured). Leaving groups give the pKa of their conjugate acid (lower = better leaving group). The last column of each step is the intermediate (or product) it makes, as SMILES; the Reactions page draws them after a run.</t>
        </is>
      </c>
    </row>
    <row r="9">
      <c r="A9" s="7" t="inlineStr">
        <is>
          <t>Amounts: type the amount of the reagent in the conditions box ('0.25 equiv', '1 equiv', '2 equiv', 'excess', 'catalytic'). The 'Reagent equivalents per reaction' column says how much one reaction uses (NaBH4 0.25: it carries 4 hydrides; a Grignard on an ester 2; acid catalysts 'catalytic'). With more reagent the reaction repeats, most reactive site first (or the same reaction again on the product); with less, only that fraction of the starting material reacts and the rest is left over; a catalytic amount of a reagent that is used up is refused. With no amount given, one reaction happens (as before).</t>
        </is>
      </c>
    </row>
    <row r="10">
      <c r="A10" s="7" t="inlineStr">
        <is>
          <t>Carbocation rearrangements: for reactions with a 'Carbocation' entry (and SN1/E1 from Halide_Pathways) the page forms the cation, then checks the next carbon for a 1,2-hydride shift, a 1,2-methyl (or alkyl) shift or a ring expansion that gives a MORE stable cation (Rearrangements sheet), repeats until none helps, and only then adds the nucleophile / eliminates. Each shift is drawn as a mechanism step with its arrow.</t>
        </is>
      </c>
    </row>
    <row r="11">
      <c r="A11" s="7" t="inlineStr">
        <is>
          <t>Unknown vs no reaction: when no rule fires the page says which it is. 'No reaction under these conditions' = a rule fits but a condition, fragment condition or acid/base strength is missing. 'No reaction (known)' = the Known_No_Reaction sheet or the Halide_Pathways table says these do not react, with the reason. 'Unknown' = nothing in the workbooks covers this; the page lists the reactions it does know for those fragments and that reagent.</t>
        </is>
      </c>
    </row>
    <row r="12">
      <c r="A12" s="7" t="inlineStr">
        <is>
          <t>Stereochemistry: 'Stereo outcome' describes it; the stereo templates build it. For an anti/syn addition across a 1,2-disubstituted C=C the cis template is used for a ring or Z alkene and the trans template for an E alkene (an acyclic C=C written without / or \ has no defined geometry, so no stereo is drawn). The chiral-starting-material template is used when the starting material has a stereocentre (e.g. SN2 inversion). Every product is labelled: meso, racemic (both enantiomers, from achiral starting materials) or a single enantiomer, with R/S and E/Z.</t>
        </is>
      </c>
    </row>
    <row r="13">
      <c r="A13" s="7" t="inlineStr">
        <is>
          <t>Directing groups: for an aromatic substitution (Reactions sheet column 'Aromatic substitution'), the Directing_Groups sheet decides which ring position reacts: activators (OH, NH2, OR, alkyl) send the new group ortho/para (para mostly, ortho is crowded), deactivators (NO2, C=O, CN, SO3H, CF3) send it meta, halogens deactivate but direct ortho/para, and the strongest activator wins when there are several. Friedel–Crafts fails on deactivated rings and on anilines (the N binds AlCl3).</t>
        </is>
      </c>
    </row>
    <row r="14">
      <c r="A14" s="7" t="inlineStr">
        <is>
          <t>Chemoselectivity: rules that a reagent uses on different groups share a 'Chemoselectivity group' (Reactions sheet). The Reactivity_Order sheet ranks the fragments in each group (1 reacts first). When several sites could react, only the most reactive one does, and the page says which groups were left untouched; 'excess' in the conditions box lets the reagent react at all of them, most reactive first.</t>
        </is>
      </c>
    </row>
    <row r="15">
      <c r="A15" s="7" t="inlineStr">
        <is>
          <t>Condition_Suggestions: what the conditions list under the arrow suggests when a fragment is present (e.g. light for an allylic or benzylic C–H, anhydrous + ether for a Grignard). Suggestions only: they don't decide anything. Requirements from the Fragment_Conditions sheet are suggested as well.</t>
        </is>
      </c>
    </row>
    <row r="16">
      <c r="A16" s="7" t="inlineStr">
        <is>
          <t>Halide_Pathways: SN1 / SN2 / E1 / E2 for alkyl halides, decided from fragments. The substrate class is the fragment found (F043 methyl, F044 1°, F045 2°, F046 3°); the reagent class comes from the Nucleophiles sheet (or a protic solvent when there is no reagent: solvolysis); the solvent type from the Solvents sheet; Heat = heat or ≥ 50 °C. The first matching row gives the major (and minor) pathway. It is used when no rule on the Reactions sheet fits, and the page draws that pathway's mechanism with red arrows.</t>
        </is>
      </c>
    </row>
    <row r="17">
      <c r="A17" s="7" t="inlineStr">
        <is>
          <t>Acid/base needed (pKa): a rule with this column accepts ANY acid or base from the Acids_Bases sheet that is strong enough, instead of one named reagent. 'base: F019, ΔpKa ≥ -5' = the base's conjugate acid pKa minus the pKa of F019's most acidic H must be at least -5 (K ≥ 10^-5; a small equilibrium amount is enough for a catalytic step). 'acid: F001, ΔpKa ≥ -5' = the pKa of the protonated fragment (its conjugate acid, Fragments sheet) minus the acid's pKa must be at least -5. The fragment pKa values are read from the Fragments sheet of molecule_data.xlsx.</t>
        </is>
      </c>
    </row>
    <row r="18">
      <c r="A18" s="7" t="inlineStr">
        <is>
          <t>Fragment_Conditions: conditions that come from a FRAGMENT, not from one reaction. For every fragment found in the starting materials or the reagent: 'Requires' must be met (same syntax as Required conditions), nothing in 'Forbids' may be present (conditions or solvents), and no 'Forbidden fragment' may be in any molecule present (e.g. an O–H next to a Grignard). 'Except reactions' lists rules that use the fragment up and so are exempt. These apply to all reactions, on top of each reaction's own Required conditions.</t>
        </is>
      </c>
    </row>
    <row r="19">
      <c r="A19" s="7" t="inlineStr">
        <is>
          <t>Mechanism arrows: 'Structure the arrows act on' is the species at the START of the step, written with atom-map numbers ([CH2:1], [Br:3], [H:4] for an H that moves). 'Arrows' lists the curved arrows on it, separated by ';': 5&gt;1 = the lone pair on atom 5 attacks atom 1; 1-2&gt;3 = the electrons of bond 1–2 move onto atom 3; 1-2&gt;2-4 = they form a new bond 2–4; a ~ in front = one electron (fishhook, radical steps). The Reactions page draws them in red on that structure, then the step's product.</t>
        </is>
      </c>
    </row>
    <row r="20">
      <c r="A20" s="7" t="inlineStr">
        <is>
          <t>Mechanism status (Reactions sheet, last column): 'none' = no Mechanism rows yet; 'drafted (replay failed)' = the arrows don't turn a step's start into its result (the report says which step and why); 'verified (replay passed)' = every step's arrows were applied with electron bookkeeping (bonds, charges, lone pairs, radicals) and give exactly the step's result. Run python tools/check_mechanisms.py --write to refresh it; tools/rules_to_js.py prints the same report every time.</t>
        </is>
      </c>
    </row>
    <row r="21">
      <c r="A21" s="7" t="inlineStr">
        <is>
          <t>Mechanisms are optional. The product only needs the Reactions row (SMARTS, reagent, conditions, fragments). Mechanism rows (with arrows) add the electron flow, shown in Advanced mode; a reaction without them still predicts the right product and Advanced mode says 'mechanism not in the workbook yet'. Both modes (the gear button on the Reactions page) use this same workbook.</t>
        </is>
      </c>
    </row>
    <row r="22">
      <c r="A22" s="7" t="inlineStr">
        <is>
          <t>Different conditions that give a DIFFERENT product (kinetic vs thermodynamic control, for example) are separate rows: one rule per product.</t>
        </is>
      </c>
    </row>
    <row r="23">
      <c r="A23" s="7" t="inlineStr">
        <is>
          <t>R001 is the Fischer esterification: acetic acid + ethanol, H2SO4 catalyst, 60-120 °C (e.g. reflux in excess ethanol, 78 °C) -&gt; ethyl acetate + water. R001-R102 are the 102 reactions so far.</t>
        </is>
      </c>
    </row>
    <row r="24">
      <c r="A24" s="7" t="inlineStr">
        <is>
          <t>This file replaces the earlier 31 word-form starter rules. More rules get added as new rows (R002, R003 ...) in the same format.</t>
        </is>
      </c>
    </row>
    <row r="25">
      <c r="A25" s="7" t="inlineStr">
        <is>
          <t>Interferences: things that make a template go faster, slower, elsewhere or not at all, to be cross-referenced with the templates when the program decides WHERE a reaction happens (regioselectivity) and WHICH group reacts (chemoselectivity). A SITE row has a Pattern: a SMARTS whose first atom is the atom the template changes (an ortho nitro group on the ring carbon that reacts, a branch on the carbon that is attacked). The page runs a learned template with its changed atoms marked (isotope 900 on the product side) and tests the pattern at the marked atoms; [!900*] in a pattern is an atom the reaction leaves alone. The patterns are tested on the PRODUCT, so they describe what the reaction leaves in place around the atoms it changed. An ADVISORY row has a Reagent side (a fragment found in a reagent part, a reagent as typed in the Reagents sheet, a role, or a solvent type; "+" = all of them, "|" = any alternative) and Groups (fragment IDs): when the reagent is used and one of the groups is present in the starting materials but is not what the product consumed, the page says what the reagent also does to it (a Grignard is quenched by an O–H, LiAlH4 also reduces an ester, Pd/H2 also cleaves a benzyl ether). The learned columns are measured on the recorded reactions (tools/int_train.py, tools/int_evidence.py) and rewritten by tools/add_interferences.py; the effect, why and source columns are written from textbooks. The data are positive-only (a record shows what happened, never what failed), so a site weight is learned only where a template could have reacted at several sites and the recorded product shows which one won. To add an interference: add a row (new Key), run tools/rules_to_js.py, and re-learn the weights with tools/int_train.py if it is a site pattern.</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2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6" customWidth="1" min="1" max="1"/>
    <col width="34" customWidth="1" min="2" max="2"/>
    <col width="14" customWidth="1" min="3" max="3"/>
    <col width="26" customWidth="1" min="4" max="4"/>
    <col width="22" customWidth="1" min="5" max="5"/>
    <col width="14" customWidth="1" min="6" max="6"/>
    <col width="14" customWidth="1" min="7" max="7"/>
    <col width="34" customWidth="1" min="8" max="8"/>
    <col width="50" customWidth="1" min="9" max="9"/>
    <col width="40" customWidth="1" min="10" max="10"/>
  </cols>
  <sheetData>
    <row r="1" ht="30" customHeight="1">
      <c r="A1" s="1" t="inlineStr">
        <is>
          <t>SMILES (one reagent part)</t>
        </is>
      </c>
      <c r="B1" s="1" t="inlineStr">
        <is>
          <t>Name</t>
        </is>
      </c>
      <c r="C1" s="1" t="inlineStr">
        <is>
          <t>Abbreviation</t>
        </is>
      </c>
      <c r="D1" s="1" t="inlineStr">
        <is>
          <t>Role</t>
        </is>
      </c>
      <c r="E1" s="1" t="inlineStr">
        <is>
          <t>Also</t>
        </is>
      </c>
      <c r="F1" s="1" t="inlineStr">
        <is>
          <t>pKa of conjugate acid (bases)</t>
        </is>
      </c>
      <c r="G1" s="1" t="inlineStr">
        <is>
          <t>Recorded reactions using it</t>
        </is>
      </c>
      <c r="H1" s="1" t="inlineStr">
        <is>
          <t>PubChem title (CID)</t>
        </is>
      </c>
      <c r="I1" s="1" t="inlineStr">
        <is>
          <t>Notes</t>
        </is>
      </c>
      <c r="J1" s="1" t="inlineStr">
        <is>
          <t>Checked</t>
        </is>
      </c>
    </row>
    <row r="2">
      <c r="A2" s="3" t="inlineStr">
        <is>
          <t>[Na+]</t>
        </is>
      </c>
      <c r="B2" s="2" t="inlineStr">
        <is>
          <t>sodium ion</t>
        </is>
      </c>
      <c r="C2" s="2" t="inlineStr">
        <is>
          <t>Na+</t>
        </is>
      </c>
      <c r="D2" s="2" t="inlineStr">
        <is>
          <t>counter-ion / spectator ion</t>
        </is>
      </c>
      <c r="E2" s="2" t="inlineStr"/>
      <c r="F2" s="2" t="n"/>
      <c r="G2" s="2" t="n">
        <v>232151</v>
      </c>
      <c r="H2" s="2" t="inlineStr">
        <is>
          <t>Sodium Ion (CID 923)</t>
        </is>
      </c>
      <c r="I2" s="2" t="inlineStr">
        <is>
          <t>Spectator cation from sodium salts (Na2S2O4 here; also NaH, NaOH, NaBH4, Na2CO3).</t>
        </is>
      </c>
      <c r="J2" s="2" t="inlineStr">
        <is>
          <t>named and classified by a chemist agent; reviewed by an independent agent</t>
        </is>
      </c>
    </row>
    <row r="3">
      <c r="A3" s="3" t="inlineStr">
        <is>
          <t>Cl</t>
        </is>
      </c>
      <c r="B3" s="2" t="inlineStr">
        <is>
          <t>hydrogen chloride</t>
        </is>
      </c>
      <c r="C3" s="2" t="inlineStr">
        <is>
          <t>HCl</t>
        </is>
      </c>
      <c r="D3" s="2" t="inlineStr">
        <is>
          <t>acid</t>
        </is>
      </c>
      <c r="E3" s="2" t="inlineStr">
        <is>
          <t>deprotecting agent</t>
        </is>
      </c>
      <c r="F3" s="2" t="n"/>
      <c r="G3" s="2" t="n">
        <v>168325</v>
      </c>
      <c r="H3" s="2" t="inlineStr">
        <is>
          <t>Hydrochloric Acid (CID 313)</t>
        </is>
      </c>
      <c r="I3" s="2" t="inlineStr">
        <is>
          <t>Strong acid (pKa about -7, water): proton source for Fe/Sn/Zn nitro reductions, Boc removal, salt formation, workup.</t>
        </is>
      </c>
      <c r="J3" s="2" t="inlineStr">
        <is>
          <t>named and classified by a chemist agent; reviewed by an independent agent</t>
        </is>
      </c>
    </row>
    <row r="4">
      <c r="A4" s="3" t="inlineStr">
        <is>
          <t>[K+]</t>
        </is>
      </c>
      <c r="B4" s="2" t="inlineStr">
        <is>
          <t>potassium ion</t>
        </is>
      </c>
      <c r="C4" s="2" t="inlineStr">
        <is>
          <t>K+</t>
        </is>
      </c>
      <c r="D4" s="2" t="inlineStr">
        <is>
          <t>counter-ion / spectator ion</t>
        </is>
      </c>
      <c r="E4" s="2" t="inlineStr"/>
      <c r="F4" s="2" t="n"/>
      <c r="G4" s="2" t="n">
        <v>107560</v>
      </c>
      <c r="H4" s="2" t="inlineStr">
        <is>
          <t>Potassium Cation (CID 813)</t>
        </is>
      </c>
      <c r="I4" s="2" t="inlineStr">
        <is>
          <t>Spectator cation from K2CO3, KHCO3, KOH, KOtBu, K3PO4.</t>
        </is>
      </c>
      <c r="J4" s="2" t="inlineStr">
        <is>
          <t>named and classified by a chemist agent; reviewed by an independent agent</t>
        </is>
      </c>
    </row>
    <row r="5">
      <c r="A5" s="3" t="inlineStr">
        <is>
          <t>O=C([O-])[O-]</t>
        </is>
      </c>
      <c r="B5" s="2" t="inlineStr">
        <is>
          <t>carbonate</t>
        </is>
      </c>
      <c r="C5" s="2" t="inlineStr">
        <is>
          <t>CO3(2-)</t>
        </is>
      </c>
      <c r="D5" s="2" t="inlineStr">
        <is>
          <t>base</t>
        </is>
      </c>
      <c r="E5" s="2" t="inlineStr"/>
      <c r="F5" s="2" t="n">
        <v>10.3</v>
      </c>
      <c r="G5" s="2" t="n">
        <v>100395</v>
      </c>
      <c r="H5" s="2" t="inlineStr">
        <is>
          <t>Carbonate Ion (CID 19660)</t>
        </is>
      </c>
      <c r="I5" s="2" t="inlineStr">
        <is>
          <t>K2CO3/Na2CO3/Cs2CO3 base for alkylations, Suzuki couplings and workup; pKa of HCO3- in water.</t>
        </is>
      </c>
      <c r="J5" s="2" t="inlineStr">
        <is>
          <t>named and classified by a chemist agent; reviewed by an independent agent</t>
        </is>
      </c>
    </row>
    <row r="6">
      <c r="A6" s="3" t="inlineStr">
        <is>
          <t>[OH-]</t>
        </is>
      </c>
      <c r="B6" s="2" t="inlineStr">
        <is>
          <t>hydroxide</t>
        </is>
      </c>
      <c r="C6" s="2" t="inlineStr">
        <is>
          <t>OH-</t>
        </is>
      </c>
      <c r="D6" s="2" t="inlineStr">
        <is>
          <t>base</t>
        </is>
      </c>
      <c r="E6" s="2" t="inlineStr">
        <is>
          <t>nucleophile</t>
        </is>
      </c>
      <c r="F6" s="2" t="n">
        <v>15.7</v>
      </c>
      <c r="G6" s="2" t="n">
        <v>92278</v>
      </c>
      <c r="H6" s="2" t="inlineStr">
        <is>
          <t>Hydroxide (CID 961)</t>
        </is>
      </c>
      <c r="I6" s="2" t="inlineStr">
        <is>
          <t>NaOH/KOH/LiOH for ester saponification and neutralization; pKa of water.</t>
        </is>
      </c>
      <c r="J6" s="2" t="inlineStr">
        <is>
          <t>named and classified by a chemist agent; reviewed by an independent agent</t>
        </is>
      </c>
    </row>
    <row r="7">
      <c r="A7" s="3" t="inlineStr">
        <is>
          <t>CCN(CC)CC</t>
        </is>
      </c>
      <c r="B7" s="2" t="inlineStr">
        <is>
          <t>triethylamine</t>
        </is>
      </c>
      <c r="C7" s="2" t="inlineStr">
        <is>
          <t>Et3N (TEA)</t>
        </is>
      </c>
      <c r="D7" s="2" t="inlineStr">
        <is>
          <t>base</t>
        </is>
      </c>
      <c r="E7" s="2" t="inlineStr"/>
      <c r="F7" s="2" t="n">
        <v>10.75</v>
      </c>
      <c r="G7" s="2" t="n">
        <v>73125</v>
      </c>
      <c r="H7" s="2" t="inlineStr">
        <is>
          <t>Triethylamine (CID 8471)</t>
        </is>
      </c>
      <c r="I7" s="2" t="inlineStr">
        <is>
          <t>Tertiary amine base that scavenges HCl in acylations, sulfonylations and couplings; pKa in water.</t>
        </is>
      </c>
      <c r="J7" s="2" t="inlineStr">
        <is>
          <t>named and classified by a chemist agent; reviewed by an independent agent</t>
        </is>
      </c>
    </row>
    <row r="8">
      <c r="A8" s="3" t="inlineStr">
        <is>
          <t>CCN(C(C)C)C(C)C</t>
        </is>
      </c>
      <c r="B8" s="2" t="inlineStr">
        <is>
          <t>N,N-diisopropylethylamine</t>
        </is>
      </c>
      <c r="C8" s="2" t="inlineStr">
        <is>
          <t>DIPEA (Hunig's base)</t>
        </is>
      </c>
      <c r="D8" s="2" t="inlineStr">
        <is>
          <t>base</t>
        </is>
      </c>
      <c r="E8" s="2" t="inlineStr"/>
      <c r="F8" s="2" t="n">
        <v>11</v>
      </c>
      <c r="G8" s="2" t="n">
        <v>49436</v>
      </c>
      <c r="H8" s="2" t="inlineStr">
        <is>
          <t>Diisopropylethylamine (CID 81531)</t>
        </is>
      </c>
      <c r="I8" s="2" t="inlineStr">
        <is>
          <t>Hindered non-nucleophilic amine base for amide couplings and alkylations; pKa about 11 in water.</t>
        </is>
      </c>
      <c r="J8" s="2" t="inlineStr">
        <is>
          <t>named and classified by a chemist agent; reviewed by an independent agent</t>
        </is>
      </c>
    </row>
    <row r="9">
      <c r="A9" s="3" t="inlineStr">
        <is>
          <t>[H-]</t>
        </is>
      </c>
      <c r="B9" s="2" t="inlineStr">
        <is>
          <t>hydride</t>
        </is>
      </c>
      <c r="C9" s="2" t="inlineStr">
        <is>
          <t>H-</t>
        </is>
      </c>
      <c r="D9" s="2" t="inlineStr">
        <is>
          <t>base</t>
        </is>
      </c>
      <c r="E9" s="2" t="inlineStr">
        <is>
          <t>reductant</t>
        </is>
      </c>
      <c r="F9" s="2" t="n">
        <v>35</v>
      </c>
      <c r="G9" s="2" t="n">
        <v>49345</v>
      </c>
      <c r="H9" s="2" t="inlineStr">
        <is>
          <t>Hydride (CID 166653)</t>
        </is>
      </c>
      <c r="I9" s="2" t="inlineStr">
        <is>
          <t>Usually NaH (with Na+): deprotonates OH/NH/CH acids before alkylation; also from LiAlH4; textbook pKa of H2 about 35 (approx., DMSO-type scale).</t>
        </is>
      </c>
      <c r="J9" s="2" t="inlineStr">
        <is>
          <t>named and classified by a chemist agent; reviewed by an independent agent</t>
        </is>
      </c>
    </row>
    <row r="10">
      <c r="A10" s="3" t="inlineStr">
        <is>
          <t>[Pd]</t>
        </is>
      </c>
      <c r="B10" s="2" t="inlineStr">
        <is>
          <t>palladium</t>
        </is>
      </c>
      <c r="C10" s="2" t="inlineStr">
        <is>
          <t>Pd (Pd/C)</t>
        </is>
      </c>
      <c r="D10" s="2" t="inlineStr">
        <is>
          <t>catalyst (metal)</t>
        </is>
      </c>
      <c r="E10" s="2" t="inlineStr"/>
      <c r="F10" s="2" t="n"/>
      <c r="G10" s="2" t="n">
        <v>44760</v>
      </c>
      <c r="H10" s="2" t="inlineStr">
        <is>
          <t>Palladium (CID 23938)</t>
        </is>
      </c>
      <c r="I10" s="2" t="inlineStr">
        <is>
          <t>Pd metal, usually Pd/C, for hydrogenation (nitro to amine, debenzylation, alkene reduction) and cross-coupling.</t>
        </is>
      </c>
      <c r="J10" s="2" t="inlineStr">
        <is>
          <t>named and classified by a chemist agent; reviewed by an independent agent</t>
        </is>
      </c>
    </row>
    <row r="11">
      <c r="A11" s="3" t="inlineStr">
        <is>
          <t>[Cl-]</t>
        </is>
      </c>
      <c r="B11" s="2" t="inlineStr">
        <is>
          <t>chloride</t>
        </is>
      </c>
      <c r="C11" s="2" t="inlineStr">
        <is>
          <t>Cl-</t>
        </is>
      </c>
      <c r="D11" s="2" t="inlineStr">
        <is>
          <t>counter-ion / spectator ion</t>
        </is>
      </c>
      <c r="E11" s="2" t="inlineStr"/>
      <c r="F11" s="2" t="n"/>
      <c r="G11" s="2" t="n">
        <v>42785</v>
      </c>
      <c r="H11" s="2" t="inlineStr">
        <is>
          <t>Chloride (CID 312)</t>
        </is>
      </c>
      <c r="I11" s="2" t="inlineStr">
        <is>
          <t>Spectator anion (NH4Cl in Fe reductions, NaCl, amine hydrochlorides).</t>
        </is>
      </c>
      <c r="J11" s="2" t="inlineStr">
        <is>
          <t>named and classified by a chemist agent; reviewed by an independent agent</t>
        </is>
      </c>
    </row>
    <row r="12">
      <c r="A12" s="3" t="inlineStr">
        <is>
          <t>[Li+]</t>
        </is>
      </c>
      <c r="B12" s="2" t="inlineStr">
        <is>
          <t>lithium ion</t>
        </is>
      </c>
      <c r="C12" s="2" t="inlineStr">
        <is>
          <t>Li+</t>
        </is>
      </c>
      <c r="D12" s="2" t="inlineStr">
        <is>
          <t>counter-ion / spectator ion</t>
        </is>
      </c>
      <c r="E12" s="2" t="inlineStr">
        <is>
          <t>Lewis acid</t>
        </is>
      </c>
      <c r="F12" s="2" t="n"/>
      <c r="G12" s="2" t="n">
        <v>37267</v>
      </c>
      <c r="H12" s="2" t="inlineStr">
        <is>
          <t>Lithium Cation (CID 28486)</t>
        </is>
      </c>
      <c r="I12" s="2" t="inlineStr">
        <is>
          <t>Cation from LiOH (ester hydrolysis), LiCl, LiAlH4, organolithiums.</t>
        </is>
      </c>
      <c r="J12" s="2" t="inlineStr">
        <is>
          <t>named and classified by a chemist agent; reviewed by an independent agent</t>
        </is>
      </c>
    </row>
    <row r="13">
      <c r="A13" s="3" t="inlineStr">
        <is>
          <t>O=C([O-])O</t>
        </is>
      </c>
      <c r="B13" s="2" t="inlineStr">
        <is>
          <t>bicarbonate (hydrogen carbonate)</t>
        </is>
      </c>
      <c r="C13" s="2" t="inlineStr">
        <is>
          <t>HCO3-</t>
        </is>
      </c>
      <c r="D13" s="2" t="inlineStr">
        <is>
          <t>base</t>
        </is>
      </c>
      <c r="E13" s="2" t="inlineStr"/>
      <c r="F13" s="2" t="n">
        <v>6.35</v>
      </c>
      <c r="G13" s="2" t="n">
        <v>36982</v>
      </c>
      <c r="H13" s="2" t="inlineStr">
        <is>
          <t>Bicarbonate Ion (CID 769)</t>
        </is>
      </c>
      <c r="I13" s="2" t="inlineStr">
        <is>
          <t>NaHCO3/KHCO3 mild base for neutralization and workup; pKa of H2CO3 in water.</t>
        </is>
      </c>
      <c r="J13" s="2" t="inlineStr">
        <is>
          <t>named and classified by a chemist agent; reviewed by an independent agent</t>
        </is>
      </c>
    </row>
    <row r="14">
      <c r="A14" s="3" t="inlineStr">
        <is>
          <t>O=C(O)C(F)(F)F</t>
        </is>
      </c>
      <c r="B14" s="2" t="inlineStr">
        <is>
          <t>trifluoroacetic acid</t>
        </is>
      </c>
      <c r="C14" s="2" t="inlineStr">
        <is>
          <t>TFA</t>
        </is>
      </c>
      <c r="D14" s="2" t="inlineStr">
        <is>
          <t>acid</t>
        </is>
      </c>
      <c r="E14" s="2" t="inlineStr">
        <is>
          <t>deprotecting agent</t>
        </is>
      </c>
      <c r="F14" s="2" t="n"/>
      <c r="G14" s="2" t="n">
        <v>30011</v>
      </c>
      <c r="H14" s="2" t="inlineStr">
        <is>
          <t>Trifluoroacetic acid (CID 6422)</t>
        </is>
      </c>
      <c r="I14" s="2" t="inlineStr">
        <is>
          <t>Strong organic acid (pKa 0.5, water); removes Boc and t-butyl esters; acid additive in hydrogenation.</t>
        </is>
      </c>
      <c r="J14" s="2" t="inlineStr">
        <is>
          <t>named and classified by a chemist agent; reviewed by an independent agent</t>
        </is>
      </c>
    </row>
    <row r="15">
      <c r="A15" s="3" t="inlineStr">
        <is>
          <t>[NH4+]</t>
        </is>
      </c>
      <c r="B15" s="2" t="inlineStr">
        <is>
          <t>ammonium ion</t>
        </is>
      </c>
      <c r="C15" s="2" t="inlineStr">
        <is>
          <t>NH4+</t>
        </is>
      </c>
      <c r="D15" s="2" t="inlineStr">
        <is>
          <t>counter-ion / spectator ion</t>
        </is>
      </c>
      <c r="E15" s="2" t="inlineStr">
        <is>
          <t>acid</t>
        </is>
      </c>
      <c r="F15" s="2" t="n"/>
      <c r="G15" s="2" t="n">
        <v>29233</v>
      </c>
      <c r="H15" s="2" t="inlineStr">
        <is>
          <t>Ammonium (CID 223)</t>
        </is>
      </c>
      <c r="I15" s="2" t="inlineStr">
        <is>
          <t>From NH4Cl (mild proton source in Fe/Zn nitro reductions, quench), NH4OAc, ammonium formate; pKa 9.25 as an acid.</t>
        </is>
      </c>
      <c r="J15" s="2" t="inlineStr">
        <is>
          <t>named and classified by a chemist agent; reviewed by an independent agent</t>
        </is>
      </c>
    </row>
    <row r="16">
      <c r="A16" s="3" t="inlineStr">
        <is>
          <t>c1ccncc1</t>
        </is>
      </c>
      <c r="B16" s="2" t="inlineStr">
        <is>
          <t>pyridine</t>
        </is>
      </c>
      <c r="C16" s="2" t="inlineStr">
        <is>
          <t>py</t>
        </is>
      </c>
      <c r="D16" s="2" t="inlineStr">
        <is>
          <t>base</t>
        </is>
      </c>
      <c r="E16" s="2" t="inlineStr">
        <is>
          <t>solvent</t>
        </is>
      </c>
      <c r="F16" s="2" t="n">
        <v>5.2</v>
      </c>
      <c r="G16" s="2" t="n">
        <v>27654</v>
      </c>
      <c r="H16" s="2" t="inlineStr">
        <is>
          <t>Pyridine (CID 1049)</t>
        </is>
      </c>
      <c r="I16" s="2" t="inlineStr">
        <is>
          <t>Weak base and solvent for acylations and sulfonylations; pKa of pyridinium in water.</t>
        </is>
      </c>
      <c r="J16" s="2" t="inlineStr">
        <is>
          <t>named and classified by a chemist agent; reviewed by an independent agent</t>
        </is>
      </c>
    </row>
    <row r="17">
      <c r="A17" s="3" t="inlineStr">
        <is>
          <t>[Cs+]</t>
        </is>
      </c>
      <c r="B17" s="2" t="inlineStr">
        <is>
          <t>caesium ion</t>
        </is>
      </c>
      <c r="C17" s="2" t="inlineStr">
        <is>
          <t>Cs+</t>
        </is>
      </c>
      <c r="D17" s="2" t="inlineStr">
        <is>
          <t>counter-ion / spectator ion</t>
        </is>
      </c>
      <c r="E17" s="2" t="inlineStr"/>
      <c r="F17" s="2" t="n"/>
      <c r="G17" s="2" t="n">
        <v>23565</v>
      </c>
      <c r="H17" s="2" t="inlineStr">
        <is>
          <t>Cesium cation (CID 104967)</t>
        </is>
      </c>
      <c r="I17" s="2" t="inlineStr">
        <is>
          <t>From Cs2CO3 or CsF; large soft cation boosts alkylation and coupling rates (caesium effect).</t>
        </is>
      </c>
      <c r="J17" s="2" t="inlineStr">
        <is>
          <t>named and classified by a chemist agent; reviewed by an independent agent</t>
        </is>
      </c>
    </row>
    <row r="18">
      <c r="A18" s="3" t="inlineStr">
        <is>
          <t>F[P-](F)(F)(F)(F)F</t>
        </is>
      </c>
      <c r="B18" s="2" t="inlineStr">
        <is>
          <t>hexafluorophosphate</t>
        </is>
      </c>
      <c r="C18" s="2" t="inlineStr">
        <is>
          <t>PF6-</t>
        </is>
      </c>
      <c r="D18" s="2" t="inlineStr">
        <is>
          <t>counter-ion / spectator ion</t>
        </is>
      </c>
      <c r="E18" s="2" t="inlineStr"/>
      <c r="F18" s="2" t="n"/>
      <c r="G18" s="2" t="n">
        <v>21041</v>
      </c>
      <c r="H18" s="2" t="inlineStr">
        <is>
          <t>Hexafluorophosphate (CID 9886)</t>
        </is>
      </c>
      <c r="I18" s="2" t="inlineStr">
        <is>
          <t>Non-coordinating anion of HATU, HBTU, PyBOP, BOP coupling reagents.</t>
        </is>
      </c>
      <c r="J18" s="2" t="inlineStr">
        <is>
          <t>named and classified by a chemist agent; reviewed by an independent agent</t>
        </is>
      </c>
    </row>
    <row r="19">
      <c r="A19" s="3" t="inlineStr">
        <is>
          <t>CC(=O)[O-]</t>
        </is>
      </c>
      <c r="B19" s="2" t="inlineStr">
        <is>
          <t>acetate</t>
        </is>
      </c>
      <c r="C19" s="2" t="inlineStr">
        <is>
          <t>OAc-</t>
        </is>
      </c>
      <c r="D19" s="2" t="inlineStr">
        <is>
          <t>base</t>
        </is>
      </c>
      <c r="E19" s="2" t="inlineStr">
        <is>
          <t>counter-ion / spectator ion</t>
        </is>
      </c>
      <c r="F19" s="2" t="n">
        <v>4.76</v>
      </c>
      <c r="G19" s="2" t="n">
        <v>20106</v>
      </c>
      <c r="H19" s="2" t="inlineStr">
        <is>
          <t>Acetate (CID 175)</t>
        </is>
      </c>
      <c r="I19" s="2" t="inlineStr">
        <is>
          <t>From NaOAc, KOAc (Miyaura borylation base) or Pd(OAc)2; pKa of acetic acid in water.</t>
        </is>
      </c>
      <c r="J19" s="2" t="inlineStr">
        <is>
          <t>named and classified by a chemist agent; reviewed by an independent agent</t>
        </is>
      </c>
    </row>
    <row r="20">
      <c r="A20" s="3" t="inlineStr">
        <is>
          <t>c1ccc([P](c2ccccc2)(c2ccccc2)[Pd]([P](c2ccccc2)(c2ccccc2)c2ccccc2)([P](c2ccccc2)(c2ccccc2)c2ccccc2)[P](c2ccccc2)(c2ccccc2)c2ccccc2)cc1</t>
        </is>
      </c>
      <c r="B20" s="2" t="inlineStr">
        <is>
          <t>tetrakis(triphenylphosphine)palladium(0)</t>
        </is>
      </c>
      <c r="C20" s="2" t="inlineStr">
        <is>
          <t>Pd(PPh3)4</t>
        </is>
      </c>
      <c r="D20" s="2" t="inlineStr">
        <is>
          <t>catalyst (metal)</t>
        </is>
      </c>
      <c r="E20" s="2" t="inlineStr"/>
      <c r="F20" s="2" t="n"/>
      <c r="G20" s="2" t="n">
        <v>17251</v>
      </c>
      <c r="H20" s="2" t="inlineStr">
        <is>
          <t>Tetrakis(triphenylphosphino)palladium (CID 11980388)</t>
        </is>
      </c>
      <c r="I20" s="2" t="inlineStr">
        <is>
          <t>Pd(0) catalyst for Suzuki, Stille, Sonogashira and Heck couplings.</t>
        </is>
      </c>
      <c r="J20" s="2" t="inlineStr">
        <is>
          <t>named and classified by a chemist agent; reviewed by an independent agent</t>
        </is>
      </c>
    </row>
    <row r="21">
      <c r="A21" s="3" t="inlineStr">
        <is>
          <t>CCN=C=NCCCN(C)C</t>
        </is>
      </c>
      <c r="B21" s="2" t="inlineStr">
        <is>
          <t>1-ethyl-3-(3-dimethylaminopropyl)carbodiimide</t>
        </is>
      </c>
      <c r="C21" s="2" t="inlineStr">
        <is>
          <t>EDC (EDCI)</t>
        </is>
      </c>
      <c r="D21" s="2" t="inlineStr">
        <is>
          <t>coupling reagent (activates an acid)</t>
        </is>
      </c>
      <c r="E21" s="2" t="inlineStr"/>
      <c r="F21" s="2" t="n"/>
      <c r="G21" s="2" t="n">
        <v>16818</v>
      </c>
      <c r="H21" s="2" t="inlineStr">
        <is>
          <t>1-Ethyl-3-(3'-dimethylaminopropyl)carbodiimide (CID 15908)</t>
        </is>
      </c>
      <c r="I21" s="2" t="inlineStr">
        <is>
          <t>Water-soluble carbodiimide (as HCl salt) activating acids for amide/ester formation, often with HOBt or DMAP.</t>
        </is>
      </c>
      <c r="J21" s="2" t="inlineStr">
        <is>
          <t>named and classified by a chemist agent; reviewed by an independent agent</t>
        </is>
      </c>
    </row>
    <row r="22">
      <c r="A22" s="3" t="inlineStr">
        <is>
          <t>c1ccc(P(c2ccccc2)c2ccccc2)cc1</t>
        </is>
      </c>
      <c r="B22" s="2" t="inlineStr">
        <is>
          <t>triphenylphosphine</t>
        </is>
      </c>
      <c r="C22" s="2" t="inlineStr">
        <is>
          <t>PPh3</t>
        </is>
      </c>
      <c r="D22" s="2" t="inlineStr">
        <is>
          <t>dehydrating / activating agent</t>
        </is>
      </c>
      <c r="E22" s="2" t="inlineStr">
        <is>
          <t>ligand</t>
        </is>
      </c>
      <c r="F22" s="2" t="n"/>
      <c r="G22" s="2" t="n">
        <v>16704</v>
      </c>
      <c r="H22" s="2" t="inlineStr">
        <is>
          <t>Triphenylphosphine (CID 11776)</t>
        </is>
      </c>
      <c r="I22" s="2" t="inlineStr">
        <is>
          <t>Mitsunobu (with DIAD, as here), Appel and Staudinger reagent, ending as Ph3P=O; also a Pd ligand.</t>
        </is>
      </c>
      <c r="J22" s="2" t="inlineStr">
        <is>
          <t>named and classified by a chemist agent; reviewed by an independent agent</t>
        </is>
      </c>
    </row>
    <row r="23">
      <c r="A23" s="3" t="inlineStr">
        <is>
          <t>[BH4-]</t>
        </is>
      </c>
      <c r="B23" s="2" t="inlineStr">
        <is>
          <t>borohydride</t>
        </is>
      </c>
      <c r="C23" s="2" t="inlineStr">
        <is>
          <t>BH4- (NaBH4)</t>
        </is>
      </c>
      <c r="D23" s="2" t="inlineStr">
        <is>
          <t>reductant</t>
        </is>
      </c>
      <c r="E23" s="2" t="inlineStr"/>
      <c r="F23" s="2" t="n"/>
      <c r="G23" s="2" t="n">
        <v>15828</v>
      </c>
      <c r="H23" s="2" t="inlineStr">
        <is>
          <t>Borohydride (CID 28123)</t>
        </is>
      </c>
      <c r="I23" s="2" t="inlineStr">
        <is>
          <t>NaBH4 reduces aldehydes, ketones and imines; with PdCl2, NiCl2 or CuSO4 it reduces nitro groups (as here).</t>
        </is>
      </c>
      <c r="J23" s="2" t="inlineStr">
        <is>
          <t>named and classified by a chemist agent; reviewed by an independent agent</t>
        </is>
      </c>
    </row>
    <row r="24">
      <c r="A24" s="3" t="inlineStr">
        <is>
          <t>On1nnc2ccccc21</t>
        </is>
      </c>
      <c r="B24" s="2" t="inlineStr">
        <is>
          <t>1-hydroxybenzotriazole</t>
        </is>
      </c>
      <c r="C24" s="2" t="inlineStr">
        <is>
          <t>HOBt</t>
        </is>
      </c>
      <c r="D24" s="2" t="inlineStr">
        <is>
          <t>additive</t>
        </is>
      </c>
      <c r="E24" s="2" t="inlineStr">
        <is>
          <t>coupling reagent (activates an acid)</t>
        </is>
      </c>
      <c r="F24" s="2" t="n"/>
      <c r="G24" s="2" t="n">
        <v>15314</v>
      </c>
      <c r="H24" s="2" t="inlineStr">
        <is>
          <t>1-Hydroxybenzotriazole (CID 75771)</t>
        </is>
      </c>
      <c r="I24" s="2" t="inlineStr">
        <is>
          <t>Forms active OBt esters with carbodiimides (DCC/EDC) and suppresses racemization.</t>
        </is>
      </c>
      <c r="J24" s="2" t="inlineStr">
        <is>
          <t>named and classified by a chemist agent; reviewed by an independent agent</t>
        </is>
      </c>
    </row>
    <row r="25">
      <c r="A25" s="3" t="inlineStr">
        <is>
          <t>[Li][CH2]CCC</t>
        </is>
      </c>
      <c r="B25" s="2" t="inlineStr">
        <is>
          <t>n-butyllithium</t>
        </is>
      </c>
      <c r="C25" s="2" t="inlineStr">
        <is>
          <t>n-BuLi</t>
        </is>
      </c>
      <c r="D25" s="2" t="inlineStr">
        <is>
          <t>organometallic reagent</t>
        </is>
      </c>
      <c r="E25" s="2" t="inlineStr">
        <is>
          <t>base</t>
        </is>
      </c>
      <c r="F25" s="2" t="n">
        <v>50</v>
      </c>
      <c r="G25" s="2" t="n">
        <v>13953</v>
      </c>
      <c r="H25" s="2" t="inlineStr">
        <is>
          <t>n-Butyl lithium (CID 61028)</t>
        </is>
      </c>
      <c r="I25" s="2" t="inlineStr">
        <is>
          <t>Strong base and lithiating agent (deprotonation, Li-halogen exchange); with a thiol here it makes a thiolate for ester cleavage; pKa of butane about 50.</t>
        </is>
      </c>
      <c r="J25" s="2" t="inlineStr">
        <is>
          <t>named and classified by a chemist agent; reviewed by an independent agent</t>
        </is>
      </c>
    </row>
    <row r="26">
      <c r="A26" s="3" t="inlineStr">
        <is>
          <t>O=S(=O)(O)O</t>
        </is>
      </c>
      <c r="B26" s="2" t="inlineStr">
        <is>
          <t>sulfuric acid</t>
        </is>
      </c>
      <c r="C26" s="2" t="inlineStr">
        <is>
          <t>H2SO4</t>
        </is>
      </c>
      <c r="D26" s="2" t="inlineStr">
        <is>
          <t>acid</t>
        </is>
      </c>
      <c r="E26" s="2" t="inlineStr"/>
      <c r="F26" s="2" t="n"/>
      <c r="G26" s="2" t="n">
        <v>13716</v>
      </c>
      <c r="H26" s="2" t="inlineStr">
        <is>
          <t>Sulfuric Acid (CID 1118)</t>
        </is>
      </c>
      <c r="I26" s="2" t="inlineStr">
        <is>
          <t>Strong mineral acid for esterification, nitration (with HNO3), hydrolysis and salt formation.</t>
        </is>
      </c>
      <c r="J26" s="2" t="inlineStr">
        <is>
          <t>named and classified by a chemist agent; reviewed by an independent agent</t>
        </is>
      </c>
    </row>
    <row r="27">
      <c r="A27" s="3" t="inlineStr">
        <is>
          <t>[I-]</t>
        </is>
      </c>
      <c r="B27" s="2" t="inlineStr">
        <is>
          <t>iodide</t>
        </is>
      </c>
      <c r="C27" s="2" t="inlineStr">
        <is>
          <t>I-</t>
        </is>
      </c>
      <c r="D27" s="2" t="inlineStr">
        <is>
          <t>nucleophile</t>
        </is>
      </c>
      <c r="E27" s="2" t="inlineStr">
        <is>
          <t>counter-ion / spectator ion</t>
        </is>
      </c>
      <c r="F27" s="2" t="n"/>
      <c r="G27" s="2" t="n">
        <v>13500</v>
      </c>
      <c r="H27" s="2" t="inlineStr">
        <is>
          <t>Iodide Ion (CID 30165)</t>
        </is>
      </c>
      <c r="I27" s="2" t="inlineStr">
        <is>
          <t>LiI/NaI: SN2 dealkylation of methyl esters (as here), Finkelstein exchange, TBAI catalysis.</t>
        </is>
      </c>
      <c r="J27" s="2" t="inlineStr">
        <is>
          <t>named and classified by a chemist agent; reviewed by an independent agent</t>
        </is>
      </c>
    </row>
    <row r="28">
      <c r="A28" s="3" t="inlineStr">
        <is>
          <t>[Al+3]</t>
        </is>
      </c>
      <c r="B28" s="2" t="inlineStr">
        <is>
          <t>aluminium ion</t>
        </is>
      </c>
      <c r="C28" s="2" t="inlineStr">
        <is>
          <t>Al3+</t>
        </is>
      </c>
      <c r="D28" s="2" t="inlineStr">
        <is>
          <t>Lewis acid</t>
        </is>
      </c>
      <c r="E28" s="2" t="inlineStr">
        <is>
          <t>counter-ion / spectator ion</t>
        </is>
      </c>
      <c r="F28" s="2" t="n"/>
      <c r="G28" s="2" t="n">
        <v>13373</v>
      </c>
      <c r="H28" s="2" t="inlineStr">
        <is>
          <t>Aluminum Cation (CID 104727)</t>
        </is>
      </c>
      <c r="I28" s="2" t="inlineStr">
        <is>
          <t>From AlCl3 (Friedel-Crafts, ether cleavage) or LiAlH4 (hydride reductant).</t>
        </is>
      </c>
      <c r="J28" s="2" t="inlineStr">
        <is>
          <t>named and classified by a chemist agent; reviewed by an independent agent</t>
        </is>
      </c>
    </row>
    <row r="29">
      <c r="A29" s="3" t="inlineStr">
        <is>
          <t>[Pd+2]</t>
        </is>
      </c>
      <c r="B29" s="2" t="inlineStr">
        <is>
          <t>palladium(II) ion</t>
        </is>
      </c>
      <c r="C29" s="2" t="inlineStr">
        <is>
          <t>Pd2+</t>
        </is>
      </c>
      <c r="D29" s="2" t="inlineStr">
        <is>
          <t>catalyst (metal)</t>
        </is>
      </c>
      <c r="E29" s="2" t="inlineStr"/>
      <c r="F29" s="2" t="n"/>
      <c r="G29" s="2" t="n">
        <v>12430</v>
      </c>
      <c r="H29" s="2" t="inlineStr"/>
      <c r="I29" s="2" t="inlineStr">
        <is>
          <t>From Pd(OAc)2, PdCl2 or Pd(OH)2/C; cross-coupling precatalyst or hydrogenation catalyst.</t>
        </is>
      </c>
      <c r="J29" s="2" t="inlineStr">
        <is>
          <t>named and classified by a chemist agent; reviewed by an independent agent; PubChem's title for this SMILES was wrong (Allyl(1,3-bis(2,6-diisopropylphenyl)imidazol-2-ylidene)chloropalladium(II) (CID 105144)): Bare Pd2+. PubChem's CID 105144 is palladium(2+), but its title names an NHC allyl-Pd complex.</t>
        </is>
      </c>
    </row>
    <row r="30">
      <c r="A30" s="3" t="inlineStr">
        <is>
          <t>N</t>
        </is>
      </c>
      <c r="B30" s="2" t="inlineStr">
        <is>
          <t>ammonia</t>
        </is>
      </c>
      <c r="C30" s="2" t="inlineStr">
        <is>
          <t>NH3</t>
        </is>
      </c>
      <c r="D30" s="2" t="inlineStr">
        <is>
          <t>base</t>
        </is>
      </c>
      <c r="E30" s="2" t="inlineStr">
        <is>
          <t>nucleophile</t>
        </is>
      </c>
      <c r="F30" s="2" t="n">
        <v>9.25</v>
      </c>
      <c r="G30" s="2" t="n">
        <v>12207</v>
      </c>
      <c r="H30" s="2" t="inlineStr">
        <is>
          <t>Ammonia (CID 222)</t>
        </is>
      </c>
      <c r="I30" s="2" t="inlineStr">
        <is>
          <t>Base or N-nucleophile (aminations, amides from esters); pKa of NH4+ in water.</t>
        </is>
      </c>
      <c r="J30" s="2" t="inlineStr">
        <is>
          <t>named and classified by a chemist agent; reviewed by an independent agent</t>
        </is>
      </c>
    </row>
    <row r="31">
      <c r="A31" s="3" t="inlineStr">
        <is>
          <t>CN(C)C(On1nnc2cccnc21)=[N+](C)C</t>
        </is>
      </c>
      <c r="B31" s="2" t="inlineStr">
        <is>
          <t>HATU (azabenzotriazolyl tetramethyluronium cation)</t>
        </is>
      </c>
      <c r="C31" s="2" t="inlineStr">
        <is>
          <t>HATU</t>
        </is>
      </c>
      <c r="D31" s="2" t="inlineStr">
        <is>
          <t>coupling reagent (activates an acid)</t>
        </is>
      </c>
      <c r="E31" s="2" t="inlineStr"/>
      <c r="F31" s="2" t="n"/>
      <c r="G31" s="2" t="n">
        <v>11904</v>
      </c>
      <c r="H31" s="2" t="inlineStr">
        <is>
          <t>(Dimethylamino)-N,N-dimethyl(3H-(1,2,3)triazolo(4,5-b)pyridin-3-yloxy)methaniminium (CID 4641409)</t>
        </is>
      </c>
      <c r="I31" s="2" t="inlineStr">
        <is>
          <t>Uronium cation (with PF6-) giving fast, low-racemization amide coupling with DIPEA/Et3N.</t>
        </is>
      </c>
      <c r="J31" s="2" t="inlineStr">
        <is>
          <t>named and classified by a chemist agent; reviewed by an independent agent</t>
        </is>
      </c>
    </row>
    <row r="32">
      <c r="A32" s="3" t="inlineStr">
        <is>
          <t>CN(C)c1ccncc1</t>
        </is>
      </c>
      <c r="B32" s="2" t="inlineStr">
        <is>
          <t>4-dimethylaminopyridine</t>
        </is>
      </c>
      <c r="C32" s="2" t="inlineStr">
        <is>
          <t>DMAP</t>
        </is>
      </c>
      <c r="D32" s="2" t="inlineStr">
        <is>
          <t>additive</t>
        </is>
      </c>
      <c r="E32" s="2" t="inlineStr">
        <is>
          <t>base</t>
        </is>
      </c>
      <c r="F32" s="2" t="n">
        <v>9.6</v>
      </c>
      <c r="G32" s="2" t="n">
        <v>11494</v>
      </c>
      <c r="H32" s="2" t="inlineStr">
        <is>
          <t>4-(Dimethylamino)pyridine (CID 14284)</t>
        </is>
      </c>
      <c r="I32" s="2" t="inlineStr">
        <is>
          <t>Nucleophilic acyl-transfer catalyst for acylations, Steglich esterification and Boc protection; pKa in water.</t>
        </is>
      </c>
      <c r="J32" s="2" t="inlineStr">
        <is>
          <t>named and classified by a chemist agent; reviewed by an independent agent</t>
        </is>
      </c>
    </row>
    <row r="33">
      <c r="A33" s="3" t="inlineStr">
        <is>
          <t>O=S(Cl)Cl</t>
        </is>
      </c>
      <c r="B33" s="2" t="inlineStr">
        <is>
          <t>thionyl chloride</t>
        </is>
      </c>
      <c r="C33" s="2" t="inlineStr">
        <is>
          <t>SOCl2</t>
        </is>
      </c>
      <c r="D33" s="2" t="inlineStr">
        <is>
          <t>halogenating agent</t>
        </is>
      </c>
      <c r="E33" s="2" t="inlineStr">
        <is>
          <t>dehydrating / activating agent</t>
        </is>
      </c>
      <c r="F33" s="2" t="n"/>
      <c r="G33" s="2" t="n">
        <v>11405</v>
      </c>
      <c r="H33" s="2" t="inlineStr">
        <is>
          <t>Thionyl Chloride (CID 24386)</t>
        </is>
      </c>
      <c r="I33" s="2" t="inlineStr">
        <is>
          <t>Converts acids to acyl chlorides and alcohols to chlorides; with MeOH gives methyl esters.</t>
        </is>
      </c>
      <c r="J33" s="2" t="inlineStr">
        <is>
          <t>named and classified by a chemist agent; reviewed by an independent agent</t>
        </is>
      </c>
    </row>
    <row r="34">
      <c r="A34" s="3" t="inlineStr">
        <is>
          <t>[H][H]</t>
        </is>
      </c>
      <c r="B34" s="2" t="inlineStr">
        <is>
          <t>hydrogen</t>
        </is>
      </c>
      <c r="C34" s="2" t="inlineStr">
        <is>
          <t>H2</t>
        </is>
      </c>
      <c r="D34" s="2" t="inlineStr">
        <is>
          <t>reductant</t>
        </is>
      </c>
      <c r="E34" s="2" t="inlineStr">
        <is>
          <t>gas</t>
        </is>
      </c>
      <c r="F34" s="2" t="n"/>
      <c r="G34" s="2" t="n">
        <v>10983</v>
      </c>
      <c r="H34" s="2" t="inlineStr">
        <is>
          <t>Hydrogen (CID 783)</t>
        </is>
      </c>
      <c r="I34" s="2" t="inlineStr">
        <is>
          <t>H2 gas with Pd/C, Pt or Raney Ni for hydrogenation of nitro groups, alkenes, benzyl groups.</t>
        </is>
      </c>
      <c r="J34" s="2" t="inlineStr">
        <is>
          <t>named and classified by a chemist agent; reviewed by an independent agent</t>
        </is>
      </c>
    </row>
    <row r="35">
      <c r="A35" s="3" t="inlineStr">
        <is>
          <t>CC(C)(C)[O-]</t>
        </is>
      </c>
      <c r="B35" s="2" t="inlineStr">
        <is>
          <t>tert-butoxide</t>
        </is>
      </c>
      <c r="C35" s="2" t="inlineStr">
        <is>
          <t>t-BuO- (KOtBu)</t>
        </is>
      </c>
      <c r="D35" s="2" t="inlineStr">
        <is>
          <t>base</t>
        </is>
      </c>
      <c r="E35" s="2" t="inlineStr"/>
      <c r="F35" s="2" t="n">
        <v>17</v>
      </c>
      <c r="G35" s="2" t="n">
        <v>10253</v>
      </c>
      <c r="H35" s="2" t="inlineStr">
        <is>
          <t>2-Methylpropan-2-olate (CID 4574913)</t>
        </is>
      </c>
      <c r="I35" s="2" t="inlineStr">
        <is>
          <t>KOtBu/NaOtBu strong hindered base; pKa of t-BuOH about 17 in water, 32 in DMSO.</t>
        </is>
      </c>
      <c r="J35" s="2" t="inlineStr">
        <is>
          <t>named and classified by a chemist agent; reviewed by an independent agent</t>
        </is>
      </c>
    </row>
    <row r="36">
      <c r="A36" s="3" t="inlineStr">
        <is>
          <t>[Cl][Pd][Cl]</t>
        </is>
      </c>
      <c r="B36" s="2" t="inlineStr">
        <is>
          <t>palladium(II) chloride</t>
        </is>
      </c>
      <c r="C36" s="2" t="inlineStr">
        <is>
          <t>PdCl2</t>
        </is>
      </c>
      <c r="D36" s="2" t="inlineStr">
        <is>
          <t>catalyst (metal)</t>
        </is>
      </c>
      <c r="E36" s="2" t="inlineStr"/>
      <c r="F36" s="2" t="n"/>
      <c r="G36" s="2" t="n">
        <v>10202</v>
      </c>
      <c r="H36" s="2" t="inlineStr">
        <is>
          <t>Palladium Chloride (CID 24290)</t>
        </is>
      </c>
      <c r="I36" s="2" t="inlineStr">
        <is>
          <t>Pd(II) precatalyst; with NaBH4 or H2 for reductions (as here); Wacker oxidation.</t>
        </is>
      </c>
      <c r="J36" s="2" t="inlineStr">
        <is>
          <t>named and classified by a chemist agent; reviewed by an independent agent</t>
        </is>
      </c>
    </row>
    <row r="37">
      <c r="A37" s="3" t="inlineStr">
        <is>
          <t>O=C(/C=C/c1ccccc1)/C=C/c1ccccc1</t>
        </is>
      </c>
      <c r="B37" s="2" t="inlineStr">
        <is>
          <t>dibenzylideneacetone</t>
        </is>
      </c>
      <c r="C37" s="2" t="inlineStr">
        <is>
          <t>dba</t>
        </is>
      </c>
      <c r="D37" s="2" t="inlineStr">
        <is>
          <t>ligand</t>
        </is>
      </c>
      <c r="E37" s="2" t="inlineStr"/>
      <c r="F37" s="2" t="n"/>
      <c r="G37" s="2" t="n">
        <v>9892</v>
      </c>
      <c r="H37" s="2" t="inlineStr">
        <is>
          <t>(1E,4E)-1,5-Diphenyl-1,4-pentadien-3-one (CID 640180)</t>
        </is>
      </c>
      <c r="I37" s="2" t="inlineStr">
        <is>
          <t>Labile ligand of Pd2(dba)3 / Pd(dba)2 Pd(0) sources.</t>
        </is>
      </c>
      <c r="J37" s="2" t="inlineStr">
        <is>
          <t>named and classified by a chemist agent; reviewed by an independent agent</t>
        </is>
      </c>
    </row>
    <row r="38">
      <c r="A38" s="3" t="inlineStr">
        <is>
          <t>CCCC[N+](CCCC)(CCCC)CCCC</t>
        </is>
      </c>
      <c r="B38" s="2" t="inlineStr">
        <is>
          <t>tetrabutylammonium</t>
        </is>
      </c>
      <c r="C38" s="2" t="inlineStr">
        <is>
          <t>TBA+ (Bu4N+)</t>
        </is>
      </c>
      <c r="D38" s="2" t="inlineStr">
        <is>
          <t>phase-transfer catalyst</t>
        </is>
      </c>
      <c r="E38" s="2" t="inlineStr">
        <is>
          <t>counter-ion / spectator ion</t>
        </is>
      </c>
      <c r="F38" s="2" t="n"/>
      <c r="G38" s="2" t="n">
        <v>9659</v>
      </c>
      <c r="H38" s="2" t="inlineStr">
        <is>
          <t>Tetrabutylammonium (CID 16028)</t>
        </is>
      </c>
      <c r="I38" s="2" t="inlineStr">
        <is>
          <t>Cation of TBAF, TBAB, TBAI, TBACl; phase-transfer agent (here for biphasic dithionite reduction).</t>
        </is>
      </c>
      <c r="J38" s="2" t="inlineStr">
        <is>
          <t>named and classified by a chemist agent; reviewed by an independent agent</t>
        </is>
      </c>
    </row>
    <row r="39">
      <c r="A39" s="3" t="inlineStr">
        <is>
          <t>CC(=O)O[BH-](OC(C)=O)OC(C)=O</t>
        </is>
      </c>
      <c r="B39" s="2" t="inlineStr">
        <is>
          <t>triacetoxyborohydride</t>
        </is>
      </c>
      <c r="C39" s="2" t="inlineStr">
        <is>
          <t>NaBH(OAc)3 (STAB)</t>
        </is>
      </c>
      <c r="D39" s="2" t="inlineStr">
        <is>
          <t>reductant</t>
        </is>
      </c>
      <c r="E39" s="2" t="inlineStr"/>
      <c r="F39" s="2" t="n"/>
      <c r="G39" s="2" t="n">
        <v>9344</v>
      </c>
      <c r="H39" s="2" t="inlineStr">
        <is>
          <t>Triacetoxyborohydride (CID 2724942)</t>
        </is>
      </c>
      <c r="I39" s="2" t="inlineStr">
        <is>
          <t>Mild hydride for reductive amination of aldehydes and ketones.</t>
        </is>
      </c>
      <c r="J39" s="2" t="inlineStr">
        <is>
          <t>named and classified by a chemist agent; reviewed by an independent agent</t>
        </is>
      </c>
    </row>
    <row r="40">
      <c r="A40" s="3" t="inlineStr">
        <is>
          <t>[Fe+2]</t>
        </is>
      </c>
      <c r="B40" s="2" t="inlineStr">
        <is>
          <t>iron(II) ion</t>
        </is>
      </c>
      <c r="C40" s="2" t="inlineStr">
        <is>
          <t>Fe2+</t>
        </is>
      </c>
      <c r="D40" s="2" t="inlineStr">
        <is>
          <t>reductant</t>
        </is>
      </c>
      <c r="E40" s="2" t="inlineStr">
        <is>
          <t>counter-ion / spectator ion</t>
        </is>
      </c>
      <c r="F40" s="2" t="n"/>
      <c r="G40" s="2" t="n">
        <v>9338</v>
      </c>
      <c r="H40" s="2" t="inlineStr">
        <is>
          <t>Ferrous cation (CID 27284)</t>
        </is>
      </c>
      <c r="I40" s="2" t="inlineStr">
        <is>
          <t>From FeSO4 (nitro reduction with NH3, as here) or the ferrocene of dppf.</t>
        </is>
      </c>
      <c r="J40" s="2" t="inlineStr">
        <is>
          <t>named and classified by a chemist agent; reviewed by an independent agent</t>
        </is>
      </c>
    </row>
    <row r="41">
      <c r="A41" s="3" t="inlineStr">
        <is>
          <t>NN</t>
        </is>
      </c>
      <c r="B41" s="2" t="inlineStr">
        <is>
          <t>hydrazine</t>
        </is>
      </c>
      <c r="C41" s="2" t="inlineStr">
        <is>
          <t>N2H4</t>
        </is>
      </c>
      <c r="D41" s="2" t="inlineStr">
        <is>
          <t>reductant</t>
        </is>
      </c>
      <c r="E41" s="2" t="inlineStr">
        <is>
          <t>nucleophile</t>
        </is>
      </c>
      <c r="F41" s="2" t="n"/>
      <c r="G41" s="2" t="n">
        <v>9085</v>
      </c>
      <c r="H41" s="2" t="inlineStr">
        <is>
          <t>Hydrazine (CID 9321)</t>
        </is>
      </c>
      <c r="I41" s="2" t="inlineStr">
        <is>
          <t>Transfer hydrogenation with Pd/C or Raney Ni (as here), Wolff-Kishner, hydrazides/pyrazoles, phthalimide cleavage.</t>
        </is>
      </c>
      <c r="J41" s="2" t="inlineStr">
        <is>
          <t>named and classified by a chemist agent; reviewed by an independent agent</t>
        </is>
      </c>
    </row>
    <row r="42">
      <c r="A42" s="3" t="inlineStr">
        <is>
          <t>[F-]</t>
        </is>
      </c>
      <c r="B42" s="2" t="inlineStr">
        <is>
          <t>fluoride</t>
        </is>
      </c>
      <c r="C42" s="2" t="inlineStr">
        <is>
          <t>F-</t>
        </is>
      </c>
      <c r="D42" s="2" t="inlineStr">
        <is>
          <t>deprotecting agent</t>
        </is>
      </c>
      <c r="E42" s="2" t="inlineStr">
        <is>
          <t>base</t>
        </is>
      </c>
      <c r="F42" s="2" t="n">
        <v>3.2</v>
      </c>
      <c r="G42" s="2" t="n">
        <v>9059</v>
      </c>
      <c r="H42" s="2" t="inlineStr">
        <is>
          <t>Fluoride Ion (CID 28179)</t>
        </is>
      </c>
      <c r="I42" s="2" t="inlineStr">
        <is>
          <t>TBAF/KF/CsF remove silyl groups, act as base in Suzuki couplings, and KF aids tin workup; pKa of HF in water.</t>
        </is>
      </c>
      <c r="J42" s="2" t="inlineStr">
        <is>
          <t>named and classified by a chemist agent; reviewed by an independent agent</t>
        </is>
      </c>
    </row>
    <row r="43">
      <c r="A43" s="3" t="inlineStr">
        <is>
          <t>c1ccc(P(c2ccccc2)[c-]2cccc2)cc1</t>
        </is>
      </c>
      <c r="B43" s="2" t="inlineStr">
        <is>
          <t>(diphenylphosphino)cyclopentadienide (half of dppf)</t>
        </is>
      </c>
      <c r="C43" s="2" t="inlineStr">
        <is>
          <t>dppf</t>
        </is>
      </c>
      <c r="D43" s="2" t="inlineStr">
        <is>
          <t>ligand</t>
        </is>
      </c>
      <c r="E43" s="2" t="inlineStr"/>
      <c r="F43" s="2" t="n"/>
      <c r="G43" s="2" t="n">
        <v>8868</v>
      </c>
      <c r="H43" s="2" t="inlineStr"/>
      <c r="I43" s="2" t="inlineStr">
        <is>
          <t>Fragment of dppf (with Fe2+); ligand of Pd(dppf)Cl2 for Suzuki couplings.</t>
        </is>
      </c>
      <c r="J43" s="2" t="inlineStr">
        <is>
          <t>named and classified by a chemist agent; reviewed by an independent agent</t>
        </is>
      </c>
    </row>
    <row r="44">
      <c r="A44" s="3" t="inlineStr">
        <is>
          <t>[Br-]</t>
        </is>
      </c>
      <c r="B44" s="2" t="inlineStr">
        <is>
          <t>bromide</t>
        </is>
      </c>
      <c r="C44" s="2" t="inlineStr">
        <is>
          <t>Br-</t>
        </is>
      </c>
      <c r="D44" s="2" t="inlineStr">
        <is>
          <t>counter-ion / spectator ion</t>
        </is>
      </c>
      <c r="E44" s="2" t="inlineStr"/>
      <c r="F44" s="2" t="n"/>
      <c r="G44" s="2" t="n">
        <v>8653</v>
      </c>
      <c r="H44" s="2" t="inlineStr">
        <is>
          <t>Bromide ion (CID 259)</t>
        </is>
      </c>
      <c r="I44" s="2" t="inlineStr">
        <is>
          <t>Spectator anion from NH4Br, TBAB, KBr, ZnBr2.</t>
        </is>
      </c>
      <c r="J44" s="2" t="inlineStr">
        <is>
          <t>named and classified by a chemist agent; reviewed by an independent agent</t>
        </is>
      </c>
    </row>
    <row r="45">
      <c r="A45" s="3" t="inlineStr">
        <is>
          <t>[Cu][I]</t>
        </is>
      </c>
      <c r="B45" s="2" t="inlineStr">
        <is>
          <t>copper(I) iodide</t>
        </is>
      </c>
      <c r="C45" s="2" t="inlineStr">
        <is>
          <t>CuI</t>
        </is>
      </c>
      <c r="D45" s="2" t="inlineStr">
        <is>
          <t>catalyst (metal)</t>
        </is>
      </c>
      <c r="E45" s="2" t="inlineStr"/>
      <c r="F45" s="2" t="n"/>
      <c r="G45" s="2" t="n">
        <v>8611</v>
      </c>
      <c r="H45" s="2" t="inlineStr">
        <is>
          <t>Copper(1+) iodide; Copper(I) iodide; Cuprous iodide; Cuprous iodide (CuI) (CID 24350)</t>
        </is>
      </c>
      <c r="I45" s="2" t="inlineStr">
        <is>
          <t>Cu catalyst for Ullmann/Goldberg C-N coupling (with diamine ligand, as here), Sonogashira co-catalyst, click chemistry.</t>
        </is>
      </c>
      <c r="J45" s="2" t="inlineStr">
        <is>
          <t>named and classified by a chemist agent; reviewed by an independent agent</t>
        </is>
      </c>
    </row>
    <row r="46">
      <c r="A46" s="3" t="inlineStr">
        <is>
          <t>O=P([O-])([O-])[O-]</t>
        </is>
      </c>
      <c r="B46" s="2" t="inlineStr">
        <is>
          <t>phosphate</t>
        </is>
      </c>
      <c r="C46" s="2" t="inlineStr">
        <is>
          <t>PO4(3-)</t>
        </is>
      </c>
      <c r="D46" s="2" t="inlineStr">
        <is>
          <t>base</t>
        </is>
      </c>
      <c r="E46" s="2" t="inlineStr"/>
      <c r="F46" s="2" t="n">
        <v>12.3</v>
      </c>
      <c r="G46" s="2" t="n">
        <v>8242</v>
      </c>
      <c r="H46" s="2" t="inlineStr">
        <is>
          <t>Phosphate (CID 1061)</t>
        </is>
      </c>
      <c r="I46" s="2" t="inlineStr">
        <is>
          <t>K3PO4 base for Suzuki/Buchwald couplings; phosphate buffers for enzymatic hydrolysis (as here); pKa of HPO4(2-) in water.</t>
        </is>
      </c>
      <c r="J46" s="2" t="inlineStr">
        <is>
          <t>named and classified by a chemist agent; reviewed by an independent agent</t>
        </is>
      </c>
    </row>
    <row r="47">
      <c r="A47" s="3" t="inlineStr">
        <is>
          <t>O=P(Cl)(Cl)Cl</t>
        </is>
      </c>
      <c r="B47" s="2" t="inlineStr">
        <is>
          <t>phosphorus oxychloride</t>
        </is>
      </c>
      <c r="C47" s="2" t="inlineStr">
        <is>
          <t>POCl3</t>
        </is>
      </c>
      <c r="D47" s="2" t="inlineStr">
        <is>
          <t>dehydrating / activating agent</t>
        </is>
      </c>
      <c r="E47" s="2" t="inlineStr">
        <is>
          <t>halogenating agent</t>
        </is>
      </c>
      <c r="F47" s="2" t="n"/>
      <c r="G47" s="2" t="n">
        <v>8086</v>
      </c>
      <c r="H47" s="2" t="inlineStr">
        <is>
          <t>Phosphorus oxychloride (CID 24813)</t>
        </is>
      </c>
      <c r="I47" s="2" t="inlineStr">
        <is>
          <t>Cyclodehydration (benzimidazole here), amide to nitrile, Vilsmeier formylation, hydroxy-heteroarene to chloride.</t>
        </is>
      </c>
      <c r="J47" s="2" t="inlineStr">
        <is>
          <t>named and classified by a chemist agent; reviewed by an independent agent</t>
        </is>
      </c>
    </row>
    <row r="48">
      <c r="A48" s="3" t="inlineStr">
        <is>
          <t>CI</t>
        </is>
      </c>
      <c r="B48" s="2" t="inlineStr">
        <is>
          <t>iodomethane</t>
        </is>
      </c>
      <c r="C48" s="2" t="inlineStr">
        <is>
          <t>MeI</t>
        </is>
      </c>
      <c r="D48" s="2" t="inlineStr">
        <is>
          <t>electrophile / alkylating agent</t>
        </is>
      </c>
      <c r="E48" s="2" t="inlineStr"/>
      <c r="F48" s="2" t="n"/>
      <c r="G48" s="2" t="n">
        <v>7499</v>
      </c>
      <c r="H48" s="2" t="inlineStr">
        <is>
          <t>Methyl iodide (CID 6328)</t>
        </is>
      </c>
      <c r="I48" s="2" t="inlineStr">
        <is>
          <t>SN2 methylating agent for N, O, S, C nucleophiles (with NaH or K2CO3).</t>
        </is>
      </c>
      <c r="J48" s="2" t="inlineStr">
        <is>
          <t>named and classified by a chemist agent; reviewed by an independent agent</t>
        </is>
      </c>
    </row>
    <row r="49">
      <c r="A49" s="3" t="inlineStr">
        <is>
          <t>Cc1ccc(S(=O)(=O)O)cc1</t>
        </is>
      </c>
      <c r="B49" s="2" t="inlineStr">
        <is>
          <t>p-toluenesulfonic acid</t>
        </is>
      </c>
      <c r="C49" s="2" t="inlineStr">
        <is>
          <t>TsOH (PTSA)</t>
        </is>
      </c>
      <c r="D49" s="2" t="inlineStr">
        <is>
          <t>acid</t>
        </is>
      </c>
      <c r="E49" s="2" t="inlineStr"/>
      <c r="F49" s="2" t="n"/>
      <c r="G49" s="2" t="n">
        <v>7427</v>
      </c>
      <c r="H49" s="2" t="inlineStr">
        <is>
          <t>p-Toluenesulfonic acid (CID 6101)</t>
        </is>
      </c>
      <c r="I49" s="2" t="inlineStr">
        <is>
          <t>Strong organic acid catalyst (acetals, esterification, dehydration); pKa about -2.8.</t>
        </is>
      </c>
      <c r="J49" s="2" t="inlineStr">
        <is>
          <t>named and classified by a chemist agent; reviewed by an independent agent</t>
        </is>
      </c>
    </row>
    <row r="50">
      <c r="A50" s="3" t="inlineStr">
        <is>
          <t>Br</t>
        </is>
      </c>
      <c r="B50" s="2" t="inlineStr">
        <is>
          <t>hydrogen bromide</t>
        </is>
      </c>
      <c r="C50" s="2" t="inlineStr">
        <is>
          <t>HBr</t>
        </is>
      </c>
      <c r="D50" s="2" t="inlineStr">
        <is>
          <t>acid</t>
        </is>
      </c>
      <c r="E50" s="2" t="inlineStr">
        <is>
          <t>deprotecting agent</t>
        </is>
      </c>
      <c r="F50" s="2" t="n"/>
      <c r="G50" s="2" t="n">
        <v>6818</v>
      </c>
      <c r="H50" s="2" t="inlineStr">
        <is>
          <t>Hydrogen Bromide (CID 260)</t>
        </is>
      </c>
      <c r="I50" s="2" t="inlineStr">
        <is>
          <t>Strong acid; ether cleavage, Cbz removal (HBr/AcOH), salt formation.</t>
        </is>
      </c>
      <c r="J50" s="2" t="inlineStr">
        <is>
          <t>named and classified by a chemist agent; reviewed by an independent agent</t>
        </is>
      </c>
    </row>
    <row r="51">
      <c r="A51" s="3" t="inlineStr">
        <is>
          <t>NO</t>
        </is>
      </c>
      <c r="B51" s="2" t="inlineStr">
        <is>
          <t>hydroxylamine</t>
        </is>
      </c>
      <c r="C51" s="2" t="inlineStr">
        <is>
          <t>NH2OH</t>
        </is>
      </c>
      <c r="D51" s="2" t="inlineStr">
        <is>
          <t>nucleophile</t>
        </is>
      </c>
      <c r="E51" s="2" t="inlineStr"/>
      <c r="F51" s="2" t="n"/>
      <c r="G51" s="2" t="n">
        <v>6661</v>
      </c>
      <c r="H51" s="2" t="inlineStr">
        <is>
          <t>Hydroxylamine (CID 787)</t>
        </is>
      </c>
      <c r="I51" s="2" t="inlineStr">
        <is>
          <t>Forms oximes, hydroxamic acids and amidoximes from nitriles.</t>
        </is>
      </c>
      <c r="J51" s="2" t="inlineStr">
        <is>
          <t>named and classified by a chemist agent; reviewed by an independent agent</t>
        </is>
      </c>
    </row>
    <row r="52">
      <c r="A52" s="3" t="inlineStr">
        <is>
          <t>[Cl][Pd]([Cl])([P](c1ccccc1)(c1ccccc1)c1ccccc1)[P](c1ccccc1)(c1ccccc1)c1ccccc1</t>
        </is>
      </c>
      <c r="B52" s="2" t="inlineStr">
        <is>
          <t>bis(triphenylphosphine)palladium(II) dichloride</t>
        </is>
      </c>
      <c r="C52" s="2" t="inlineStr">
        <is>
          <t>PdCl2(PPh3)2</t>
        </is>
      </c>
      <c r="D52" s="2" t="inlineStr">
        <is>
          <t>catalyst (metal)</t>
        </is>
      </c>
      <c r="E52" s="2" t="inlineStr"/>
      <c r="F52" s="2" t="n"/>
      <c r="G52" s="2" t="n">
        <v>6404</v>
      </c>
      <c r="H52" s="2" t="inlineStr">
        <is>
          <t>Bis(triphenylphosphine)palladium(II) dichloride (CID 6332635)</t>
        </is>
      </c>
      <c r="I52" s="2" t="inlineStr">
        <is>
          <t>Pd(II) precatalyst for Sonogashira, Suzuki, Stille couplings.</t>
        </is>
      </c>
      <c r="J52" s="2" t="inlineStr">
        <is>
          <t>named and classified by a chemist agent; reviewed by an independent agent</t>
        </is>
      </c>
    </row>
    <row r="53">
      <c r="A53" s="3" t="inlineStr">
        <is>
          <t>F[B-](F)(F)F</t>
        </is>
      </c>
      <c r="B53" s="2" t="inlineStr">
        <is>
          <t>tetrafluoroborate</t>
        </is>
      </c>
      <c r="C53" s="2" t="inlineStr">
        <is>
          <t>BF4-</t>
        </is>
      </c>
      <c r="D53" s="2" t="inlineStr">
        <is>
          <t>counter-ion / spectator ion</t>
        </is>
      </c>
      <c r="E53" s="2" t="inlineStr"/>
      <c r="F53" s="2" t="n"/>
      <c r="G53" s="2" t="n">
        <v>5950</v>
      </c>
      <c r="H53" s="2" t="inlineStr">
        <is>
          <t>Tetrafluoroborate (CID 26255)</t>
        </is>
      </c>
      <c r="I53" s="2" t="inlineStr">
        <is>
          <t>Anion of TBTU/TOTU/TSTU coupling reagents (TOTU here), diazonium and other salts.</t>
        </is>
      </c>
      <c r="J53" s="2" t="inlineStr">
        <is>
          <t>named and classified by a chemist agent; reviewed by an independent agent</t>
        </is>
      </c>
    </row>
    <row r="54">
      <c r="A54" s="3" t="inlineStr">
        <is>
          <t>[Na]</t>
        </is>
      </c>
      <c r="B54" s="2" t="inlineStr">
        <is>
          <t>sodium (metal)</t>
        </is>
      </c>
      <c r="C54" s="2" t="inlineStr">
        <is>
          <t>Na</t>
        </is>
      </c>
      <c r="D54" s="2" t="inlineStr">
        <is>
          <t>reductant</t>
        </is>
      </c>
      <c r="E54" s="2" t="inlineStr">
        <is>
          <t>base</t>
        </is>
      </c>
      <c r="F54" s="2" t="n"/>
      <c r="G54" s="2" t="n">
        <v>5859</v>
      </c>
      <c r="H54" s="2" t="inlineStr">
        <is>
          <t>Sodium (CID 5360545)</t>
        </is>
      </c>
      <c r="I54" s="2" t="inlineStr">
        <is>
          <t>Dissolving-metal reductions (Birch), alkoxide and NaHMDS generation.</t>
        </is>
      </c>
      <c r="J54" s="2" t="inlineStr">
        <is>
          <t>named and classified by a chemist agent; reviewed by an independent agent</t>
        </is>
      </c>
    </row>
    <row r="55">
      <c r="A55" s="3" t="inlineStr">
        <is>
          <t>O=C(Cl)C(=O)Cl</t>
        </is>
      </c>
      <c r="B55" s="2" t="inlineStr">
        <is>
          <t>oxalyl chloride</t>
        </is>
      </c>
      <c r="C55" s="2" t="inlineStr">
        <is>
          <t>(COCl)2</t>
        </is>
      </c>
      <c r="D55" s="2" t="inlineStr">
        <is>
          <t>halogenating agent</t>
        </is>
      </c>
      <c r="E55" s="2" t="inlineStr">
        <is>
          <t>dehydrating / activating agent</t>
        </is>
      </c>
      <c r="F55" s="2" t="n"/>
      <c r="G55" s="2" t="n">
        <v>5673</v>
      </c>
      <c r="H55" s="2" t="inlineStr">
        <is>
          <t>Oxalyl chloride (CID 65578)</t>
        </is>
      </c>
      <c r="I55" s="2" t="inlineStr">
        <is>
          <t>Makes acyl chlorides (cat. DMF, as here); activates DMSO in Swern oxidation.</t>
        </is>
      </c>
      <c r="J55" s="2" t="inlineStr">
        <is>
          <t>named and classified by a chemist agent; reviewed by an independent agent</t>
        </is>
      </c>
    </row>
    <row r="56">
      <c r="A56" s="3" t="inlineStr">
        <is>
          <t>CN(C)C(On1nnc2ccccc21)=[N+](C)C</t>
        </is>
      </c>
      <c r="B56" s="2" t="inlineStr">
        <is>
          <t>HBTU (benzotriazolyl tetramethyluronium cation)</t>
        </is>
      </c>
      <c r="C56" s="2" t="inlineStr">
        <is>
          <t>HBTU</t>
        </is>
      </c>
      <c r="D56" s="2" t="inlineStr">
        <is>
          <t>coupling reagent (activates an acid)</t>
        </is>
      </c>
      <c r="E56" s="2" t="inlineStr"/>
      <c r="F56" s="2" t="n"/>
      <c r="G56" s="2" t="n">
        <v>5533</v>
      </c>
      <c r="H56" s="2" t="inlineStr">
        <is>
          <t>O-benzotriazol-1-yl-tetramethyluronium (CID 130500)</t>
        </is>
      </c>
      <c r="I56" s="2" t="inlineStr">
        <is>
          <t>Uronium cation (with PF6-; TBTU with BF4-) for amide coupling with amine bases.</t>
        </is>
      </c>
      <c r="J56" s="2" t="inlineStr">
        <is>
          <t>named and classified by a chemist agent; reviewed by an independent agent</t>
        </is>
      </c>
    </row>
    <row r="57">
      <c r="A57" s="3" t="inlineStr">
        <is>
          <t>C[O-]</t>
        </is>
      </c>
      <c r="B57" s="2" t="inlineStr">
        <is>
          <t>methoxide</t>
        </is>
      </c>
      <c r="C57" s="2" t="inlineStr">
        <is>
          <t>MeO- (NaOMe)</t>
        </is>
      </c>
      <c r="D57" s="2" t="inlineStr">
        <is>
          <t>base</t>
        </is>
      </c>
      <c r="E57" s="2" t="inlineStr">
        <is>
          <t>nucleophile</t>
        </is>
      </c>
      <c r="F57" s="2" t="n">
        <v>15.5</v>
      </c>
      <c r="G57" s="2" t="n">
        <v>5431</v>
      </c>
      <c r="H57" s="2" t="inlineStr">
        <is>
          <t>Methoxide (CID 3826051)</t>
        </is>
      </c>
      <c r="I57" s="2" t="inlineStr">
        <is>
          <t>NaOMe for transesterification, SNAr methoxylation, condensations; pKa of MeOH 15.5 water, 29 DMSO.</t>
        </is>
      </c>
      <c r="J57" s="2" t="inlineStr">
        <is>
          <t>named and classified by a chemist agent; reviewed by an independent agent</t>
        </is>
      </c>
    </row>
    <row r="58">
      <c r="A58" s="3" t="inlineStr">
        <is>
          <t>BrBr</t>
        </is>
      </c>
      <c r="B58" s="2" t="inlineStr">
        <is>
          <t>bromine</t>
        </is>
      </c>
      <c r="C58" s="2" t="inlineStr">
        <is>
          <t>Br2</t>
        </is>
      </c>
      <c r="D58" s="2" t="inlineStr">
        <is>
          <t>halogenating agent</t>
        </is>
      </c>
      <c r="E58" s="2" t="inlineStr"/>
      <c r="F58" s="2" t="n"/>
      <c r="G58" s="2" t="n">
        <v>5359</v>
      </c>
      <c r="H58" s="2" t="inlineStr">
        <is>
          <t>Bromine (CID 24408)</t>
        </is>
      </c>
      <c r="I58" s="2" t="inlineStr">
        <is>
          <t>Electrophilic bromination of arenes/anilines, alkenes and alpha-carbonyls.</t>
        </is>
      </c>
      <c r="J58" s="2" t="inlineStr">
        <is>
          <t>named and classified by a chemist agent; reviewed by an independent agent</t>
        </is>
      </c>
    </row>
    <row r="59">
      <c r="A59" s="3" t="inlineStr">
        <is>
          <t>[N-]=[N+]=[N-]</t>
        </is>
      </c>
      <c r="B59" s="2" t="inlineStr">
        <is>
          <t>azide</t>
        </is>
      </c>
      <c r="C59" s="2" t="inlineStr">
        <is>
          <t>N3- (NaN3)</t>
        </is>
      </c>
      <c r="D59" s="2" t="inlineStr">
        <is>
          <t>nucleophile</t>
        </is>
      </c>
      <c r="E59" s="2" t="inlineStr"/>
      <c r="F59" s="2" t="n"/>
      <c r="G59" s="2" t="n">
        <v>5219</v>
      </c>
      <c r="H59" s="2" t="inlineStr">
        <is>
          <t>Azide (CID 33558)</t>
        </is>
      </c>
      <c r="I59" s="2" t="inlineStr">
        <is>
          <t>NaN3 for SN2 azidation, tetrazoles from nitriles; with NaI in DMF here it acts as a soft nucleophile cleaving an aryl methyl ether.</t>
        </is>
      </c>
      <c r="J59" s="2" t="inlineStr">
        <is>
          <t>named and classified by a chemist agent; reviewed by an independent agent</t>
        </is>
      </c>
    </row>
    <row r="60">
      <c r="A60" s="3" t="inlineStr">
        <is>
          <t>[BH3-]C#N</t>
        </is>
      </c>
      <c r="B60" s="2" t="inlineStr">
        <is>
          <t>cyanoborohydride</t>
        </is>
      </c>
      <c r="C60" s="2" t="inlineStr">
        <is>
          <t>NaBH3CN</t>
        </is>
      </c>
      <c r="D60" s="2" t="inlineStr">
        <is>
          <t>reductant</t>
        </is>
      </c>
      <c r="E60" s="2" t="inlineStr"/>
      <c r="F60" s="2" t="n"/>
      <c r="G60" s="2" t="n">
        <v>5176</v>
      </c>
      <c r="H60" s="2" t="inlineStr">
        <is>
          <t>Cyano-borohydride (CID 498716)</t>
        </is>
      </c>
      <c r="I60" s="2" t="inlineStr">
        <is>
          <t>Mild acid-stable hydride for reductive amination; with NiCl2 reduces nitro groups (as here).</t>
        </is>
      </c>
      <c r="J60" s="2" t="inlineStr">
        <is>
          <t>named and classified by a chemist agent; reviewed by an independent agent</t>
        </is>
      </c>
    </row>
    <row r="61">
      <c r="A61" s="3" t="inlineStr">
        <is>
          <t>CN1CCOCC1</t>
        </is>
      </c>
      <c r="B61" s="2" t="inlineStr">
        <is>
          <t>N-methylmorpholine</t>
        </is>
      </c>
      <c r="C61" s="2" t="inlineStr">
        <is>
          <t>NMM</t>
        </is>
      </c>
      <c r="D61" s="2" t="inlineStr">
        <is>
          <t>base</t>
        </is>
      </c>
      <c r="E61" s="2" t="inlineStr"/>
      <c r="F61" s="2" t="n">
        <v>7.4</v>
      </c>
      <c r="G61" s="2" t="n">
        <v>4997</v>
      </c>
      <c r="H61" s="2" t="inlineStr">
        <is>
          <t>4-Methylmorpholine (CID 7972)</t>
        </is>
      </c>
      <c r="I61" s="2" t="inlineStr">
        <is>
          <t>Mild amine base for peptide couplings and mixed-anhydride activations; pKa in water.</t>
        </is>
      </c>
      <c r="J61" s="2" t="inlineStr">
        <is>
          <t>named and classified by a chemist agent; reviewed by an independent agent</t>
        </is>
      </c>
    </row>
    <row r="62">
      <c r="A62" s="3" t="inlineStr">
        <is>
          <t>O=N[O-]</t>
        </is>
      </c>
      <c r="B62" s="2" t="inlineStr">
        <is>
          <t>nitrite</t>
        </is>
      </c>
      <c r="C62" s="2" t="inlineStr">
        <is>
          <t>NO2- (NaNO2)</t>
        </is>
      </c>
      <c r="D62" s="2" t="inlineStr">
        <is>
          <t>reactant (inorganic)</t>
        </is>
      </c>
      <c r="E62" s="2" t="inlineStr">
        <is>
          <t>electrophile / alkylating agent</t>
        </is>
      </c>
      <c r="F62" s="2" t="n"/>
      <c r="G62" s="2" t="n">
        <v>4902</v>
      </c>
      <c r="H62" s="2" t="inlineStr">
        <is>
          <t>Nitrite (CID 946)</t>
        </is>
      </c>
      <c r="I62" s="2" t="inlineStr">
        <is>
          <t>NaNO2 with acid gives HONO/NO+ for diazotization (Sandmeyer) and N-nitrosation.</t>
        </is>
      </c>
      <c r="J62" s="2" t="inlineStr">
        <is>
          <t>named and classified by a chemist agent; reviewed by an independent agent</t>
        </is>
      </c>
    </row>
    <row r="63">
      <c r="A63" s="3" t="inlineStr">
        <is>
          <t>C[Si](C)(C)[N-][Si](C)(C)C</t>
        </is>
      </c>
      <c r="B63" s="2" t="inlineStr">
        <is>
          <t>bis(trimethylsilyl)amide</t>
        </is>
      </c>
      <c r="C63" s="2" t="inlineStr">
        <is>
          <t>HMDS- (LiHMDS/NaHMDS/KHMDS)</t>
        </is>
      </c>
      <c r="D63" s="2" t="inlineStr">
        <is>
          <t>base</t>
        </is>
      </c>
      <c r="E63" s="2" t="inlineStr"/>
      <c r="F63" s="2" t="n">
        <v>26</v>
      </c>
      <c r="G63" s="2" t="n">
        <v>4750</v>
      </c>
      <c r="H63" s="2" t="inlineStr"/>
      <c r="I63" s="2" t="inlineStr">
        <is>
          <t>Strong non-nucleophilic base for enolate formation and N-deprotonation; pKa of HN(SiMe3)2 about 26 in THF (about 30 in DMSO).</t>
        </is>
      </c>
      <c r="J63" s="2" t="inlineStr">
        <is>
          <t>named and classified by a chemist agent; reviewed by an independent agent; corrected notes (The commonly quoted value of about 26 (25.8) for hexamethyldisilazane was measured in THF. Bordwell's DMSO value is about 30 (29.5-30), so labelling 26 as the D)</t>
        </is>
      </c>
    </row>
    <row r="64">
      <c r="A64" s="3" t="inlineStr">
        <is>
          <t>OO</t>
        </is>
      </c>
      <c r="B64" s="2" t="inlineStr">
        <is>
          <t>hydrogen peroxide</t>
        </is>
      </c>
      <c r="C64" s="2" t="inlineStr">
        <is>
          <t>H2O2</t>
        </is>
      </c>
      <c r="D64" s="2" t="inlineStr">
        <is>
          <t>oxidant</t>
        </is>
      </c>
      <c r="E64" s="2" t="inlineStr"/>
      <c r="F64" s="2" t="n"/>
      <c r="G64" s="2" t="n">
        <v>4589</v>
      </c>
      <c r="H64" s="2" t="inlineStr"/>
      <c r="I64" s="2" t="inlineStr">
        <is>
          <t>Oxidizes boranes (hydroboration workup), sulfides, amines to N-oxides; Baeyer-Villiger and Dakin.</t>
        </is>
      </c>
      <c r="J64" s="2" t="inlineStr">
        <is>
          <t>named and classified by a chemist agent; reviewed by an independent agent</t>
        </is>
      </c>
    </row>
    <row r="65">
      <c r="A65" s="3" t="inlineStr">
        <is>
          <t>BrB(Br)Br</t>
        </is>
      </c>
      <c r="B65" s="2" t="inlineStr">
        <is>
          <t>boron tribromide</t>
        </is>
      </c>
      <c r="C65" s="2" t="inlineStr">
        <is>
          <t>BBr3</t>
        </is>
      </c>
      <c r="D65" s="2" t="inlineStr">
        <is>
          <t>deprotecting agent</t>
        </is>
      </c>
      <c r="E65" s="2" t="inlineStr">
        <is>
          <t>Lewis acid</t>
        </is>
      </c>
      <c r="F65" s="2" t="n"/>
      <c r="G65" s="2" t="n">
        <v>4224</v>
      </c>
      <c r="H65" s="2" t="inlineStr">
        <is>
          <t>Boron tribromide (CID 25134)</t>
        </is>
      </c>
      <c r="I65" s="2" t="inlineStr">
        <is>
          <t>Cleaves aryl methyl ethers and esters (here methyl ester to acid) in CH2Cl2.</t>
        </is>
      </c>
      <c r="J65" s="2" t="inlineStr">
        <is>
          <t>named and classified by a chemist agent; reviewed by an independent agent</t>
        </is>
      </c>
    </row>
    <row r="66">
      <c r="A66" s="3" t="inlineStr">
        <is>
          <t>[Fe]</t>
        </is>
      </c>
      <c r="B66" s="2" t="inlineStr">
        <is>
          <t>iron</t>
        </is>
      </c>
      <c r="C66" s="2" t="inlineStr">
        <is>
          <t>Fe</t>
        </is>
      </c>
      <c r="D66" s="2" t="inlineStr">
        <is>
          <t>reductant</t>
        </is>
      </c>
      <c r="E66" s="2" t="inlineStr"/>
      <c r="F66" s="2" t="n"/>
      <c r="G66" s="2" t="n">
        <v>4189</v>
      </c>
      <c r="H66" s="2" t="inlineStr">
        <is>
          <t>Iron (CID 23925)</t>
        </is>
      </c>
      <c r="I66" s="2" t="inlineStr">
        <is>
          <t>Fe powder with NH4Cl, AcOH or HCl (Bechamp) reduces nitroarenes chemoselectively to anilines, sparing halides.</t>
        </is>
      </c>
      <c r="J66" s="2" t="inlineStr">
        <is>
          <t>named and classified by a chemist agent; reviewed by an independent agent</t>
        </is>
      </c>
    </row>
    <row r="67">
      <c r="A67" s="3" t="inlineStr">
        <is>
          <t>O=S(=O)([O-])[O-]</t>
        </is>
      </c>
      <c r="B67" s="2" t="inlineStr">
        <is>
          <t>sulfate</t>
        </is>
      </c>
      <c r="C67" s="2" t="inlineStr">
        <is>
          <t>SO4(2-)</t>
        </is>
      </c>
      <c r="D67" s="2" t="inlineStr">
        <is>
          <t>counter-ion / spectator ion</t>
        </is>
      </c>
      <c r="E67" s="2" t="inlineStr">
        <is>
          <t>drying agent</t>
        </is>
      </c>
      <c r="F67" s="2" t="n"/>
      <c r="G67" s="2" t="n">
        <v>4146</v>
      </c>
      <c r="H67" s="2" t="inlineStr">
        <is>
          <t>Sulfate Ion (CID 1117)</t>
        </is>
      </c>
      <c r="I67" s="2" t="inlineStr">
        <is>
          <t>From Na2SO4/MgSO4 (drying), FeSO4, CuSO4, ammonium sulfate.</t>
        </is>
      </c>
      <c r="J67" s="2" t="inlineStr">
        <is>
          <t>named and classified by a chemist agent; reviewed by an independent agent</t>
        </is>
      </c>
    </row>
    <row r="68">
      <c r="A68" s="3" t="inlineStr">
        <is>
          <t>C1CCC2=NCCCN2CC1</t>
        </is>
      </c>
      <c r="B68" s="2" t="inlineStr">
        <is>
          <t>1,8-diazabicyclo[5.4.0]undec-7-ene</t>
        </is>
      </c>
      <c r="C68" s="2" t="inlineStr">
        <is>
          <t>DBU</t>
        </is>
      </c>
      <c r="D68" s="2" t="inlineStr">
        <is>
          <t>base</t>
        </is>
      </c>
      <c r="E68" s="2" t="inlineStr"/>
      <c r="F68" s="2" t="n">
        <v>12</v>
      </c>
      <c r="G68" s="2" t="n">
        <v>4105</v>
      </c>
      <c r="H68" s="2" t="inlineStr">
        <is>
          <t>1,8-Diazabicyclo(5.4.0)undec-7-ene (CID 81184)</t>
        </is>
      </c>
      <c r="I68" s="2" t="inlineStr">
        <is>
          <t>Amidine non-nucleophilic base for eliminations, cyclizations (carbamate here), acylations; pKa about 12 water, 24 MeCN.</t>
        </is>
      </c>
      <c r="J68" s="2" t="inlineStr">
        <is>
          <t>named and classified by a chemist agent; reviewed by an independent agent</t>
        </is>
      </c>
    </row>
    <row r="69">
      <c r="A69" s="3" t="inlineStr">
        <is>
          <t>[Zn+2]</t>
        </is>
      </c>
      <c r="B69" s="2" t="inlineStr">
        <is>
          <t>zinc ion</t>
        </is>
      </c>
      <c r="C69" s="2" t="inlineStr">
        <is>
          <t>Zn2+</t>
        </is>
      </c>
      <c r="D69" s="2" t="inlineStr">
        <is>
          <t>Lewis acid</t>
        </is>
      </c>
      <c r="E69" s="2" t="inlineStr">
        <is>
          <t>counter-ion / spectator ion</t>
        </is>
      </c>
      <c r="F69" s="2" t="n"/>
      <c r="G69" s="2" t="n">
        <v>4038</v>
      </c>
      <c r="H69" s="2" t="inlineStr">
        <is>
          <t>Zinc(2+) (CID 32051)</t>
        </is>
      </c>
      <c r="I69" s="2" t="inlineStr">
        <is>
          <t>From ZnBr2 (additive suppressing dehalogenation here), ZnCl2, Zn(OTf)2, Zn(CN)2.</t>
        </is>
      </c>
      <c r="J69" s="2" t="inlineStr">
        <is>
          <t>named and classified by a chemist agent; reviewed by an independent agent</t>
        </is>
      </c>
    </row>
    <row r="70">
      <c r="A70" s="3" t="inlineStr">
        <is>
          <t>[Zn]</t>
        </is>
      </c>
      <c r="B70" s="2" t="inlineStr">
        <is>
          <t>zinc</t>
        </is>
      </c>
      <c r="C70" s="2" t="inlineStr">
        <is>
          <t>Zn</t>
        </is>
      </c>
      <c r="D70" s="2" t="inlineStr">
        <is>
          <t>reductant</t>
        </is>
      </c>
      <c r="E70" s="2" t="inlineStr"/>
      <c r="F70" s="2" t="n"/>
      <c r="G70" s="2" t="n">
        <v>4010</v>
      </c>
      <c r="H70" s="2" t="inlineStr">
        <is>
          <t>Zinc (CID 23994)</t>
        </is>
      </c>
      <c r="I70" s="2" t="inlineStr">
        <is>
          <t>Zn dust with HCl, AcOH or NH4Cl reduces nitro groups; forms organozincs.</t>
        </is>
      </c>
      <c r="J70" s="2" t="inlineStr">
        <is>
          <t>named and classified by a chemist agent; reviewed by an independent agent</t>
        </is>
      </c>
    </row>
    <row r="71">
      <c r="A71" s="3" t="inlineStr">
        <is>
          <t>[Ni]</t>
        </is>
      </c>
      <c r="B71" s="2" t="inlineStr">
        <is>
          <t>nickel (Raney nickel)</t>
        </is>
      </c>
      <c r="C71" s="2" t="inlineStr">
        <is>
          <t>Ni (Raney Ni)</t>
        </is>
      </c>
      <c r="D71" s="2" t="inlineStr">
        <is>
          <t>catalyst (metal)</t>
        </is>
      </c>
      <c r="E71" s="2" t="inlineStr">
        <is>
          <t>reductant</t>
        </is>
      </c>
      <c r="F71" s="2" t="n"/>
      <c r="G71" s="2" t="n">
        <v>3809</v>
      </c>
      <c r="H71" s="2" t="inlineStr">
        <is>
          <t>Nickel (CID 935)</t>
        </is>
      </c>
      <c r="I71" s="2" t="inlineStr">
        <is>
          <t>Raney Ni hydrogenation catalyst for nitro and nitrile reduction; desulfurization.</t>
        </is>
      </c>
      <c r="J71" s="2" t="inlineStr">
        <is>
          <t>named and classified by a chemist agent; reviewed by an independent agent</t>
        </is>
      </c>
    </row>
    <row r="72">
      <c r="A72" s="3" t="inlineStr">
        <is>
          <t>C1CCNCC1</t>
        </is>
      </c>
      <c r="B72" s="2" t="inlineStr">
        <is>
          <t>piperidine</t>
        </is>
      </c>
      <c r="C72" s="2" t="inlineStr"/>
      <c r="D72" s="2" t="inlineStr">
        <is>
          <t>base</t>
        </is>
      </c>
      <c r="E72" s="2" t="inlineStr">
        <is>
          <t>nucleophile</t>
        </is>
      </c>
      <c r="F72" s="2" t="n">
        <v>11.1</v>
      </c>
      <c r="G72" s="2" t="n">
        <v>3720</v>
      </c>
      <c r="H72" s="2" t="inlineStr">
        <is>
          <t>Piperidine (CID 8082)</t>
        </is>
      </c>
      <c r="I72" s="2" t="inlineStr">
        <is>
          <t>Knoevenagel catalyst with AcOH (as here), Fmoc removal, secondary amine nucleophile; pKa in water.</t>
        </is>
      </c>
      <c r="J72" s="2" t="inlineStr">
        <is>
          <t>named and classified by a chemist agent; reviewed by an independent agent</t>
        </is>
      </c>
    </row>
    <row r="73">
      <c r="A73" s="3" t="inlineStr">
        <is>
          <t>ClC(Cl)(Cl)Cl</t>
        </is>
      </c>
      <c r="B73" s="2" t="inlineStr">
        <is>
          <t>carbon tetrachloride</t>
        </is>
      </c>
      <c r="C73" s="2" t="inlineStr">
        <is>
          <t>CCl4</t>
        </is>
      </c>
      <c r="D73" s="2" t="inlineStr">
        <is>
          <t>halogenating agent</t>
        </is>
      </c>
      <c r="E73" s="2" t="inlineStr">
        <is>
          <t>solvent</t>
        </is>
      </c>
      <c r="F73" s="2" t="n"/>
      <c r="G73" s="2" t="n">
        <v>3568</v>
      </c>
      <c r="H73" s="2" t="inlineStr">
        <is>
          <t>Carbon Tetrachloride (CID 5943)</t>
        </is>
      </c>
      <c r="I73" s="2" t="inlineStr">
        <is>
          <t>Appel-type activation with PPh3 (amide coupling here); classic solvent for NBS radical bromination.</t>
        </is>
      </c>
      <c r="J73" s="2" t="inlineStr">
        <is>
          <t>named and classified by a chemist agent; reviewed by an independent agent</t>
        </is>
      </c>
    </row>
    <row r="74">
      <c r="A74" s="3" t="inlineStr">
        <is>
          <t>II</t>
        </is>
      </c>
      <c r="B74" s="2" t="inlineStr">
        <is>
          <t>iodine</t>
        </is>
      </c>
      <c r="C74" s="2" t="inlineStr">
        <is>
          <t>I2</t>
        </is>
      </c>
      <c r="D74" s="2" t="inlineStr">
        <is>
          <t>halogenating agent</t>
        </is>
      </c>
      <c r="E74" s="2" t="inlineStr">
        <is>
          <t>oxidant</t>
        </is>
      </c>
      <c r="F74" s="2" t="n"/>
      <c r="G74" s="2" t="n">
        <v>3540</v>
      </c>
      <c r="H74" s="2" t="inlineStr">
        <is>
          <t>Iodine (CID 807)</t>
        </is>
      </c>
      <c r="I74" s="2" t="inlineStr">
        <is>
          <t>Electrophilic iodination, Appel iodination with PPh3; with hexamethyldisilane gives TMSI for ester cleavage (here).</t>
        </is>
      </c>
      <c r="J74" s="2" t="inlineStr">
        <is>
          <t>named and classified by a chemist agent; reviewed by an independent agent</t>
        </is>
      </c>
    </row>
    <row r="75">
      <c r="A75" s="3" t="inlineStr">
        <is>
          <t>CC1(C)c2cccc(P(c3ccccc3)c3ccccc3)c2Oc2c(P(c3ccccc3)c3ccccc3)cccc21</t>
        </is>
      </c>
      <c r="B75" s="2" t="inlineStr">
        <is>
          <t>Xantphos</t>
        </is>
      </c>
      <c r="C75" s="2" t="inlineStr">
        <is>
          <t>Xantphos</t>
        </is>
      </c>
      <c r="D75" s="2" t="inlineStr">
        <is>
          <t>ligand</t>
        </is>
      </c>
      <c r="E75" s="2" t="inlineStr"/>
      <c r="F75" s="2" t="n"/>
      <c r="G75" s="2" t="n">
        <v>3531</v>
      </c>
      <c r="H75" s="2" t="inlineStr">
        <is>
          <t>1,1'-(9,9-Dimethyl-9H-xanthene-4,5-diyl)bis(1,1-diphenylphosphine) (CID 636044)</t>
        </is>
      </c>
      <c r="I75" s="2" t="inlineStr">
        <is>
          <t>Wide-bite-angle bisphosphine for Pd-catalysed C-N coupling, especially amidation of aryl halides (as here).</t>
        </is>
      </c>
      <c r="J75" s="2" t="inlineStr">
        <is>
          <t>named and classified by a chemist agent; reviewed by an independent agent</t>
        </is>
      </c>
    </row>
    <row r="76">
      <c r="A76" s="3" t="inlineStr">
        <is>
          <t>C(=NC1CCCCC1)=NC1CCCCC1</t>
        </is>
      </c>
      <c r="B76" s="2" t="inlineStr">
        <is>
          <t>N,N'-dicyclohexylcarbodiimide</t>
        </is>
      </c>
      <c r="C76" s="2" t="inlineStr">
        <is>
          <t>DCC</t>
        </is>
      </c>
      <c r="D76" s="2" t="inlineStr">
        <is>
          <t>coupling reagent (activates an acid)</t>
        </is>
      </c>
      <c r="E76" s="2" t="inlineStr">
        <is>
          <t>dehydrating / activating agent</t>
        </is>
      </c>
      <c r="F76" s="2" t="n"/>
      <c r="G76" s="2" t="n">
        <v>3455</v>
      </c>
      <c r="H76" s="2" t="inlineStr">
        <is>
          <t>Dicyclohexylcarbodiimide (CID 10868)</t>
        </is>
      </c>
      <c r="I76" s="2" t="inlineStr">
        <is>
          <t>Carbodiimide for amide/ester coupling (with HOBt/DMAP); forms insoluble dicyclohexylurea.</t>
        </is>
      </c>
      <c r="J76" s="2" t="inlineStr">
        <is>
          <t>named and classified by a chemist agent; reviewed by an independent agent</t>
        </is>
      </c>
    </row>
    <row r="77">
      <c r="A77" s="3" t="inlineStr">
        <is>
          <t>[C]</t>
        </is>
      </c>
      <c r="B77" s="2" t="inlineStr">
        <is>
          <t>carbon (activated charcoal)</t>
        </is>
      </c>
      <c r="C77" s="2" t="inlineStr">
        <is>
          <t>C</t>
        </is>
      </c>
      <c r="D77" s="2" t="inlineStr">
        <is>
          <t>other</t>
        </is>
      </c>
      <c r="E77" s="2" t="inlineStr"/>
      <c r="F77" s="2" t="n"/>
      <c r="G77" s="2" t="n">
        <v>3437</v>
      </c>
      <c r="H77" s="2" t="inlineStr"/>
      <c r="I77" s="2" t="inlineStr">
        <is>
          <t>Carbon support of Pd/C or Pt/C (as here) or decolorizing charcoal; not a reagent itself.</t>
        </is>
      </c>
      <c r="J77" s="2" t="inlineStr">
        <is>
          <t>named and classified by a chemist agent; reviewed by an independent agent; PubChem's title for this SMILES was wrong (Methane (CID 297)): A bare carbon atom with no H. The PubChem lookup added implicit H and returned methane (CH4).</t>
        </is>
      </c>
    </row>
    <row r="78">
      <c r="A78" s="3" t="inlineStr">
        <is>
          <t>C=O</t>
        </is>
      </c>
      <c r="B78" s="2" t="inlineStr">
        <is>
          <t>formaldehyde</t>
        </is>
      </c>
      <c r="C78" s="2" t="inlineStr">
        <is>
          <t>HCHO</t>
        </is>
      </c>
      <c r="D78" s="2" t="inlineStr">
        <is>
          <t>electrophile / alkylating agent</t>
        </is>
      </c>
      <c r="E78" s="2" t="inlineStr"/>
      <c r="F78" s="2" t="n"/>
      <c r="G78" s="2" t="n">
        <v>3397</v>
      </c>
      <c r="H78" s="2" t="inlineStr">
        <is>
          <t>Formaldehyde (CID 712)</t>
        </is>
      </c>
      <c r="I78" s="2" t="inlineStr">
        <is>
          <t>Reductive N-methylation (H2/Pd here, NaBH3CN, Eschweiler-Clarke), Mannich, hydroxymethylation.</t>
        </is>
      </c>
      <c r="J78" s="2" t="inlineStr">
        <is>
          <t>named and classified by a chemist agent; reviewed by an independent agent</t>
        </is>
      </c>
    </row>
    <row r="79">
      <c r="A79" s="3" t="inlineStr">
        <is>
          <t>O=[N+]([O-])O</t>
        </is>
      </c>
      <c r="B79" s="2" t="inlineStr">
        <is>
          <t>nitric acid</t>
        </is>
      </c>
      <c r="C79" s="2" t="inlineStr">
        <is>
          <t>HNO3</t>
        </is>
      </c>
      <c r="D79" s="2" t="inlineStr">
        <is>
          <t>electrophile / alkylating agent</t>
        </is>
      </c>
      <c r="E79" s="2" t="inlineStr">
        <is>
          <t>oxidant</t>
        </is>
      </c>
      <c r="F79" s="2" t="n"/>
      <c r="G79" s="2" t="n">
        <v>3224</v>
      </c>
      <c r="H79" s="2" t="inlineStr">
        <is>
          <t>Nitric Acid (CID 944)</t>
        </is>
      </c>
      <c r="I79" s="2" t="inlineStr">
        <is>
          <t>Nitrating agent (NO2+ source with H2SO4 or AcOH) for arenes, as here.</t>
        </is>
      </c>
      <c r="J79" s="2" t="inlineStr">
        <is>
          <t>named and classified by a chemist agent; reviewed by an independent agent</t>
        </is>
      </c>
    </row>
    <row r="80">
      <c r="A80" s="3" t="inlineStr">
        <is>
          <t>c1c[nH]cn1</t>
        </is>
      </c>
      <c r="B80" s="2" t="inlineStr">
        <is>
          <t>imidazole</t>
        </is>
      </c>
      <c r="C80" s="2" t="inlineStr">
        <is>
          <t>Im</t>
        </is>
      </c>
      <c r="D80" s="2" t="inlineStr">
        <is>
          <t>base</t>
        </is>
      </c>
      <c r="E80" s="2" t="inlineStr">
        <is>
          <t>additive</t>
        </is>
      </c>
      <c r="F80" s="2" t="n">
        <v>7</v>
      </c>
      <c r="G80" s="2" t="n">
        <v>3025</v>
      </c>
      <c r="H80" s="2" t="inlineStr">
        <is>
          <t>Imidazole (CID 795)</t>
        </is>
      </c>
      <c r="I80" s="2" t="inlineStr">
        <is>
          <t>Base/nucleophilic catalyst for silyl protection (TBSCl/imidazole/DMF); pKa in water.</t>
        </is>
      </c>
      <c r="J80" s="2" t="inlineStr">
        <is>
          <t>named and classified by a chemist agent; reviewed by an independent agent</t>
        </is>
      </c>
    </row>
    <row r="81">
      <c r="A81" s="3" t="inlineStr">
        <is>
          <t>CC(C)NC(C)C</t>
        </is>
      </c>
      <c r="B81" s="2" t="inlineStr">
        <is>
          <t>diisopropylamine</t>
        </is>
      </c>
      <c r="C81" s="2" t="inlineStr">
        <is>
          <t>DIPA (iPr2NH)</t>
        </is>
      </c>
      <c r="D81" s="2" t="inlineStr">
        <is>
          <t>base</t>
        </is>
      </c>
      <c r="E81" s="2" t="inlineStr"/>
      <c r="F81" s="2" t="n">
        <v>11.05</v>
      </c>
      <c r="G81" s="2" t="n">
        <v>2881</v>
      </c>
      <c r="H81" s="2" t="inlineStr">
        <is>
          <t>Diisopropylamine (CID 7912)</t>
        </is>
      </c>
      <c r="I81" s="2" t="inlineStr">
        <is>
          <t>Precursor of LDA with n-BuLi; amine base in Sonogashira couplings; pKa in water.</t>
        </is>
      </c>
      <c r="J81" s="2" t="inlineStr">
        <is>
          <t>named and classified by a chemist agent; reviewed by an independent agent</t>
        </is>
      </c>
    </row>
    <row r="82">
      <c r="A82" s="3" t="inlineStr">
        <is>
          <t>CC(=O)OC(C)=O</t>
        </is>
      </c>
      <c r="B82" s="2" t="inlineStr">
        <is>
          <t>acetic anhydride</t>
        </is>
      </c>
      <c r="C82" s="2" t="inlineStr">
        <is>
          <t>Ac2O</t>
        </is>
      </c>
      <c r="D82" s="2" t="inlineStr">
        <is>
          <t>electrophile / alkylating agent</t>
        </is>
      </c>
      <c r="E82" s="2" t="inlineStr">
        <is>
          <t>protecting-group reagent</t>
        </is>
      </c>
      <c r="F82" s="2" t="n"/>
      <c r="G82" s="2" t="n">
        <v>2864</v>
      </c>
      <c r="H82" s="2" t="inlineStr">
        <is>
          <t>Acetic Anhydride (CID 7918)</t>
        </is>
      </c>
      <c r="I82" s="2" t="inlineStr">
        <is>
          <t>Acetylating agent for amines and alcohols (with Et3N/pyridine/DMAP).</t>
        </is>
      </c>
      <c r="J82" s="2" t="inlineStr">
        <is>
          <t>named and classified by a chemist agent; reviewed by an independent agent</t>
        </is>
      </c>
    </row>
    <row r="83">
      <c r="A83" s="3" t="inlineStr">
        <is>
          <t>c1ccc(P(c2ccccc2)c2ccc3ccccc3c2-c2c(P(c3ccccc3)c3ccccc3)ccc3ccccc23)cc1</t>
        </is>
      </c>
      <c r="B83" s="2" t="inlineStr">
        <is>
          <t>2,2'-bis(diphenylphosphino)-1,1'-binaphthyl</t>
        </is>
      </c>
      <c r="C83" s="2" t="inlineStr">
        <is>
          <t>BINAP</t>
        </is>
      </c>
      <c r="D83" s="2" t="inlineStr">
        <is>
          <t>ligand</t>
        </is>
      </c>
      <c r="E83" s="2" t="inlineStr"/>
      <c r="F83" s="2" t="n"/>
      <c r="G83" s="2" t="n">
        <v>2788</v>
      </c>
      <c r="H83" s="2" t="inlineStr">
        <is>
          <t>Binap, (A+-)- (CID 634876)</t>
        </is>
      </c>
      <c r="I83" s="2" t="inlineStr">
        <is>
          <t>Chelating bisphosphine for Pd Buchwald-Hartwig amination (as here) and Ru/Rh asymmetric hydrogenation.</t>
        </is>
      </c>
      <c r="J83" s="2" t="inlineStr">
        <is>
          <t>named and classified by a chemist agent; reviewed by an independent agent</t>
        </is>
      </c>
    </row>
    <row r="84">
      <c r="A84" s="3" t="inlineStr">
        <is>
          <t>N#N</t>
        </is>
      </c>
      <c r="B84" s="2" t="inlineStr">
        <is>
          <t>nitrogen</t>
        </is>
      </c>
      <c r="C84" s="2" t="inlineStr">
        <is>
          <t>N2</t>
        </is>
      </c>
      <c r="D84" s="2" t="inlineStr">
        <is>
          <t>gas</t>
        </is>
      </c>
      <c r="E84" s="2" t="inlineStr"/>
      <c r="F84" s="2" t="n"/>
      <c r="G84" s="2" t="n">
        <v>2787</v>
      </c>
      <c r="H84" s="2" t="inlineStr">
        <is>
          <t>Nitrogen (CID 947)</t>
        </is>
      </c>
      <c r="I84" s="2" t="inlineStr">
        <is>
          <t>Inert atmosphere.</t>
        </is>
      </c>
      <c r="J84" s="2" t="inlineStr">
        <is>
          <t>named and classified by a chemist agent; reviewed by an independent agent</t>
        </is>
      </c>
    </row>
    <row r="85">
      <c r="A85" s="3" t="inlineStr">
        <is>
          <t>O=CO</t>
        </is>
      </c>
      <c r="B85" s="2" t="inlineStr">
        <is>
          <t>formic acid</t>
        </is>
      </c>
      <c r="C85" s="2" t="inlineStr">
        <is>
          <t>HCOOH</t>
        </is>
      </c>
      <c r="D85" s="2" t="inlineStr">
        <is>
          <t>acid</t>
        </is>
      </c>
      <c r="E85" s="2" t="inlineStr">
        <is>
          <t>reductant</t>
        </is>
      </c>
      <c r="F85" s="2" t="n"/>
      <c r="G85" s="2" t="n">
        <v>2753</v>
      </c>
      <c r="H85" s="2" t="inlineStr">
        <is>
          <t>Formic Acid (CID 284)</t>
        </is>
      </c>
      <c r="I85" s="2" t="inlineStr">
        <is>
          <t>Acid (pKa 3.75) and hydride donor in transfer hydrogenation; formylating agent.</t>
        </is>
      </c>
      <c r="J85" s="2" t="inlineStr">
        <is>
          <t>named and classified by a chemist agent; reviewed by an independent agent</t>
        </is>
      </c>
    </row>
    <row r="86">
      <c r="A86" s="3" t="inlineStr">
        <is>
          <t>O=C(n1ccnc1)n1ccnc1</t>
        </is>
      </c>
      <c r="B86" s="2" t="inlineStr">
        <is>
          <t>1,1'-carbonyldiimidazole</t>
        </is>
      </c>
      <c r="C86" s="2" t="inlineStr">
        <is>
          <t>CDI</t>
        </is>
      </c>
      <c r="D86" s="2" t="inlineStr">
        <is>
          <t>coupling reagent (activates an acid)</t>
        </is>
      </c>
      <c r="E86" s="2" t="inlineStr">
        <is>
          <t>dehydrating / activating agent</t>
        </is>
      </c>
      <c r="F86" s="2" t="n"/>
      <c r="G86" s="2" t="n">
        <v>2661</v>
      </c>
      <c r="H86" s="2" t="inlineStr">
        <is>
          <t>1,1'-Carbonyldiimidazole (CID 68263)</t>
        </is>
      </c>
      <c r="I86" s="2" t="inlineStr">
        <is>
          <t>Activates acids as acyl imidazoles; carbonyl source for ureas, carbamates and cyclic carbonyls.</t>
        </is>
      </c>
      <c r="J86" s="2" t="inlineStr">
        <is>
          <t>named and classified by a chemist agent; reviewed by an independent agent</t>
        </is>
      </c>
    </row>
    <row r="87">
      <c r="A87" s="3" t="inlineStr">
        <is>
          <t>[Mg]</t>
        </is>
      </c>
      <c r="B87" s="2" t="inlineStr">
        <is>
          <t>magnesium</t>
        </is>
      </c>
      <c r="C87" s="2" t="inlineStr">
        <is>
          <t>Mg</t>
        </is>
      </c>
      <c r="D87" s="2" t="inlineStr">
        <is>
          <t>reductant</t>
        </is>
      </c>
      <c r="E87" s="2" t="inlineStr"/>
      <c r="F87" s="2" t="n"/>
      <c r="G87" s="2" t="n">
        <v>2557</v>
      </c>
      <c r="H87" s="2" t="inlineStr">
        <is>
          <t>Magnesium (CID 5462224)</t>
        </is>
      </c>
      <c r="I87" s="2" t="inlineStr">
        <is>
          <t>Grignard reagent formation; Mg/MeOH reductions.</t>
        </is>
      </c>
      <c r="J87" s="2" t="inlineStr">
        <is>
          <t>named and classified by a chemist agent; reviewed by an independent agent</t>
        </is>
      </c>
    </row>
    <row r="88">
      <c r="A88" s="3" t="inlineStr">
        <is>
          <t>[O-2]</t>
        </is>
      </c>
      <c r="B88" s="2" t="inlineStr">
        <is>
          <t>oxide</t>
        </is>
      </c>
      <c r="C88" s="2" t="inlineStr">
        <is>
          <t>O(2-)</t>
        </is>
      </c>
      <c r="D88" s="2" t="inlineStr">
        <is>
          <t>counter-ion / spectator ion</t>
        </is>
      </c>
      <c r="E88" s="2" t="inlineStr"/>
      <c r="F88" s="2" t="n"/>
      <c r="G88" s="2" t="n">
        <v>2491</v>
      </c>
      <c r="H88" s="2" t="inlineStr">
        <is>
          <t>Oxide (CID 190217)</t>
        </is>
      </c>
      <c r="I88" s="2" t="inlineStr">
        <is>
          <t>Oxide anion of metal oxides (CaO here as hydrogenation additive; MgO, MnO2, PtO2, Ag2O).</t>
        </is>
      </c>
      <c r="J88" s="2" t="inlineStr">
        <is>
          <t>named and classified by a chemist agent; reviewed by an independent agent</t>
        </is>
      </c>
    </row>
    <row r="89">
      <c r="A89" s="3" t="inlineStr">
        <is>
          <t>[C-]#N</t>
        </is>
      </c>
      <c r="B89" s="2" t="inlineStr">
        <is>
          <t>cyanide</t>
        </is>
      </c>
      <c r="C89" s="2" t="inlineStr">
        <is>
          <t>CN- (NaCN/KCN)</t>
        </is>
      </c>
      <c r="D89" s="2" t="inlineStr">
        <is>
          <t>nucleophile</t>
        </is>
      </c>
      <c r="E89" s="2" t="inlineStr"/>
      <c r="F89" s="2" t="n"/>
      <c r="G89" s="2" t="n">
        <v>2482</v>
      </c>
      <c r="H89" s="2" t="inlineStr">
        <is>
          <t>Cyanide (CID 5975)</t>
        </is>
      </c>
      <c r="I89" s="2" t="inlineStr">
        <is>
          <t>SN2 nitrile formation, cyanohydrins, Strecker; NaCN/HMPA cleaves methyl esters (as here).</t>
        </is>
      </c>
      <c r="J89" s="2" t="inlineStr">
        <is>
          <t>named and classified by a chemist agent; reviewed by an independent agent</t>
        </is>
      </c>
    </row>
    <row r="90">
      <c r="A90" s="3" t="inlineStr">
        <is>
          <t>CC[O-]</t>
        </is>
      </c>
      <c r="B90" s="2" t="inlineStr">
        <is>
          <t>ethoxide</t>
        </is>
      </c>
      <c r="C90" s="2" t="inlineStr">
        <is>
          <t>EtO- (NaOEt)</t>
        </is>
      </c>
      <c r="D90" s="2" t="inlineStr">
        <is>
          <t>base</t>
        </is>
      </c>
      <c r="E90" s="2" t="inlineStr">
        <is>
          <t>nucleophile</t>
        </is>
      </c>
      <c r="F90" s="2" t="n">
        <v>16</v>
      </c>
      <c r="G90" s="2" t="n">
        <v>2393</v>
      </c>
      <c r="H90" s="2" t="inlineStr"/>
      <c r="I90" s="2" t="inlineStr">
        <is>
          <t>NaOEt for Claisen/Dieckmann condensations, malonate alkylation, transesterification; pKa of EtOH about 16 water, 29.8 DMSO.</t>
        </is>
      </c>
      <c r="J90" s="2" t="inlineStr">
        <is>
          <t>named and classified by a chemist agent; reviewed by an independent agent; PubChem's title for this SMILES was wrong (1-Hydroxyethyl radical (CID 119440)): The CID 119440 record is C2H5O- ethanolate, but its title names the neutral 1-hydroxyethyl radical.</t>
        </is>
      </c>
    </row>
    <row r="91">
      <c r="A91" s="3" t="inlineStr">
        <is>
          <t>CC(C)c1cc(C(C)C)c(-c2ccccc2P(C2CCCCC2)C2CCCCC2)c(C(C)C)c1</t>
        </is>
      </c>
      <c r="B91" s="2" t="inlineStr">
        <is>
          <t>XPhos</t>
        </is>
      </c>
      <c r="C91" s="2" t="inlineStr">
        <is>
          <t>XPhos</t>
        </is>
      </c>
      <c r="D91" s="2" t="inlineStr">
        <is>
          <t>ligand</t>
        </is>
      </c>
      <c r="E91" s="2" t="inlineStr"/>
      <c r="F91" s="2" t="n"/>
      <c r="G91" s="2" t="n">
        <v>2391</v>
      </c>
      <c r="H91" s="2" t="inlineStr">
        <is>
          <t>2-Dicyclohexylphosphino-2',4',6'-triisoprophylbiphenyl (CID 11155794)</t>
        </is>
      </c>
      <c r="I91" s="2" t="inlineStr">
        <is>
          <t>Bulky biaryl dialkylphosphine for Pd Suzuki (incl. trifluoroborates, as here) and Buchwald-Hartwig couplings.</t>
        </is>
      </c>
      <c r="J91" s="2" t="inlineStr">
        <is>
          <t>named and classified by a chemist agent; reviewed by an independent agent</t>
        </is>
      </c>
    </row>
    <row r="92">
      <c r="A92" s="3" t="inlineStr">
        <is>
          <t>B</t>
        </is>
      </c>
      <c r="B92" s="2" t="inlineStr">
        <is>
          <t>borane</t>
        </is>
      </c>
      <c r="C92" s="2" t="inlineStr">
        <is>
          <t>BH3 (BH3.THF)</t>
        </is>
      </c>
      <c r="D92" s="2" t="inlineStr">
        <is>
          <t>reductant</t>
        </is>
      </c>
      <c r="E92" s="2" t="inlineStr"/>
      <c r="F92" s="2" t="n"/>
      <c r="G92" s="2" t="n">
        <v>2374</v>
      </c>
      <c r="H92" s="2" t="inlineStr">
        <is>
          <t>Borane (CID 6331)</t>
        </is>
      </c>
      <c r="I92" s="2" t="inlineStr">
        <is>
          <t>Reduces carboxylic acids and amides; hydroboration of alkenes.</t>
        </is>
      </c>
      <c r="J92" s="2" t="inlineStr">
        <is>
          <t>named and classified by a chemist agent; reviewed by an independent agent</t>
        </is>
      </c>
    </row>
    <row r="93">
      <c r="A93" s="3" t="inlineStr">
        <is>
          <t>[Cu+2]</t>
        </is>
      </c>
      <c r="B93" s="2" t="inlineStr">
        <is>
          <t>copper(II) ion</t>
        </is>
      </c>
      <c r="C93" s="2" t="inlineStr">
        <is>
          <t>Cu2+</t>
        </is>
      </c>
      <c r="D93" s="2" t="inlineStr">
        <is>
          <t>catalyst (metal)</t>
        </is>
      </c>
      <c r="E93" s="2" t="inlineStr">
        <is>
          <t>Lewis acid</t>
        </is>
      </c>
      <c r="F93" s="2" t="n"/>
      <c r="G93" s="2" t="n">
        <v>2368</v>
      </c>
      <c r="H93" s="2" t="inlineStr">
        <is>
          <t>Copper(2+) (CID 27099)</t>
        </is>
      </c>
      <c r="I93" s="2" t="inlineStr">
        <is>
          <t>From CuSO4 (with NaBH4 for nitro reduction here; with ascorbate for click chemistry) or Cu(OAc)2 (Chan-Lam).</t>
        </is>
      </c>
      <c r="J93" s="2" t="inlineStr">
        <is>
          <t>named and classified by a chemist agent; reviewed by an independent agent</t>
        </is>
      </c>
    </row>
    <row r="94">
      <c r="A94" s="3" t="inlineStr">
        <is>
          <t>c1cc[nH+]cc1</t>
        </is>
      </c>
      <c r="B94" s="2" t="inlineStr">
        <is>
          <t>pyridinium</t>
        </is>
      </c>
      <c r="C94" s="2" t="inlineStr">
        <is>
          <t>pyH+</t>
        </is>
      </c>
      <c r="D94" s="2" t="inlineStr">
        <is>
          <t>acid</t>
        </is>
      </c>
      <c r="E94" s="2" t="inlineStr">
        <is>
          <t>counter-ion / spectator ion</t>
        </is>
      </c>
      <c r="F94" s="2" t="n"/>
      <c r="G94" s="2" t="n">
        <v>2367</v>
      </c>
      <c r="H94" s="2" t="inlineStr">
        <is>
          <t>Pyridinium (CID 4989215)</t>
        </is>
      </c>
      <c r="I94" s="2" t="inlineStr">
        <is>
          <t>From pyridine hydrochloride (demethylation, ester cleavage), PPTS, PCC/PDC; pKa 5.2.</t>
        </is>
      </c>
      <c r="J94" s="2" t="inlineStr">
        <is>
          <t>named and classified by a chemist agent; reviewed by an independent agent</t>
        </is>
      </c>
    </row>
    <row r="95">
      <c r="A95" s="3" t="inlineStr">
        <is>
          <t>CC(C)[N-]C(C)C</t>
        </is>
      </c>
      <c r="B95" s="2" t="inlineStr">
        <is>
          <t>diisopropylamide</t>
        </is>
      </c>
      <c r="C95" s="2" t="inlineStr">
        <is>
          <t>LDA</t>
        </is>
      </c>
      <c r="D95" s="2" t="inlineStr">
        <is>
          <t>base</t>
        </is>
      </c>
      <c r="E95" s="2" t="inlineStr"/>
      <c r="F95" s="2" t="n">
        <v>36</v>
      </c>
      <c r="G95" s="2" t="n">
        <v>2362</v>
      </c>
      <c r="H95" s="2" t="inlineStr">
        <is>
          <t>Diisopropylamide (CID 5062348)</t>
        </is>
      </c>
      <c r="I95" s="2" t="inlineStr">
        <is>
          <t>Strong hindered base for kinetic enolates and ortho-lithiation; pKa of iPr2NH about 36 (THF).</t>
        </is>
      </c>
      <c r="J95" s="2" t="inlineStr">
        <is>
          <t>named and classified by a chemist agent; reviewed by an independent agent</t>
        </is>
      </c>
    </row>
    <row r="96">
      <c r="A96" s="3" t="inlineStr">
        <is>
          <t>O=S([O-])([O-])=S</t>
        </is>
      </c>
      <c r="B96" s="2" t="inlineStr">
        <is>
          <t>thiosulfate</t>
        </is>
      </c>
      <c r="C96" s="2" t="inlineStr">
        <is>
          <t>S2O3(2-)</t>
        </is>
      </c>
      <c r="D96" s="2" t="inlineStr">
        <is>
          <t>reductant</t>
        </is>
      </c>
      <c r="E96" s="2" t="inlineStr">
        <is>
          <t>salt (work-up or additive)</t>
        </is>
      </c>
      <c r="F96" s="2" t="n"/>
      <c r="G96" s="2" t="n">
        <v>2358</v>
      </c>
      <c r="H96" s="2" t="inlineStr">
        <is>
          <t>Thiosulfate ion (CID 1084)</t>
        </is>
      </c>
      <c r="I96" s="2" t="inlineStr">
        <is>
          <t>Na2S2O3 quenches I2, Br2, peroxides and DMP in workup.</t>
        </is>
      </c>
      <c r="J96" s="2" t="inlineStr">
        <is>
          <t>named and classified by a chemist agent; reviewed by an independent agent</t>
        </is>
      </c>
    </row>
    <row r="97">
      <c r="A97" s="3" t="inlineStr">
        <is>
          <t>CC(Cl)Cl</t>
        </is>
      </c>
      <c r="B97" s="2" t="inlineStr">
        <is>
          <t>1,1-dichloroethane</t>
        </is>
      </c>
      <c r="C97" s="2" t="inlineStr"/>
      <c r="D97" s="2" t="inlineStr">
        <is>
          <t>solvent</t>
        </is>
      </c>
      <c r="E97" s="2" t="inlineStr"/>
      <c r="F97" s="2" t="n"/>
      <c r="G97" s="2" t="n">
        <v>2348</v>
      </c>
      <c r="H97" s="2" t="inlineStr">
        <is>
          <t>1,1-Dichloroethane (CID 6365)</t>
        </is>
      </c>
      <c r="I97" s="2" t="inlineStr">
        <is>
          <t>Chlorinated solvent; possibly a mis-recorded 1,2-dichloroethane (DCE).</t>
        </is>
      </c>
      <c r="J97" s="2" t="inlineStr">
        <is>
          <t>named and classified by a chemist agent; reviewed by an independent agent</t>
        </is>
      </c>
    </row>
    <row r="98">
      <c r="A98" s="3" t="inlineStr">
        <is>
          <t>CC[SiH](CC)CC</t>
        </is>
      </c>
      <c r="B98" s="2" t="inlineStr">
        <is>
          <t>triethylsilane</t>
        </is>
      </c>
      <c r="C98" s="2" t="inlineStr">
        <is>
          <t>Et3SiH</t>
        </is>
      </c>
      <c r="D98" s="2" t="inlineStr">
        <is>
          <t>reductant</t>
        </is>
      </c>
      <c r="E98" s="2" t="inlineStr"/>
      <c r="F98" s="2" t="n"/>
      <c r="G98" s="2" t="n">
        <v>2312</v>
      </c>
      <c r="H98" s="2" t="inlineStr">
        <is>
          <t>Triethylsilane (CID 12052)</t>
        </is>
      </c>
      <c r="I98" s="2" t="inlineStr">
        <is>
          <t>Hydride donor for ionic reductions (with TFA/BF3), cation scavenger; with Pd(OAc)2/KF reduces nitro groups (as here).</t>
        </is>
      </c>
      <c r="J98" s="2" t="inlineStr">
        <is>
          <t>named and classified by a chemist agent; reviewed by an independent agent</t>
        </is>
      </c>
    </row>
    <row r="99">
      <c r="A99" s="3" t="inlineStr">
        <is>
          <t>[Mg+2]</t>
        </is>
      </c>
      <c r="B99" s="2" t="inlineStr">
        <is>
          <t>magnesium ion</t>
        </is>
      </c>
      <c r="C99" s="2" t="inlineStr">
        <is>
          <t>Mg2+</t>
        </is>
      </c>
      <c r="D99" s="2" t="inlineStr">
        <is>
          <t>counter-ion / spectator ion</t>
        </is>
      </c>
      <c r="E99" s="2" t="inlineStr">
        <is>
          <t>drying agent</t>
        </is>
      </c>
      <c r="F99" s="2" t="n"/>
      <c r="G99" s="2" t="n">
        <v>2288</v>
      </c>
      <c r="H99" s="2" t="inlineStr">
        <is>
          <t>Magnesium Cation (CID 888)</t>
        </is>
      </c>
      <c r="I99" s="2" t="inlineStr">
        <is>
          <t>From MgSO4 (drying), MgCl2, MgO, magnesium silicate, Grignard reagents.</t>
        </is>
      </c>
      <c r="J99" s="2" t="inlineStr">
        <is>
          <t>named and classified by a chemist agent; reviewed by an independent agent</t>
        </is>
      </c>
    </row>
    <row r="100">
      <c r="A100" s="3" t="inlineStr">
        <is>
          <t>CC(=O)OI1(OC(C)=O)(OC(C)=O)OC(=O)c2ccccc21</t>
        </is>
      </c>
      <c r="B100" s="2" t="inlineStr">
        <is>
          <t>Dess-Martin periodinane</t>
        </is>
      </c>
      <c r="C100" s="2" t="inlineStr">
        <is>
          <t>DMP</t>
        </is>
      </c>
      <c r="D100" s="2" t="inlineStr">
        <is>
          <t>oxidant</t>
        </is>
      </c>
      <c r="E100" s="2" t="inlineStr"/>
      <c r="F100" s="2" t="n"/>
      <c r="G100" s="2" t="n">
        <v>2226</v>
      </c>
      <c r="H100" s="2" t="inlineStr">
        <is>
          <t>Triacetoxyperiodinane (CID 159087)</t>
        </is>
      </c>
      <c r="I100" s="2" t="inlineStr">
        <is>
          <t>Mild oxidation of primary alcohols to aldehydes (as here) and secondary to ketones.</t>
        </is>
      </c>
      <c r="J100" s="2" t="inlineStr">
        <is>
          <t>named and classified by a chemist agent; reviewed by an independent agent</t>
        </is>
      </c>
    </row>
    <row r="101">
      <c r="A101" s="3" t="inlineStr">
        <is>
          <t>CN</t>
        </is>
      </c>
      <c r="B101" s="2" t="inlineStr">
        <is>
          <t>methylamine</t>
        </is>
      </c>
      <c r="C101" s="2" t="inlineStr">
        <is>
          <t>MeNH2</t>
        </is>
      </c>
      <c r="D101" s="2" t="inlineStr">
        <is>
          <t>nucleophile</t>
        </is>
      </c>
      <c r="E101" s="2" t="inlineStr">
        <is>
          <t>base</t>
        </is>
      </c>
      <c r="F101" s="2" t="n">
        <v>10.6</v>
      </c>
      <c r="G101" s="2" t="n">
        <v>2209</v>
      </c>
      <c r="H101" s="2" t="inlineStr">
        <is>
          <t>Methylamine (CID 6329)</t>
        </is>
      </c>
      <c r="I101" s="2" t="inlineStr">
        <is>
          <t>Primary amine nucleophile for amides, SNAr, reductive amination; pKa in water.</t>
        </is>
      </c>
      <c r="J101" s="2" t="inlineStr">
        <is>
          <t>named and classified by a chemist agent; reviewed by an independent agent</t>
        </is>
      </c>
    </row>
    <row r="102">
      <c r="A102" s="3" t="inlineStr">
        <is>
          <t>O=C(O)CC(O)(CC(=O)O)C(=O)O</t>
        </is>
      </c>
      <c r="B102" s="2" t="inlineStr">
        <is>
          <t>citric acid</t>
        </is>
      </c>
      <c r="C102" s="2" t="inlineStr"/>
      <c r="D102" s="2" t="inlineStr">
        <is>
          <t>acid</t>
        </is>
      </c>
      <c r="E102" s="2" t="inlineStr">
        <is>
          <t>salt (work-up or additive)</t>
        </is>
      </c>
      <c r="F102" s="2" t="n"/>
      <c r="G102" s="2" t="n">
        <v>2076</v>
      </c>
      <c r="H102" s="2" t="inlineStr">
        <is>
          <t>Citric Acid (CID 311)</t>
        </is>
      </c>
      <c r="I102" s="2" t="inlineStr">
        <is>
          <t>Weak triprotic acid (pKa1 3.1) for mild acidic workup or buffers (enzymatic hydrolysis here).</t>
        </is>
      </c>
      <c r="J102" s="2" t="inlineStr">
        <is>
          <t>named and classified by a chemist agent; reviewed by an independent agent</t>
        </is>
      </c>
    </row>
    <row r="103">
      <c r="A103" s="3" t="inlineStr">
        <is>
          <t>[Cl][Sn][Cl]</t>
        </is>
      </c>
      <c r="B103" s="2" t="inlineStr">
        <is>
          <t>tin(II) chloride</t>
        </is>
      </c>
      <c r="C103" s="2" t="inlineStr">
        <is>
          <t>SnCl2</t>
        </is>
      </c>
      <c r="D103" s="2" t="inlineStr">
        <is>
          <t>reductant</t>
        </is>
      </c>
      <c r="E103" s="2" t="inlineStr"/>
      <c r="F103" s="2" t="n"/>
      <c r="G103" s="2" t="n">
        <v>2069</v>
      </c>
      <c r="H103" s="2" t="inlineStr">
        <is>
          <t>Stannous Chloride (CID 24479)</t>
        </is>
      </c>
      <c r="I103" s="2" t="inlineStr">
        <is>
          <t>Chemoselective nitro to amine reduction (SnCl2/HCl or EtOH) tolerating halides, esters, nitriles.</t>
        </is>
      </c>
      <c r="J103" s="2" t="inlineStr">
        <is>
          <t>named and classified by a chemist agent; reviewed by an independent agent</t>
        </is>
      </c>
    </row>
    <row r="104">
      <c r="A104" s="3" t="inlineStr">
        <is>
          <t>CCOC(=O)N=NC(=O)OCC</t>
        </is>
      </c>
      <c r="B104" s="2" t="inlineStr">
        <is>
          <t>diethyl azodicarboxylate</t>
        </is>
      </c>
      <c r="C104" s="2" t="inlineStr">
        <is>
          <t>DEAD</t>
        </is>
      </c>
      <c r="D104" s="2" t="inlineStr">
        <is>
          <t>dehydrating / activating agent</t>
        </is>
      </c>
      <c r="E104" s="2" t="inlineStr">
        <is>
          <t>oxidant</t>
        </is>
      </c>
      <c r="F104" s="2" t="n"/>
      <c r="G104" s="2" t="n">
        <v>1995</v>
      </c>
      <c r="H104" s="2" t="inlineStr">
        <is>
          <t>ethyl N-ethoxycarbonyliminocarbamate (CID 220568)</t>
        </is>
      </c>
      <c r="I104" s="2" t="inlineStr">
        <is>
          <t>Mitsunobu reagent with PPh3 for inversion, ether, ester and N-alkylation of alcohols.</t>
        </is>
      </c>
      <c r="J104" s="2" t="inlineStr">
        <is>
          <t>named and classified by a chemist agent; reviewed by an independent agent</t>
        </is>
      </c>
    </row>
    <row r="105">
      <c r="A105" s="3" t="inlineStr">
        <is>
          <t>FB(F)F</t>
        </is>
      </c>
      <c r="B105" s="2" t="inlineStr">
        <is>
          <t>boron trifluoride</t>
        </is>
      </c>
      <c r="C105" s="2" t="inlineStr">
        <is>
          <t>BF3 (BF3.OEt2)</t>
        </is>
      </c>
      <c r="D105" s="2" t="inlineStr">
        <is>
          <t>Lewis acid</t>
        </is>
      </c>
      <c r="E105" s="2" t="inlineStr"/>
      <c r="F105" s="2" t="n"/>
      <c r="G105" s="2" t="n">
        <v>1923</v>
      </c>
      <c r="H105" s="2" t="inlineStr">
        <is>
          <t>Boron trifluoride (CID 6356)</t>
        </is>
      </c>
      <c r="I105" s="2" t="inlineStr">
        <is>
          <t>Lewis acid for ionic deoxygenation with Et3SiH (as here), epoxide opening, acetal chemistry.</t>
        </is>
      </c>
      <c r="J105" s="2" t="inlineStr">
        <is>
          <t>named and classified by a chemist agent; reviewed by an independent agent</t>
        </is>
      </c>
    </row>
    <row r="106">
      <c r="A106" s="3" t="inlineStr">
        <is>
          <t>O=C[O-]</t>
        </is>
      </c>
      <c r="B106" s="2" t="inlineStr">
        <is>
          <t>formate</t>
        </is>
      </c>
      <c r="C106" s="2" t="inlineStr">
        <is>
          <t>HCOO-</t>
        </is>
      </c>
      <c r="D106" s="2" t="inlineStr">
        <is>
          <t>reductant</t>
        </is>
      </c>
      <c r="E106" s="2" t="inlineStr"/>
      <c r="F106" s="2" t="n"/>
      <c r="G106" s="2" t="n">
        <v>1866</v>
      </c>
      <c r="H106" s="2" t="inlineStr">
        <is>
          <t>Formate (CID 283)</t>
        </is>
      </c>
      <c r="I106" s="2" t="inlineStr">
        <is>
          <t>Ammonium/sodium formate is the hydride donor in Pd-catalysed transfer hydrogenation.</t>
        </is>
      </c>
      <c r="J106" s="2" t="inlineStr">
        <is>
          <t>named and classified by a chemist agent; reviewed by an independent agent</t>
        </is>
      </c>
    </row>
    <row r="107">
      <c r="A107" s="3" t="inlineStr">
        <is>
          <t>CS(=O)(=O)Cl</t>
        </is>
      </c>
      <c r="B107" s="2" t="inlineStr">
        <is>
          <t>methanesulfonyl chloride</t>
        </is>
      </c>
      <c r="C107" s="2" t="inlineStr">
        <is>
          <t>MsCl</t>
        </is>
      </c>
      <c r="D107" s="2" t="inlineStr">
        <is>
          <t>dehydrating / activating agent</t>
        </is>
      </c>
      <c r="E107" s="2" t="inlineStr">
        <is>
          <t>electrophile / alkylating agent</t>
        </is>
      </c>
      <c r="F107" s="2" t="n"/>
      <c r="G107" s="2" t="n">
        <v>1852</v>
      </c>
      <c r="H107" s="2" t="inlineStr">
        <is>
          <t>Methanesulfonyl chloride (CID 31297)</t>
        </is>
      </c>
      <c r="I107" s="2" t="inlineStr">
        <is>
          <t>Turns alcohols into mesylate leaving groups and amines into sulfonamides (with Et3N).</t>
        </is>
      </c>
      <c r="J107" s="2" t="inlineStr">
        <is>
          <t>named and classified by a chemist agent; reviewed by an independent agent</t>
        </is>
      </c>
    </row>
    <row r="108">
      <c r="A108" s="3" t="inlineStr">
        <is>
          <t>CC(C)[CH2][Al+][CH2]C(C)C</t>
        </is>
      </c>
      <c r="B108" s="2" t="inlineStr">
        <is>
          <t>diisobutylaluminium (cation fragment of DIBAL-H)</t>
        </is>
      </c>
      <c r="C108" s="2" t="inlineStr">
        <is>
          <t>DIBAL</t>
        </is>
      </c>
      <c r="D108" s="2" t="inlineStr">
        <is>
          <t>reductant</t>
        </is>
      </c>
      <c r="E108" s="2" t="inlineStr">
        <is>
          <t>Lewis acid</t>
        </is>
      </c>
      <c r="F108" s="2" t="n"/>
      <c r="G108" s="2" t="n">
        <v>1843</v>
      </c>
      <c r="H108" s="2" t="inlineStr">
        <is>
          <t>Bis(2-methylpropyl)alumanylium (CID 16686348)</t>
        </is>
      </c>
      <c r="I108" s="2" t="inlineStr">
        <is>
          <t>DIBAL-H with hydride split off; reduces esters/nitriles, and at high temperature cleaves aryl methyl ethers (as here).</t>
        </is>
      </c>
      <c r="J108" s="2" t="inlineStr">
        <is>
          <t>named and classified by a chemist agent; reviewed by an independent agent</t>
        </is>
      </c>
    </row>
    <row r="109">
      <c r="A109" s="3" t="inlineStr">
        <is>
          <t>O=S(=O)([O-])O</t>
        </is>
      </c>
      <c r="B109" s="2" t="inlineStr">
        <is>
          <t>hydrogen sulfate (bisulfate)</t>
        </is>
      </c>
      <c r="C109" s="2" t="inlineStr">
        <is>
          <t>HSO4-</t>
        </is>
      </c>
      <c r="D109" s="2" t="inlineStr">
        <is>
          <t>acid</t>
        </is>
      </c>
      <c r="E109" s="2" t="inlineStr">
        <is>
          <t>salt (work-up or additive)</t>
        </is>
      </c>
      <c r="F109" s="2" t="n"/>
      <c r="G109" s="2" t="n">
        <v>1829</v>
      </c>
      <c r="H109" s="2" t="inlineStr">
        <is>
          <t>Sulfate, hydrogen (CID 61778)</t>
        </is>
      </c>
      <c r="I109" s="2" t="inlineStr">
        <is>
          <t>KHSO4/NaHSO4 mild solid acid for workup (pKa 2.0).</t>
        </is>
      </c>
      <c r="J109" s="2" t="inlineStr">
        <is>
          <t>named and classified by a chemist agent; reviewed by an independent agent</t>
        </is>
      </c>
    </row>
    <row r="110">
      <c r="A110" s="3" t="inlineStr">
        <is>
          <t>CN(C)[P+](On1nnc2ccccc21)(N(C)C)N(C)C</t>
        </is>
      </c>
      <c r="B110" s="2" t="inlineStr">
        <is>
          <t>BOP (benzotriazolyloxy-tris(dimethylamino)phosphonium cation)</t>
        </is>
      </c>
      <c r="C110" s="2" t="inlineStr">
        <is>
          <t>BOP</t>
        </is>
      </c>
      <c r="D110" s="2" t="inlineStr">
        <is>
          <t>coupling reagent (activates an acid)</t>
        </is>
      </c>
      <c r="E110" s="2" t="inlineStr"/>
      <c r="F110" s="2" t="n"/>
      <c r="G110" s="2" t="n">
        <v>1802</v>
      </c>
      <c r="H110" s="2" t="inlineStr">
        <is>
          <t>Benzotriazol-1-yloxy-tris(dimethylamino)phosphonium (CID 124335)</t>
        </is>
      </c>
      <c r="I110" s="2" t="inlineStr">
        <is>
          <t>Phosphonium (with PF6-) amide coupling reagent; releases carcinogenic HMPA.</t>
        </is>
      </c>
      <c r="J110" s="2" t="inlineStr">
        <is>
          <t>named and classified by a chemist agent; reviewed by an independent agent</t>
        </is>
      </c>
    </row>
    <row r="111">
      <c r="A111" s="3" t="inlineStr">
        <is>
          <t>[I][Cu][I]</t>
        </is>
      </c>
      <c r="B111" s="2" t="inlineStr">
        <is>
          <t>copper(II) iodide (as recorded; likely CuI)</t>
        </is>
      </c>
      <c r="C111" s="2" t="inlineStr">
        <is>
          <t>CuI2</t>
        </is>
      </c>
      <c r="D111" s="2" t="inlineStr">
        <is>
          <t>catalyst (metal)</t>
        </is>
      </c>
      <c r="E111" s="2" t="inlineStr"/>
      <c r="F111" s="2" t="n"/>
      <c r="G111" s="2" t="n">
        <v>1791</v>
      </c>
      <c r="H111" s="2" t="inlineStr">
        <is>
          <t>Copper iodide (CID 83717)</t>
        </is>
      </c>
      <c r="I111" s="2" t="inlineStr">
        <is>
          <t>Copper catalyst for Grignard cross-coupling with alkyl halides (as here); CuI2 is unstable, probably mis-recorded CuI.</t>
        </is>
      </c>
      <c r="J111" s="2" t="inlineStr">
        <is>
          <t>named and classified by a chemist agent; reviewed by an independent agent</t>
        </is>
      </c>
    </row>
    <row r="112">
      <c r="A112" s="3" t="inlineStr">
        <is>
          <t>[Mn+4]</t>
        </is>
      </c>
      <c r="B112" s="2" t="inlineStr">
        <is>
          <t>manganese(IV) ion</t>
        </is>
      </c>
      <c r="C112" s="2" t="inlineStr">
        <is>
          <t>Mn4+</t>
        </is>
      </c>
      <c r="D112" s="2" t="inlineStr">
        <is>
          <t>oxidant</t>
        </is>
      </c>
      <c r="E112" s="2" t="inlineStr"/>
      <c r="F112" s="2" t="n"/>
      <c r="G112" s="2" t="n">
        <v>1764</v>
      </c>
      <c r="H112" s="2" t="inlineStr">
        <is>
          <t>Manganese (CID 23930)</t>
        </is>
      </c>
      <c r="I112" s="2" t="inlineStr">
        <is>
          <t>From MnO2 (with O2-); oxidizes allylic/benzylic alcohols; role in this SNAr example unclear.</t>
        </is>
      </c>
      <c r="J112" s="2" t="inlineStr">
        <is>
          <t>named and classified by a chemist agent; reviewed by an independent agent</t>
        </is>
      </c>
    </row>
    <row r="113">
      <c r="A113" s="3" t="inlineStr">
        <is>
          <t>[Li][OH]</t>
        </is>
      </c>
      <c r="B113" s="2" t="inlineStr">
        <is>
          <t>lithium hydroxide</t>
        </is>
      </c>
      <c r="C113" s="2" t="inlineStr">
        <is>
          <t>LiOH</t>
        </is>
      </c>
      <c r="D113" s="2" t="inlineStr">
        <is>
          <t>base</t>
        </is>
      </c>
      <c r="E113" s="2" t="inlineStr">
        <is>
          <t>nucleophile</t>
        </is>
      </c>
      <c r="F113" s="2" t="n">
        <v>15.7</v>
      </c>
      <c r="G113" s="2" t="n">
        <v>1721</v>
      </c>
      <c r="H113" s="2" t="inlineStr">
        <is>
          <t>Lithium Hydroxide (CID 3939)</t>
        </is>
      </c>
      <c r="I113" s="2" t="inlineStr">
        <is>
          <t>Ester saponification in THF/MeOH/water (as here); pKa of water.</t>
        </is>
      </c>
      <c r="J113" s="2" t="inlineStr">
        <is>
          <t>named and classified by a chemist agent; reviewed by an independent agent</t>
        </is>
      </c>
    </row>
    <row r="114">
      <c r="A114" s="3" t="inlineStr">
        <is>
          <t>O=[N+]([O-])[O-]</t>
        </is>
      </c>
      <c r="B114" s="2" t="inlineStr">
        <is>
          <t>nitrate</t>
        </is>
      </c>
      <c r="C114" s="2" t="inlineStr">
        <is>
          <t>NO3-</t>
        </is>
      </c>
      <c r="D114" s="2" t="inlineStr">
        <is>
          <t>counter-ion / spectator ion</t>
        </is>
      </c>
      <c r="E114" s="2" t="inlineStr">
        <is>
          <t>electrophile / alkylating agent</t>
        </is>
      </c>
      <c r="F114" s="2" t="n"/>
      <c r="G114" s="2" t="n">
        <v>1607</v>
      </c>
      <c r="H114" s="2" t="inlineStr">
        <is>
          <t>Nitrate (CID 943)</t>
        </is>
      </c>
      <c r="I114" s="2" t="inlineStr">
        <is>
          <t>NaNO3/KNO3 with H2SO4 nitrates arenes (as here); also anion of AgNO3, CAN, Cu(NO3)2.</t>
        </is>
      </c>
      <c r="J114" s="2" t="inlineStr">
        <is>
          <t>named and classified by a chemist agent; reviewed by an independent agent</t>
        </is>
      </c>
    </row>
    <row r="115">
      <c r="A115" s="3" t="inlineStr">
        <is>
          <t>[K]</t>
        </is>
      </c>
      <c r="B115" s="2" t="inlineStr">
        <is>
          <t>potassium (metal)</t>
        </is>
      </c>
      <c r="C115" s="2" t="inlineStr">
        <is>
          <t>K</t>
        </is>
      </c>
      <c r="D115" s="2" t="inlineStr">
        <is>
          <t>reductant</t>
        </is>
      </c>
      <c r="E115" s="2" t="inlineStr"/>
      <c r="F115" s="2" t="n"/>
      <c r="G115" s="2" t="n">
        <v>1553</v>
      </c>
      <c r="H115" s="2" t="inlineStr">
        <is>
          <t>Potassium (CID 5462222)</t>
        </is>
      </c>
      <c r="I115" s="2" t="inlineStr">
        <is>
          <t>Alkali metal for dissolving-metal reductions or alkoxide formation; here likely KOH recorded as metal.</t>
        </is>
      </c>
      <c r="J115" s="2" t="inlineStr">
        <is>
          <t>named and classified by a chemist agent; reviewed by an independent agent</t>
        </is>
      </c>
    </row>
    <row r="116">
      <c r="A116" s="3" t="inlineStr">
        <is>
          <t>C[Si](C)(C)Cl</t>
        </is>
      </c>
      <c r="B116" s="2" t="inlineStr">
        <is>
          <t>chlorotrimethylsilane</t>
        </is>
      </c>
      <c r="C116" s="2" t="inlineStr">
        <is>
          <t>TMSCl</t>
        </is>
      </c>
      <c r="D116" s="2" t="inlineStr">
        <is>
          <t>protecting-group reagent</t>
        </is>
      </c>
      <c r="E116" s="2" t="inlineStr">
        <is>
          <t>deprotecting agent</t>
        </is>
      </c>
      <c r="F116" s="2" t="n"/>
      <c r="G116" s="2" t="n">
        <v>1549</v>
      </c>
      <c r="H116" s="2" t="inlineStr">
        <is>
          <t>Chlorotrimethylsilane (CID 6397)</t>
        </is>
      </c>
      <c r="I116" s="2" t="inlineStr">
        <is>
          <t>Silylating agent; with NaI it forms TMSI in situ for ester cleavage (as here); activates Zn.</t>
        </is>
      </c>
      <c r="J116" s="2" t="inlineStr">
        <is>
          <t>named and classified by a chemist agent; reviewed by an independent agent</t>
        </is>
      </c>
    </row>
    <row r="117">
      <c r="A117" s="3" t="inlineStr">
        <is>
          <t>On1nnc2cccnc21</t>
        </is>
      </c>
      <c r="B117" s="2" t="inlineStr">
        <is>
          <t>1-hydroxy-7-azabenzotriazole</t>
        </is>
      </c>
      <c r="C117" s="2" t="inlineStr">
        <is>
          <t>HOAt</t>
        </is>
      </c>
      <c r="D117" s="2" t="inlineStr">
        <is>
          <t>additive</t>
        </is>
      </c>
      <c r="E117" s="2" t="inlineStr">
        <is>
          <t>coupling reagent (activates an acid)</t>
        </is>
      </c>
      <c r="F117" s="2" t="n"/>
      <c r="G117" s="2" t="n">
        <v>1541</v>
      </c>
      <c r="H117" s="2" t="inlineStr">
        <is>
          <t>HOAt (CID 181649)</t>
        </is>
      </c>
      <c r="I117" s="2" t="inlineStr">
        <is>
          <t>More reactive HOBt analogue; forms OAt active esters with EDC/DIC.</t>
        </is>
      </c>
      <c r="J117" s="2" t="inlineStr">
        <is>
          <t>named and classified by a chemist agent; reviewed by an independent agent</t>
        </is>
      </c>
    </row>
    <row r="118">
      <c r="A118" s="3" t="inlineStr">
        <is>
          <t>O=S([O-])[O-]</t>
        </is>
      </c>
      <c r="B118" s="2" t="inlineStr">
        <is>
          <t>sulfite</t>
        </is>
      </c>
      <c r="C118" s="2" t="inlineStr">
        <is>
          <t>SO3(2-)</t>
        </is>
      </c>
      <c r="D118" s="2" t="inlineStr">
        <is>
          <t>reductant</t>
        </is>
      </c>
      <c r="E118" s="2" t="inlineStr">
        <is>
          <t>salt (work-up or additive)</t>
        </is>
      </c>
      <c r="F118" s="2" t="n"/>
      <c r="G118" s="2" t="n">
        <v>1502</v>
      </c>
      <c r="H118" s="2" t="inlineStr">
        <is>
          <t>Sulfite (CID 1099)</t>
        </is>
      </c>
      <c r="I118" s="2" t="inlineStr">
        <is>
          <t>Na2SO3 quenches oxidants (peroxides, halogens) in workup.</t>
        </is>
      </c>
      <c r="J118" s="2" t="inlineStr">
        <is>
          <t>named and classified by a chemist agent; reviewed by an independent agent</t>
        </is>
      </c>
    </row>
    <row r="119">
      <c r="A119" s="3" t="inlineStr">
        <is>
          <t>CC(C)OC(=O)N=NC(=O)OC(C)C</t>
        </is>
      </c>
      <c r="B119" s="2" t="inlineStr">
        <is>
          <t>diisopropyl azodicarboxylate</t>
        </is>
      </c>
      <c r="C119" s="2" t="inlineStr">
        <is>
          <t>DIAD</t>
        </is>
      </c>
      <c r="D119" s="2" t="inlineStr">
        <is>
          <t>dehydrating / activating agent</t>
        </is>
      </c>
      <c r="E119" s="2" t="inlineStr">
        <is>
          <t>oxidant</t>
        </is>
      </c>
      <c r="F119" s="2" t="n"/>
      <c r="G119" s="2" t="n">
        <v>1486</v>
      </c>
      <c r="H119" s="2" t="inlineStr">
        <is>
          <t>Diad (CID 75555)</t>
        </is>
      </c>
      <c r="I119" s="2" t="inlineStr">
        <is>
          <t>Mitsunobu reagent with PPh3 (ether formation from phenol here).</t>
        </is>
      </c>
      <c r="J119" s="2" t="inlineStr">
        <is>
          <t>named and classified by a chemist agent; reviewed by an independent agent</t>
        </is>
      </c>
    </row>
    <row r="120">
      <c r="A120" s="3" t="inlineStr">
        <is>
          <t>O=C=O</t>
        </is>
      </c>
      <c r="B120" s="2" t="inlineStr">
        <is>
          <t>carbon dioxide</t>
        </is>
      </c>
      <c r="C120" s="2" t="inlineStr">
        <is>
          <t>CO2</t>
        </is>
      </c>
      <c r="D120" s="2" t="inlineStr">
        <is>
          <t>gas</t>
        </is>
      </c>
      <c r="E120" s="2" t="inlineStr">
        <is>
          <t>electrophile / alkylating agent</t>
        </is>
      </c>
      <c r="F120" s="2" t="n"/>
      <c r="G120" s="2" t="n">
        <v>1484</v>
      </c>
      <c r="H120" s="2" t="inlineStr">
        <is>
          <t>Carbon Dioxide (CID 280)</t>
        </is>
      </c>
      <c r="I120" s="2" t="inlineStr">
        <is>
          <t>Carboxylation electrophile for organometallics, dry-ice cooling, carbonate buffering.</t>
        </is>
      </c>
      <c r="J120" s="2" t="inlineStr">
        <is>
          <t>named and classified by a chemist agent; reviewed by an independent agent</t>
        </is>
      </c>
    </row>
    <row r="121">
      <c r="A121" s="3" t="inlineStr">
        <is>
          <t>CC(C)OC(=O)/N=N/C(=O)OC(C)C</t>
        </is>
      </c>
      <c r="B121" s="2" t="inlineStr">
        <is>
          <t>diisopropyl azodicarboxylate (E)</t>
        </is>
      </c>
      <c r="C121" s="2" t="inlineStr">
        <is>
          <t>DIAD</t>
        </is>
      </c>
      <c r="D121" s="2" t="inlineStr">
        <is>
          <t>dehydrating / activating agent</t>
        </is>
      </c>
      <c r="E121" s="2" t="inlineStr">
        <is>
          <t>oxidant</t>
        </is>
      </c>
      <c r="F121" s="2" t="n"/>
      <c r="G121" s="2" t="n">
        <v>1434</v>
      </c>
      <c r="H121" s="2" t="inlineStr">
        <is>
          <t>Diad (CID 75555)</t>
        </is>
      </c>
      <c r="I121" s="2" t="inlineStr">
        <is>
          <t>Mitsunobu reagent with PPh3, written with E stereo.</t>
        </is>
      </c>
      <c r="J121" s="2" t="inlineStr">
        <is>
          <t>named and classified by a chemist agent; reviewed by an independent agent</t>
        </is>
      </c>
    </row>
    <row r="122">
      <c r="A122" s="3" t="inlineStr">
        <is>
          <t>[O]=[Pt]=[O]</t>
        </is>
      </c>
      <c r="B122" s="2" t="inlineStr">
        <is>
          <t>platinum(IV) oxide (Adams' catalyst)</t>
        </is>
      </c>
      <c r="C122" s="2" t="inlineStr">
        <is>
          <t>PtO2</t>
        </is>
      </c>
      <c r="D122" s="2" t="inlineStr">
        <is>
          <t>catalyst (metal)</t>
        </is>
      </c>
      <c r="E122" s="2" t="inlineStr"/>
      <c r="F122" s="2" t="n"/>
      <c r="G122" s="2" t="n">
        <v>1405</v>
      </c>
      <c r="H122" s="2" t="inlineStr">
        <is>
          <t>Platinum(IV) oxide (CID 345198)</t>
        </is>
      </c>
      <c r="I122" s="2" t="inlineStr">
        <is>
          <t>Hydrogenation catalyst for nitro groups, alkenes, arenes; less dehalogenation than Pd.</t>
        </is>
      </c>
      <c r="J122" s="2" t="inlineStr">
        <is>
          <t>named and classified by a chemist agent; reviewed by an independent agent</t>
        </is>
      </c>
    </row>
    <row r="123">
      <c r="A123" s="3" t="inlineStr">
        <is>
          <t>CC(C)COC(=O)Cl</t>
        </is>
      </c>
      <c r="B123" s="2" t="inlineStr">
        <is>
          <t>isobutyl chloroformate</t>
        </is>
      </c>
      <c r="C123" s="2" t="inlineStr">
        <is>
          <t>IBCF</t>
        </is>
      </c>
      <c r="D123" s="2" t="inlineStr">
        <is>
          <t>coupling reagent (activates an acid)</t>
        </is>
      </c>
      <c r="E123" s="2" t="inlineStr"/>
      <c r="F123" s="2" t="n"/>
      <c r="G123" s="2" t="n">
        <v>1393</v>
      </c>
      <c r="H123" s="2" t="inlineStr">
        <is>
          <t>Isobutyl chloroformate (CID 62365)</t>
        </is>
      </c>
      <c r="I123" s="2" t="inlineStr">
        <is>
          <t>Mixed-anhydride activation of acids (with NMM) for amide formation.</t>
        </is>
      </c>
      <c r="J123" s="2" t="inlineStr">
        <is>
          <t>named and classified by a chemist agent; reviewed by an independent agent</t>
        </is>
      </c>
    </row>
    <row r="124">
      <c r="A124" s="3" t="inlineStr">
        <is>
          <t>CS(=O)(=O)O</t>
        </is>
      </c>
      <c r="B124" s="2" t="inlineStr">
        <is>
          <t>methanesulfonic acid</t>
        </is>
      </c>
      <c r="C124" s="2" t="inlineStr">
        <is>
          <t>MsOH</t>
        </is>
      </c>
      <c r="D124" s="2" t="inlineStr">
        <is>
          <t>acid</t>
        </is>
      </c>
      <c r="E124" s="2" t="inlineStr"/>
      <c r="F124" s="2" t="n"/>
      <c r="G124" s="2" t="n">
        <v>1322</v>
      </c>
      <c r="H124" s="2" t="inlineStr">
        <is>
          <t>Methanesulfonic Acid (CID 6395)</t>
        </is>
      </c>
      <c r="I124" s="2" t="inlineStr">
        <is>
          <t>Strong acid (pKa about -1.9) for salt formation (mesylate salts), Boc removal, cyclizations.</t>
        </is>
      </c>
      <c r="J124" s="2" t="inlineStr">
        <is>
          <t>named and classified by a chemist agent; reviewed by an independent agent</t>
        </is>
      </c>
    </row>
    <row r="125">
      <c r="A125" s="3" t="inlineStr">
        <is>
          <t>[Ca+2]</t>
        </is>
      </c>
      <c r="B125" s="2" t="inlineStr">
        <is>
          <t>calcium ion</t>
        </is>
      </c>
      <c r="C125" s="2" t="inlineStr">
        <is>
          <t>Ca2+</t>
        </is>
      </c>
      <c r="D125" s="2" t="inlineStr">
        <is>
          <t>counter-ion / spectator ion</t>
        </is>
      </c>
      <c r="E125" s="2" t="inlineStr"/>
      <c r="F125" s="2" t="n"/>
      <c r="G125" s="2" t="n">
        <v>1290</v>
      </c>
      <c r="H125" s="2" t="inlineStr">
        <is>
          <t>Calcium Cation (CID 271)</t>
        </is>
      </c>
      <c r="I125" s="2" t="inlineStr">
        <is>
          <t>From CaCl2 (Zn/CaCl2 nitro reduction here, drying), CaCO3 (Lindlar support), CaH2.</t>
        </is>
      </c>
      <c r="J125" s="2" t="inlineStr">
        <is>
          <t>named and classified by a chemist agent; reviewed by an independent agent</t>
        </is>
      </c>
    </row>
    <row r="126">
      <c r="A126" s="3" t="inlineStr">
        <is>
          <t>CC(C)(C#N)N=NC(C)(C)C#N</t>
        </is>
      </c>
      <c r="B126" s="2" t="inlineStr">
        <is>
          <t>azobisisobutyronitrile</t>
        </is>
      </c>
      <c r="C126" s="2" t="inlineStr">
        <is>
          <t>AIBN</t>
        </is>
      </c>
      <c r="D126" s="2" t="inlineStr">
        <is>
          <t>radical initiator</t>
        </is>
      </c>
      <c r="E126" s="2" t="inlineStr"/>
      <c r="F126" s="2" t="n"/>
      <c r="G126" s="2" t="n">
        <v>1246</v>
      </c>
      <c r="H126" s="2" t="inlineStr">
        <is>
          <t>Azobisisobutyronitrile (CID 6547)</t>
        </is>
      </c>
      <c r="I126" s="2" t="inlineStr">
        <is>
          <t>Initiates Wohl-Ziegler benzylic bromination with NBS (as here) and Bu3SnH reductions.</t>
        </is>
      </c>
      <c r="J126" s="2" t="inlineStr">
        <is>
          <t>named and classified by a chemist agent; reviewed by an independent agent</t>
        </is>
      </c>
    </row>
    <row r="127">
      <c r="A127" s="3" t="inlineStr">
        <is>
          <t>[CH3][Al]([CH3])[CH3]</t>
        </is>
      </c>
      <c r="B127" s="2" t="inlineStr">
        <is>
          <t>trimethylaluminium</t>
        </is>
      </c>
      <c r="C127" s="2" t="inlineStr">
        <is>
          <t>AlMe3</t>
        </is>
      </c>
      <c r="D127" s="2" t="inlineStr">
        <is>
          <t>organometallic reagent</t>
        </is>
      </c>
      <c r="E127" s="2" t="inlineStr">
        <is>
          <t>Lewis acid</t>
        </is>
      </c>
      <c r="F127" s="2" t="n"/>
      <c r="G127" s="2" t="n">
        <v>1244</v>
      </c>
      <c r="H127" s="2" t="inlineStr">
        <is>
          <t>Trimethylaluminum (CID 16682925)</t>
        </is>
      </c>
      <c r="I127" s="2" t="inlineStr">
        <is>
          <t>Lewis-acidic organoaluminium for ester aminolysis/transesterification (with amines/alcohols) and methyl transfer.</t>
        </is>
      </c>
      <c r="J127" s="2" t="inlineStr">
        <is>
          <t>named and classified by a chemist agent; reviewed by an independent agent</t>
        </is>
      </c>
    </row>
    <row r="128">
      <c r="A128" s="3" t="inlineStr">
        <is>
          <t>O=S([O-])OO</t>
        </is>
      </c>
      <c r="B128" s="2" t="inlineStr">
        <is>
          <t>hydroperoxysulfite (hydroxy sulfite, HOO-S(=O)O-)</t>
        </is>
      </c>
      <c r="C128" s="2" t="inlineStr">
        <is>
          <t>HSO5- (Oxone)</t>
        </is>
      </c>
      <c r="D128" s="2" t="inlineStr">
        <is>
          <t>oxidant</t>
        </is>
      </c>
      <c r="E128" s="2" t="inlineStr"/>
      <c r="F128" s="2" t="n"/>
      <c r="G128" s="2" t="n">
        <v>1237</v>
      </c>
      <c r="H128" s="2" t="inlineStr">
        <is>
          <t>Hydroxy sulfite (CID 6418464)</t>
        </is>
      </c>
      <c r="I128" s="2" t="inlineStr">
        <is>
          <t>Oxone terminal oxidant, here with IBS catalyst for alcohol to ketone; recorded SMILES lacks one S=O oxygen.</t>
        </is>
      </c>
      <c r="J128" s="2" t="inlineStr">
        <is>
          <t>named and classified by a chemist agent; reviewed by an independent agent; name corrected after comparing with PubChem (was: peroxymonosulfate (Oxone, as recorded))</t>
        </is>
      </c>
    </row>
    <row r="129">
      <c r="A129" s="3" t="inlineStr">
        <is>
          <t>O=C(OOC(=O)c1ccccc1)c1ccccc1</t>
        </is>
      </c>
      <c r="B129" s="2" t="inlineStr">
        <is>
          <t>benzoyl peroxide</t>
        </is>
      </c>
      <c r="C129" s="2" t="inlineStr">
        <is>
          <t>BPO</t>
        </is>
      </c>
      <c r="D129" s="2" t="inlineStr">
        <is>
          <t>radical initiator</t>
        </is>
      </c>
      <c r="E129" s="2" t="inlineStr"/>
      <c r="F129" s="2" t="n"/>
      <c r="G129" s="2" t="n">
        <v>1224</v>
      </c>
      <c r="H129" s="2" t="inlineStr">
        <is>
          <t>Benzoyl Peroxide (CID 7187)</t>
        </is>
      </c>
      <c r="I129" s="2" t="inlineStr">
        <is>
          <t>Initiates NBS benzylic bromination in CCl4 (as here).</t>
        </is>
      </c>
      <c r="J129" s="2" t="inlineStr">
        <is>
          <t>named and classified by a chemist agent; reviewed by an independent agent</t>
        </is>
      </c>
    </row>
    <row r="130">
      <c r="A130" s="3" t="inlineStr">
        <is>
          <t>O=S([O-])O</t>
        </is>
      </c>
      <c r="B130" s="2" t="inlineStr">
        <is>
          <t>bisulfite (hydrogen sulfite)</t>
        </is>
      </c>
      <c r="C130" s="2" t="inlineStr">
        <is>
          <t>HSO3-</t>
        </is>
      </c>
      <c r="D130" s="2" t="inlineStr">
        <is>
          <t>reductant</t>
        </is>
      </c>
      <c r="E130" s="2" t="inlineStr">
        <is>
          <t>salt (work-up or additive)</t>
        </is>
      </c>
      <c r="F130" s="2" t="n"/>
      <c r="G130" s="2" t="n">
        <v>1209</v>
      </c>
      <c r="H130" s="2" t="inlineStr">
        <is>
          <t>Bisulfite (CID 104748)</t>
        </is>
      </c>
      <c r="I130" s="2" t="inlineStr">
        <is>
          <t>NaHSO3 quenches oxidants and halogens; forms aldehyde bisulfite adducts.</t>
        </is>
      </c>
      <c r="J130" s="2" t="inlineStr">
        <is>
          <t>named and classified by a chemist agent; reviewed by an independent agent</t>
        </is>
      </c>
    </row>
    <row r="131">
      <c r="A131" s="3" t="inlineStr">
        <is>
          <t>CCCCP(CCCC)CCCC</t>
        </is>
      </c>
      <c r="B131" s="2" t="inlineStr">
        <is>
          <t>tributylphosphine</t>
        </is>
      </c>
      <c r="C131" s="2" t="inlineStr">
        <is>
          <t>PBu3</t>
        </is>
      </c>
      <c r="D131" s="2" t="inlineStr">
        <is>
          <t>dehydrating / activating agent</t>
        </is>
      </c>
      <c r="E131" s="2" t="inlineStr">
        <is>
          <t>ligand</t>
        </is>
      </c>
      <c r="F131" s="2" t="n"/>
      <c r="G131" s="2" t="n">
        <v>1209</v>
      </c>
      <c r="H131" s="2" t="inlineStr">
        <is>
          <t>Tributylphosphine (CID 13831)</t>
        </is>
      </c>
      <c r="I131" s="2" t="inlineStr">
        <is>
          <t>Mitsunobu with ADDP for weakly acidic nucleophiles (as here); also ligand and reductant.</t>
        </is>
      </c>
      <c r="J131" s="2" t="inlineStr">
        <is>
          <t>named and classified by a chemist agent; reviewed by an independent agent</t>
        </is>
      </c>
    </row>
    <row r="132">
      <c r="A132" s="3" t="inlineStr">
        <is>
          <t>[O-][I+3]([O-])([O-])[O-]</t>
        </is>
      </c>
      <c r="B132" s="2" t="inlineStr">
        <is>
          <t>periodate</t>
        </is>
      </c>
      <c r="C132" s="2" t="inlineStr">
        <is>
          <t>IO4- (NaIO4)</t>
        </is>
      </c>
      <c r="D132" s="2" t="inlineStr">
        <is>
          <t>oxidant</t>
        </is>
      </c>
      <c r="E132" s="2" t="inlineStr"/>
      <c r="F132" s="2" t="n"/>
      <c r="G132" s="2" t="n">
        <v>1208</v>
      </c>
      <c r="H132" s="2" t="inlineStr"/>
      <c r="I132" s="2" t="inlineStr">
        <is>
          <t>NaIO4 cleaves diols and is the terminal oxidant for RuCl3 (as here) or OsO4 catalysis.</t>
        </is>
      </c>
      <c r="J132" s="2" t="inlineStr">
        <is>
          <t>named and classified by a chemist agent; reviewed by an independent agent</t>
        </is>
      </c>
    </row>
    <row r="133">
      <c r="A133" s="3" t="inlineStr">
        <is>
          <t>[Cu]</t>
        </is>
      </c>
      <c r="B133" s="2" t="inlineStr">
        <is>
          <t>copper</t>
        </is>
      </c>
      <c r="C133" s="2" t="inlineStr">
        <is>
          <t>Cu</t>
        </is>
      </c>
      <c r="D133" s="2" t="inlineStr">
        <is>
          <t>catalyst (metal)</t>
        </is>
      </c>
      <c r="E133" s="2" t="inlineStr"/>
      <c r="F133" s="2" t="n"/>
      <c r="G133" s="2" t="n">
        <v>1197</v>
      </c>
      <c r="H133" s="2" t="inlineStr">
        <is>
          <t>Copper (CID 23978)</t>
        </is>
      </c>
      <c r="I133" s="2" t="inlineStr">
        <is>
          <t>Cu powder for Ullmann couplings, trifluoromethylation and decarboxylation.</t>
        </is>
      </c>
      <c r="J133" s="2" t="inlineStr">
        <is>
          <t>named and classified by a chemist agent; reviewed by an independent agent</t>
        </is>
      </c>
    </row>
    <row r="134">
      <c r="A134" s="3" t="inlineStr">
        <is>
          <t>CC(C)[CH2][AlH][CH2]C(C)C</t>
        </is>
      </c>
      <c r="B134" s="2" t="inlineStr">
        <is>
          <t>diisobutylaluminium hydride</t>
        </is>
      </c>
      <c r="C134" s="2" t="inlineStr">
        <is>
          <t>DIBAL-H</t>
        </is>
      </c>
      <c r="D134" s="2" t="inlineStr">
        <is>
          <t>reductant</t>
        </is>
      </c>
      <c r="E134" s="2" t="inlineStr"/>
      <c r="F134" s="2" t="n"/>
      <c r="G134" s="2" t="n">
        <v>1194</v>
      </c>
      <c r="H134" s="2" t="inlineStr">
        <is>
          <t>Diisobutylaluminum hydride (CID 14487)</t>
        </is>
      </c>
      <c r="I134" s="2" t="inlineStr">
        <is>
          <t>Reduces esters/nitriles to aldehydes at -78 C, lactones to lactols; demethylates aryl ethers on heating (as here).</t>
        </is>
      </c>
      <c r="J134" s="2" t="inlineStr">
        <is>
          <t>named and classified by a chemist agent; reviewed by an independent agent</t>
        </is>
      </c>
    </row>
    <row r="135">
      <c r="A135" s="3" t="inlineStr">
        <is>
          <t>CNC</t>
        </is>
      </c>
      <c r="B135" s="2" t="inlineStr">
        <is>
          <t>dimethylamine</t>
        </is>
      </c>
      <c r="C135" s="2" t="inlineStr">
        <is>
          <t>Me2NH</t>
        </is>
      </c>
      <c r="D135" s="2" t="inlineStr">
        <is>
          <t>nucleophile</t>
        </is>
      </c>
      <c r="E135" s="2" t="inlineStr">
        <is>
          <t>base</t>
        </is>
      </c>
      <c r="F135" s="2" t="n">
        <v>10.7</v>
      </c>
      <c r="G135" s="2" t="n">
        <v>1186</v>
      </c>
      <c r="H135" s="2" t="inlineStr">
        <is>
          <t>Dimethylamine (CID 674)</t>
        </is>
      </c>
      <c r="I135" s="2" t="inlineStr">
        <is>
          <t>Secondary amine nucleophile for amides, SNAr, Mannich; pKa in water.</t>
        </is>
      </c>
      <c r="J135" s="2" t="inlineStr">
        <is>
          <t>named and classified by a chemist agent; reviewed by an independent agent</t>
        </is>
      </c>
    </row>
    <row r="136">
      <c r="A136" s="3" t="inlineStr">
        <is>
          <t>CCOC(=O)/N=N/C(=O)OCC</t>
        </is>
      </c>
      <c r="B136" s="2" t="inlineStr">
        <is>
          <t>diethyl azodicarboxylate (E)</t>
        </is>
      </c>
      <c r="C136" s="2" t="inlineStr">
        <is>
          <t>DEAD</t>
        </is>
      </c>
      <c r="D136" s="2" t="inlineStr">
        <is>
          <t>dehydrating / activating agent</t>
        </is>
      </c>
      <c r="E136" s="2" t="inlineStr">
        <is>
          <t>oxidant</t>
        </is>
      </c>
      <c r="F136" s="2" t="n"/>
      <c r="G136" s="2" t="n">
        <v>1147</v>
      </c>
      <c r="H136" s="2" t="inlineStr">
        <is>
          <t>ethyl N-ethoxycarbonyliminocarbamate (CID 220568)</t>
        </is>
      </c>
      <c r="I136" s="2" t="inlineStr">
        <is>
          <t>Mitsunobu reagent with PPh3 (aryl ether with inversion here).</t>
        </is>
      </c>
      <c r="J136" s="2" t="inlineStr">
        <is>
          <t>named and classified by a chemist agent; reviewed by an independent agent</t>
        </is>
      </c>
    </row>
    <row r="137">
      <c r="A137" s="3" t="inlineStr">
        <is>
          <t>[Cl][Ti]([Cl])([Cl])[Cl]</t>
        </is>
      </c>
      <c r="B137" s="2" t="inlineStr">
        <is>
          <t>titanium(IV) chloride</t>
        </is>
      </c>
      <c r="C137" s="2" t="inlineStr">
        <is>
          <t>TiCl4</t>
        </is>
      </c>
      <c r="D137" s="2" t="inlineStr">
        <is>
          <t>Lewis acid</t>
        </is>
      </c>
      <c r="E137" s="2" t="inlineStr">
        <is>
          <t>reductant</t>
        </is>
      </c>
      <c r="F137" s="2" t="n"/>
      <c r="G137" s="2" t="n">
        <v>1134</v>
      </c>
      <c r="H137" s="2" t="inlineStr">
        <is>
          <t>Titanium Tetrachloride (CID 24193)</t>
        </is>
      </c>
      <c r="I137" s="2" t="inlineStr">
        <is>
          <t>Lewis acid for aldol/Mukaiyama and imine formation; with LiAlH4 or Zn gives low-valent Ti (McMurry, nitro reduction).</t>
        </is>
      </c>
      <c r="J137" s="2" t="inlineStr">
        <is>
          <t>named and classified by a chemist agent; reviewed by an independent agent</t>
        </is>
      </c>
    </row>
    <row r="138">
      <c r="A138" s="3" t="inlineStr">
        <is>
          <t>CSC</t>
        </is>
      </c>
      <c r="B138" s="2" t="inlineStr">
        <is>
          <t>dimethyl sulfide</t>
        </is>
      </c>
      <c r="C138" s="2" t="inlineStr">
        <is>
          <t>DMS (Me2S)</t>
        </is>
      </c>
      <c r="D138" s="2" t="inlineStr">
        <is>
          <t>reductant</t>
        </is>
      </c>
      <c r="E138" s="2" t="inlineStr"/>
      <c r="F138" s="2" t="n"/>
      <c r="G138" s="2" t="n">
        <v>1131</v>
      </c>
      <c r="H138" s="2" t="inlineStr">
        <is>
          <t>Dimethyl Sulfide (CID 1068)</t>
        </is>
      </c>
      <c r="I138" s="2" t="inlineStr">
        <is>
          <t>Reductive ozonolysis workup; with NCS/NBS gives Corey-Kim oxidation; ligand of BH3.SMe2.</t>
        </is>
      </c>
      <c r="J138" s="2" t="inlineStr">
        <is>
          <t>named and classified by a chemist agent; reviewed by an independent agent</t>
        </is>
      </c>
    </row>
    <row r="139">
      <c r="A139" s="3" t="inlineStr">
        <is>
          <t>CCOC(=O)Cl</t>
        </is>
      </c>
      <c r="B139" s="2" t="inlineStr">
        <is>
          <t>ethyl chloroformate</t>
        </is>
      </c>
      <c r="C139" s="2" t="inlineStr">
        <is>
          <t>ECF</t>
        </is>
      </c>
      <c r="D139" s="2" t="inlineStr">
        <is>
          <t>coupling reagent (activates an acid)</t>
        </is>
      </c>
      <c r="E139" s="2" t="inlineStr">
        <is>
          <t>protecting-group reagent</t>
        </is>
      </c>
      <c r="F139" s="2" t="n"/>
      <c r="G139" s="2" t="n">
        <v>1112</v>
      </c>
      <c r="H139" s="2" t="inlineStr">
        <is>
          <t>Ethyl chloroformate (CID 10928)</t>
        </is>
      </c>
      <c r="I139" s="2" t="inlineStr">
        <is>
          <t>Mixed-anhydride activation of acids; forms ethyl carbamates and carbonates.</t>
        </is>
      </c>
      <c r="J139" s="2" t="inlineStr">
        <is>
          <t>named and classified by a chemist agent; reviewed by an independent agent</t>
        </is>
      </c>
    </row>
    <row r="140">
      <c r="A140" s="3" t="inlineStr">
        <is>
          <t>[Pt]</t>
        </is>
      </c>
      <c r="B140" s="2" t="inlineStr">
        <is>
          <t>platinum</t>
        </is>
      </c>
      <c r="C140" s="2" t="inlineStr">
        <is>
          <t>Pt (Pt/C)</t>
        </is>
      </c>
      <c r="D140" s="2" t="inlineStr">
        <is>
          <t>catalyst (metal)</t>
        </is>
      </c>
      <c r="E140" s="2" t="inlineStr"/>
      <c r="F140" s="2" t="n"/>
      <c r="G140" s="2" t="n">
        <v>1110</v>
      </c>
      <c r="H140" s="2" t="inlineStr">
        <is>
          <t>Platinum (CID 23939)</t>
        </is>
      </c>
      <c r="I140" s="2" t="inlineStr">
        <is>
          <t>Hydrogenation catalyst; sulfided Pt/C reduces nitro groups without dehalogenation.</t>
        </is>
      </c>
      <c r="J140" s="2" t="inlineStr">
        <is>
          <t>named and classified by a chemist agent; reviewed by an independent agent</t>
        </is>
      </c>
    </row>
    <row r="141">
      <c r="A141" s="3" t="inlineStr">
        <is>
          <t>c1ccc2c(c1)nnn2O[P+](N1CCCC1)(N1CCCC1)N1CCCC1</t>
        </is>
      </c>
      <c r="B141" s="2" t="inlineStr">
        <is>
          <t>PyBOP (benzotriazolyloxy-tripyrrolidinophosphonium cation)</t>
        </is>
      </c>
      <c r="C141" s="2" t="inlineStr">
        <is>
          <t>PyBOP</t>
        </is>
      </c>
      <c r="D141" s="2" t="inlineStr">
        <is>
          <t>coupling reagent (activates an acid)</t>
        </is>
      </c>
      <c r="E141" s="2" t="inlineStr"/>
      <c r="F141" s="2" t="n"/>
      <c r="G141" s="2" t="n">
        <v>1097</v>
      </c>
      <c r="H141" s="2" t="inlineStr">
        <is>
          <t>Benzotriazol-1-yl-oxytripyrrolidinophosphonium (CID 2724700)</t>
        </is>
      </c>
      <c r="I141" s="2" t="inlineStr">
        <is>
          <t>Phosphonium (with PF6-) amide coupling reagent with DIPEA; no HMPA byproduct.</t>
        </is>
      </c>
      <c r="J141" s="2" t="inlineStr">
        <is>
          <t>named and classified by a chemist agent; reviewed by an independent agent</t>
        </is>
      </c>
    </row>
    <row r="142">
      <c r="A142" s="3" t="inlineStr">
        <is>
          <t>BrP(Br)Br</t>
        </is>
      </c>
      <c r="B142" s="2" t="inlineStr">
        <is>
          <t>phosphorus tribromide</t>
        </is>
      </c>
      <c r="C142" s="2" t="inlineStr">
        <is>
          <t>PBr3</t>
        </is>
      </c>
      <c r="D142" s="2" t="inlineStr">
        <is>
          <t>halogenating agent</t>
        </is>
      </c>
      <c r="E142" s="2" t="inlineStr"/>
      <c r="F142" s="2" t="n"/>
      <c r="G142" s="2" t="n">
        <v>1096</v>
      </c>
      <c r="H142" s="2" t="inlineStr">
        <is>
          <t>Phosphorus tribromide (CID 24614)</t>
        </is>
      </c>
      <c r="I142" s="2" t="inlineStr">
        <is>
          <t>Converts alcohols to alkyl bromides.</t>
        </is>
      </c>
      <c r="J142" s="2" t="inlineStr">
        <is>
          <t>named and classified by a chemist agent; reviewed by an independent agent</t>
        </is>
      </c>
    </row>
    <row r="143">
      <c r="A143" s="3" t="inlineStr">
        <is>
          <t>O=S(=O)(Cl)Cl</t>
        </is>
      </c>
      <c r="B143" s="2" t="inlineStr">
        <is>
          <t>sulfuryl chloride</t>
        </is>
      </c>
      <c r="C143" s="2" t="inlineStr">
        <is>
          <t>SO2Cl2</t>
        </is>
      </c>
      <c r="D143" s="2" t="inlineStr">
        <is>
          <t>halogenating agent</t>
        </is>
      </c>
      <c r="E143" s="2" t="inlineStr"/>
      <c r="F143" s="2" t="n"/>
      <c r="G143" s="2" t="n">
        <v>1089</v>
      </c>
      <c r="H143" s="2" t="inlineStr">
        <is>
          <t>Sulfuryl chloride (CID 24648)</t>
        </is>
      </c>
      <c r="I143" s="2" t="inlineStr">
        <is>
          <t>Chlorinates arenes and alpha-carbonyl positions; radical chlorination.</t>
        </is>
      </c>
      <c r="J143" s="2" t="inlineStr">
        <is>
          <t>named and classified by a chemist agent; reviewed by an independent agent</t>
        </is>
      </c>
    </row>
    <row r="144">
      <c r="A144" s="3" t="inlineStr">
        <is>
          <t>[Ti+4]</t>
        </is>
      </c>
      <c r="B144" s="2" t="inlineStr">
        <is>
          <t>titanium(IV) ion</t>
        </is>
      </c>
      <c r="C144" s="2" t="inlineStr">
        <is>
          <t>Ti4+</t>
        </is>
      </c>
      <c r="D144" s="2" t="inlineStr">
        <is>
          <t>Lewis acid</t>
        </is>
      </c>
      <c r="E144" s="2" t="inlineStr">
        <is>
          <t>counter-ion / spectator ion</t>
        </is>
      </c>
      <c r="F144" s="2" t="n"/>
      <c r="G144" s="2" t="n">
        <v>1078</v>
      </c>
      <c r="H144" s="2" t="inlineStr">
        <is>
          <t>Titanium cation (4+) (CID 114942)</t>
        </is>
      </c>
      <c r="I144" s="2" t="inlineStr">
        <is>
          <t>From TiO2 catalyst supports (as here), Ti(OiPr)4 or TiCl4.</t>
        </is>
      </c>
      <c r="J144" s="2" t="inlineStr">
        <is>
          <t>named and classified by a chemist agent; reviewed by an independent agent</t>
        </is>
      </c>
    </row>
    <row r="145">
      <c r="A145" s="3" t="inlineStr">
        <is>
          <t>Cc1ccc(S(=O)(=O)[O-])cc1</t>
        </is>
      </c>
      <c r="B145" s="2" t="inlineStr">
        <is>
          <t>p-toluenesulfonate (tosylate)</t>
        </is>
      </c>
      <c r="C145" s="2" t="inlineStr">
        <is>
          <t>TsO-</t>
        </is>
      </c>
      <c r="D145" s="2" t="inlineStr">
        <is>
          <t>counter-ion / spectator ion</t>
        </is>
      </c>
      <c r="E145" s="2" t="inlineStr"/>
      <c r="F145" s="2" t="n"/>
      <c r="G145" s="2" t="n">
        <v>1076</v>
      </c>
      <c r="H145" s="2" t="inlineStr">
        <is>
          <t>p-Toluenesulfonate (CID 85570)</t>
        </is>
      </c>
      <c r="I145" s="2" t="inlineStr">
        <is>
          <t>Anion of tosylate salts (PPTS, amine tosylates).</t>
        </is>
      </c>
      <c r="J145" s="2" t="inlineStr">
        <is>
          <t>named and classified by a chemist agent; reviewed by an independent agent</t>
        </is>
      </c>
    </row>
    <row r="146">
      <c r="A146" s="3" t="inlineStr">
        <is>
          <t>COc1cccc(OC)c1-c1ccccc1P(C1CCCCC1)C1CCCCC1</t>
        </is>
      </c>
      <c r="B146" s="2" t="inlineStr">
        <is>
          <t>SPhos</t>
        </is>
      </c>
      <c r="C146" s="2" t="inlineStr">
        <is>
          <t>SPhos</t>
        </is>
      </c>
      <c r="D146" s="2" t="inlineStr">
        <is>
          <t>ligand</t>
        </is>
      </c>
      <c r="E146" s="2" t="inlineStr"/>
      <c r="F146" s="2" t="n"/>
      <c r="G146" s="2" t="n">
        <v>1073</v>
      </c>
      <c r="H146" s="2" t="inlineStr">
        <is>
          <t>2-Dicyclohexylphosphino-2',6'-dimethoxybiphenyl (CID 11269872)</t>
        </is>
      </c>
      <c r="I146" s="2" t="inlineStr">
        <is>
          <t>Biaryl dialkylphosphine for Pd Suzuki couplings of hindered or chloro arenes.</t>
        </is>
      </c>
      <c r="J146" s="2" t="inlineStr">
        <is>
          <t>named and classified by a chemist agent; reviewed by an independent agent</t>
        </is>
      </c>
    </row>
    <row r="147">
      <c r="A147" s="3" t="inlineStr">
        <is>
          <t>ClP(Cl)(Cl)(Cl)Cl</t>
        </is>
      </c>
      <c r="B147" s="2" t="inlineStr">
        <is>
          <t>phosphorus pentachloride</t>
        </is>
      </c>
      <c r="C147" s="2" t="inlineStr">
        <is>
          <t>PCl5</t>
        </is>
      </c>
      <c r="D147" s="2" t="inlineStr">
        <is>
          <t>halogenating agent</t>
        </is>
      </c>
      <c r="E147" s="2" t="inlineStr"/>
      <c r="F147" s="2" t="n"/>
      <c r="G147" s="2" t="n">
        <v>1071</v>
      </c>
      <c r="H147" s="2" t="inlineStr">
        <is>
          <t>Phosphorus pentachloride (CID 24819)</t>
        </is>
      </c>
      <c r="I147" s="2" t="inlineStr">
        <is>
          <t>Converts acids to acyl chlorides (as here) and amides to imidoyl chlorides.</t>
        </is>
      </c>
      <c r="J147" s="2" t="inlineStr">
        <is>
          <t>named and classified by a chemist agent; reviewed by an independent agent</t>
        </is>
      </c>
    </row>
    <row r="148">
      <c r="A148" s="3" t="inlineStr">
        <is>
          <t>C1COCCOCCOCCOCCOCCO1</t>
        </is>
      </c>
      <c r="B148" s="2" t="inlineStr">
        <is>
          <t>18-crown-6</t>
        </is>
      </c>
      <c r="C148" s="2" t="inlineStr">
        <is>
          <t>18-C-6</t>
        </is>
      </c>
      <c r="D148" s="2" t="inlineStr">
        <is>
          <t>phase-transfer catalyst</t>
        </is>
      </c>
      <c r="E148" s="2" t="inlineStr">
        <is>
          <t>additive</t>
        </is>
      </c>
      <c r="F148" s="2" t="n"/>
      <c r="G148" s="2" t="n">
        <v>1070</v>
      </c>
      <c r="H148" s="2" t="inlineStr">
        <is>
          <t>18-Crown-6 (CID 28557)</t>
        </is>
      </c>
      <c r="I148" s="2" t="inlineStr">
        <is>
          <t>Complexes K+ to solubilize and activate KOH, KF, KOtBu, KCN.</t>
        </is>
      </c>
      <c r="J148" s="2" t="inlineStr">
        <is>
          <t>named and classified by a chemist agent; reviewed by an independent agent</t>
        </is>
      </c>
    </row>
    <row r="149">
      <c r="A149" s="3" t="inlineStr">
        <is>
          <t>Cc1ccccc1P(c1ccccc1C)c1ccccc1C</t>
        </is>
      </c>
      <c r="B149" s="2" t="inlineStr">
        <is>
          <t>tri(o-tolyl)phosphine</t>
        </is>
      </c>
      <c r="C149" s="2" t="inlineStr">
        <is>
          <t>P(o-tol)3</t>
        </is>
      </c>
      <c r="D149" s="2" t="inlineStr">
        <is>
          <t>ligand</t>
        </is>
      </c>
      <c r="E149" s="2" t="inlineStr"/>
      <c r="F149" s="2" t="n"/>
      <c r="G149" s="2" t="n">
        <v>1069</v>
      </c>
      <c r="H149" s="2" t="inlineStr">
        <is>
          <t>Tri-o-tolylphosphine (CID 80271)</t>
        </is>
      </c>
      <c r="I149" s="2" t="inlineStr">
        <is>
          <t>Pd ligand for Heck and Suzuki couplings.</t>
        </is>
      </c>
      <c r="J149" s="2" t="inlineStr">
        <is>
          <t>named and classified by a chemist agent; reviewed by an independent agent</t>
        </is>
      </c>
    </row>
    <row r="150">
      <c r="A150" s="3" t="inlineStr">
        <is>
          <t>[Li]</t>
        </is>
      </c>
      <c r="B150" s="2" t="inlineStr">
        <is>
          <t>lithium (metal)</t>
        </is>
      </c>
      <c r="C150" s="2" t="inlineStr">
        <is>
          <t>Li</t>
        </is>
      </c>
      <c r="D150" s="2" t="inlineStr">
        <is>
          <t>reductant</t>
        </is>
      </c>
      <c r="E150" s="2" t="inlineStr"/>
      <c r="F150" s="2" t="n"/>
      <c r="G150" s="2" t="n">
        <v>1053</v>
      </c>
      <c r="H150" s="2" t="inlineStr">
        <is>
          <t>Lithium (CID 3028194)</t>
        </is>
      </c>
      <c r="I150" s="2" t="inlineStr">
        <is>
          <t>Birch reductions and organolithium formation (here likely LiOH recorded as metal).</t>
        </is>
      </c>
      <c r="J150" s="2" t="inlineStr">
        <is>
          <t>named and classified by a chemist agent; reviewed by an independent agent</t>
        </is>
      </c>
    </row>
    <row r="151">
      <c r="A151" s="3" t="inlineStr">
        <is>
          <t>[Li][C](C)(C)C</t>
        </is>
      </c>
      <c r="B151" s="2" t="inlineStr">
        <is>
          <t>tert-butyllithium</t>
        </is>
      </c>
      <c r="C151" s="2" t="inlineStr">
        <is>
          <t>t-BuLi</t>
        </is>
      </c>
      <c r="D151" s="2" t="inlineStr">
        <is>
          <t>organometallic reagent</t>
        </is>
      </c>
      <c r="E151" s="2" t="inlineStr">
        <is>
          <t>base</t>
        </is>
      </c>
      <c r="F151" s="2" t="n">
        <v>53</v>
      </c>
      <c r="G151" s="2" t="n">
        <v>1050</v>
      </c>
      <c r="H151" s="2" t="inlineStr">
        <is>
          <t>t-Butyllithium (CID 638178)</t>
        </is>
      </c>
      <c r="I151" s="2" t="inlineStr">
        <is>
          <t>Very strong base for ortho-lithiation (with TMEDA, as here) and Li-halogen exchange; pKa of isobutane about 53.</t>
        </is>
      </c>
      <c r="J151" s="2" t="inlineStr">
        <is>
          <t>named and classified by a chemist agent; reviewed by an independent agent</t>
        </is>
      </c>
    </row>
    <row r="152">
      <c r="A152" s="3" t="inlineStr">
        <is>
          <t>C[CH](C)[Mg][Cl]</t>
        </is>
      </c>
      <c r="B152" s="2" t="inlineStr">
        <is>
          <t>isopropylmagnesium chloride</t>
        </is>
      </c>
      <c r="C152" s="2" t="inlineStr">
        <is>
          <t>iPrMgCl</t>
        </is>
      </c>
      <c r="D152" s="2" t="inlineStr">
        <is>
          <t>organometallic reagent</t>
        </is>
      </c>
      <c r="E152" s="2" t="inlineStr"/>
      <c r="F152" s="2" t="n"/>
      <c r="G152" s="2" t="n">
        <v>1046</v>
      </c>
      <c r="H152" s="2" t="inlineStr">
        <is>
          <t>Chloroisopropylmagnesium (CID 101955)</t>
        </is>
      </c>
      <c r="I152" s="2" t="inlineStr">
        <is>
          <t>Halogen-magnesium exchange (Turbo Grignard with LiCl) and Grignard additions.</t>
        </is>
      </c>
      <c r="J152" s="2" t="inlineStr">
        <is>
          <t>named and classified by a chemist agent; reviewed by an independent agent</t>
        </is>
      </c>
    </row>
    <row r="153">
      <c r="A153" s="3" t="inlineStr">
        <is>
          <t>COc1ccccc1</t>
        </is>
      </c>
      <c r="B153" s="2" t="inlineStr">
        <is>
          <t>anisole</t>
        </is>
      </c>
      <c r="C153" s="2" t="inlineStr">
        <is>
          <t>PhOMe</t>
        </is>
      </c>
      <c r="D153" s="2" t="inlineStr">
        <is>
          <t>additive</t>
        </is>
      </c>
      <c r="E153" s="2" t="inlineStr">
        <is>
          <t>solvent</t>
        </is>
      </c>
      <c r="F153" s="2" t="n"/>
      <c r="G153" s="2" t="n">
        <v>1014</v>
      </c>
      <c r="H153" s="2" t="inlineStr">
        <is>
          <t>Anisole (CID 7519)</t>
        </is>
      </c>
      <c r="I153" s="2" t="inlineStr">
        <is>
          <t>Cation scavenger in TFA removal of Boc/t-Bu/PMB groups (as here).</t>
        </is>
      </c>
      <c r="J153" s="2" t="inlineStr">
        <is>
          <t>named and classified by a chemist agent; reviewed by an independent agent</t>
        </is>
      </c>
    </row>
    <row r="154">
      <c r="A154" s="3" t="inlineStr">
        <is>
          <t>O=C(OC(=O)C(F)(F)F)C(F)(F)F</t>
        </is>
      </c>
      <c r="B154" s="2" t="inlineStr">
        <is>
          <t>trifluoroacetic anhydride</t>
        </is>
      </c>
      <c r="C154" s="2" t="inlineStr">
        <is>
          <t>TFAA</t>
        </is>
      </c>
      <c r="D154" s="2" t="inlineStr">
        <is>
          <t>dehydrating / activating agent</t>
        </is>
      </c>
      <c r="E154" s="2" t="inlineStr">
        <is>
          <t>electrophile / alkylating agent</t>
        </is>
      </c>
      <c r="F154" s="2" t="n"/>
      <c r="G154" s="2" t="n">
        <v>1012</v>
      </c>
      <c r="H154" s="2" t="inlineStr">
        <is>
          <t>Trifluoroacetic anhydride (CID 9845)</t>
        </is>
      </c>
      <c r="I154" s="2" t="inlineStr">
        <is>
          <t>Trifluoroacetylation, amide to nitrile dehydration, Pummerer and acid activation.</t>
        </is>
      </c>
      <c r="J154" s="2" t="inlineStr">
        <is>
          <t>named and classified by a chemist agent; reviewed by an independent agent</t>
        </is>
      </c>
    </row>
    <row r="155">
      <c r="A155" s="3" t="inlineStr">
        <is>
          <t>[O]=[Mn]=[O]</t>
        </is>
      </c>
      <c r="B155" s="2" t="inlineStr">
        <is>
          <t>manganese(IV) oxide</t>
        </is>
      </c>
      <c r="C155" s="2" t="inlineStr">
        <is>
          <t>MnO2</t>
        </is>
      </c>
      <c r="D155" s="2" t="inlineStr">
        <is>
          <t>oxidant</t>
        </is>
      </c>
      <c r="E155" s="2" t="inlineStr"/>
      <c r="F155" s="2" t="n"/>
      <c r="G155" s="2" t="n">
        <v>989</v>
      </c>
      <c r="H155" s="2" t="inlineStr">
        <is>
          <t>Manganese dioxide (CID 14801)</t>
        </is>
      </c>
      <c r="I155" s="2" t="inlineStr">
        <is>
          <t>Selective oxidation of allylic/benzylic alcohols to aldehydes (as here).</t>
        </is>
      </c>
      <c r="J155" s="2" t="inlineStr">
        <is>
          <t>named and classified by a chemist agent; reviewed by an independent agent</t>
        </is>
      </c>
    </row>
    <row r="156">
      <c r="A156" s="3" t="inlineStr">
        <is>
          <t>[O]=[Os](=[O])(=[O])=[O]</t>
        </is>
      </c>
      <c r="B156" s="2" t="inlineStr">
        <is>
          <t>osmium tetroxide</t>
        </is>
      </c>
      <c r="C156" s="2" t="inlineStr">
        <is>
          <t>OsO4</t>
        </is>
      </c>
      <c r="D156" s="2" t="inlineStr">
        <is>
          <t>oxidizing catalyst</t>
        </is>
      </c>
      <c r="E156" s="2" t="inlineStr">
        <is>
          <t>oxidant</t>
        </is>
      </c>
      <c r="F156" s="2" t="n"/>
      <c r="G156" s="2" t="n">
        <v>986</v>
      </c>
      <c r="H156" s="2" t="inlineStr">
        <is>
          <t>Osmium Tetroxide (CID 30318)</t>
        </is>
      </c>
      <c r="I156" s="2" t="inlineStr">
        <is>
          <t>Catalytic syn-dihydroxylation of alkenes with NMO co-oxidant (Upjohn).</t>
        </is>
      </c>
      <c r="J156" s="2" t="inlineStr">
        <is>
          <t>named and classified by a chemist agent; reviewed by an independent agent</t>
        </is>
      </c>
    </row>
    <row r="157">
      <c r="A157" s="3" t="inlineStr">
        <is>
          <t>O=S(=O)(O)Cl</t>
        </is>
      </c>
      <c r="B157" s="2" t="inlineStr">
        <is>
          <t>chlorosulfonic acid</t>
        </is>
      </c>
      <c r="C157" s="2" t="inlineStr">
        <is>
          <t>ClSO3H</t>
        </is>
      </c>
      <c r="D157" s="2" t="inlineStr">
        <is>
          <t>electrophile / alkylating agent</t>
        </is>
      </c>
      <c r="E157" s="2" t="inlineStr">
        <is>
          <t>acid</t>
        </is>
      </c>
      <c r="F157" s="2" t="n"/>
      <c r="G157" s="2" t="n">
        <v>973</v>
      </c>
      <c r="H157" s="2" t="inlineStr">
        <is>
          <t>Chlorosulfonic acid (CID 24638)</t>
        </is>
      </c>
      <c r="I157" s="2" t="inlineStr">
        <is>
          <t>Chlorosulfonation of arenes to aryl sulfonyl chlorides.</t>
        </is>
      </c>
      <c r="J157" s="2" t="inlineStr">
        <is>
          <t>named and classified by a chemist agent; reviewed by an independent agent</t>
        </is>
      </c>
    </row>
    <row r="158">
      <c r="A158" s="3" t="inlineStr">
        <is>
          <t>CCCP1(=O)OP(=O)(CCC)OP(=O)(CCC)O1</t>
        </is>
      </c>
      <c r="B158" s="2" t="inlineStr">
        <is>
          <t>propylphosphonic anhydride</t>
        </is>
      </c>
      <c r="C158" s="2" t="inlineStr">
        <is>
          <t>T3P</t>
        </is>
      </c>
      <c r="D158" s="2" t="inlineStr">
        <is>
          <t>coupling reagent (activates an acid)</t>
        </is>
      </c>
      <c r="E158" s="2" t="inlineStr">
        <is>
          <t>dehydrating / activating agent</t>
        </is>
      </c>
      <c r="F158" s="2" t="n"/>
      <c r="G158" s="2" t="n">
        <v>969</v>
      </c>
      <c r="H158" s="2" t="inlineStr">
        <is>
          <t>Propylphosphonic anhydride (CID 111923)</t>
        </is>
      </c>
      <c r="I158" s="2" t="inlineStr">
        <is>
          <t>Amide coupling with water-soluble byproducts (Et3N/EtOAc here).</t>
        </is>
      </c>
      <c r="J158" s="2" t="inlineStr">
        <is>
          <t>named and classified by a chemist agent; reviewed by an independent agent</t>
        </is>
      </c>
    </row>
    <row r="159">
      <c r="A159" s="3" t="inlineStr">
        <is>
          <t>C</t>
        </is>
      </c>
      <c r="B159" s="2" t="inlineStr">
        <is>
          <t>methane (likely a parsing artefact)</t>
        </is>
      </c>
      <c r="C159" s="2" t="inlineStr">
        <is>
          <t>CH4</t>
        </is>
      </c>
      <c r="D159" s="2" t="inlineStr">
        <is>
          <t>other</t>
        </is>
      </c>
      <c r="E159" s="2" t="inlineStr"/>
      <c r="F159" s="2" t="n"/>
      <c r="G159" s="2" t="n">
        <v>945</v>
      </c>
      <c r="H159" s="2" t="inlineStr">
        <is>
          <t>Methane (CID 297)</t>
        </is>
      </c>
      <c r="I159" s="2" t="inlineStr">
        <is>
          <t>Lone 'C' token, probably mis-recorded carbon/charcoal; not a real reagent here.</t>
        </is>
      </c>
      <c r="J159" s="2" t="inlineStr">
        <is>
          <t>named and classified by a chemist agent; reviewed by an independent agent</t>
        </is>
      </c>
    </row>
    <row r="160">
      <c r="A160" s="3" t="inlineStr">
        <is>
          <t>O=P([O-])(O)O</t>
        </is>
      </c>
      <c r="B160" s="2" t="inlineStr">
        <is>
          <t>dihydrogen phosphate</t>
        </is>
      </c>
      <c r="C160" s="2" t="inlineStr">
        <is>
          <t>H2PO4-</t>
        </is>
      </c>
      <c r="D160" s="2" t="inlineStr">
        <is>
          <t>salt (work-up or additive)</t>
        </is>
      </c>
      <c r="E160" s="2" t="inlineStr">
        <is>
          <t>acid</t>
        </is>
      </c>
      <c r="F160" s="2" t="n"/>
      <c r="G160" s="2" t="n">
        <v>944</v>
      </c>
      <c r="H160" s="2" t="inlineStr">
        <is>
          <t>Dihydrogenphosphate (CID 1003)</t>
        </is>
      </c>
      <c r="I160" s="2" t="inlineStr">
        <is>
          <t>KH2PO4/NaH2PO4 buffer (enzymatic desymmetrizing hydrolysis here, Pinnick oxidation); pKa 7.2 as an acid.</t>
        </is>
      </c>
      <c r="J160" s="2" t="inlineStr">
        <is>
          <t>named and classified by a chemist agent; reviewed by an independent agent</t>
        </is>
      </c>
    </row>
    <row r="161">
      <c r="A161" s="3" t="inlineStr">
        <is>
          <t>C1CCC(P(C2CCCCC2)C2CCCCC2)CC1</t>
        </is>
      </c>
      <c r="B161" s="2" t="inlineStr">
        <is>
          <t>tricyclohexylphosphine</t>
        </is>
      </c>
      <c r="C161" s="2" t="inlineStr">
        <is>
          <t>PCy3</t>
        </is>
      </c>
      <c r="D161" s="2" t="inlineStr">
        <is>
          <t>ligand</t>
        </is>
      </c>
      <c r="E161" s="2" t="inlineStr"/>
      <c r="F161" s="2" t="n"/>
      <c r="G161" s="2" t="n">
        <v>933</v>
      </c>
      <c r="H161" s="2" t="inlineStr">
        <is>
          <t>Tricyclohexylphosphine (CID 75806)</t>
        </is>
      </c>
      <c r="I161" s="2" t="inlineStr">
        <is>
          <t>Electron-rich bulky Pd ligand for Suzuki couplings (as here).</t>
        </is>
      </c>
      <c r="J161" s="2" t="inlineStr">
        <is>
          <t>named and classified by a chemist agent; reviewed by an independent agent</t>
        </is>
      </c>
    </row>
    <row r="162">
      <c r="A162" s="3" t="inlineStr">
        <is>
          <t>Cc1cccc(C)n1</t>
        </is>
      </c>
      <c r="B162" s="2" t="inlineStr">
        <is>
          <t>2,6-lutidine</t>
        </is>
      </c>
      <c r="C162" s="2" t="inlineStr"/>
      <c r="D162" s="2" t="inlineStr">
        <is>
          <t>base</t>
        </is>
      </c>
      <c r="E162" s="2" t="inlineStr"/>
      <c r="F162" s="2" t="n">
        <v>6.7</v>
      </c>
      <c r="G162" s="2" t="n">
        <v>925</v>
      </c>
      <c r="H162" s="2" t="inlineStr">
        <is>
          <t>2,6-Lutidine (CID 7937)</t>
        </is>
      </c>
      <c r="I162" s="2" t="inlineStr">
        <is>
          <t>Hindered weak base for silyl triflate chemistry; with LiI cleaves esters (as here); pKa in water.</t>
        </is>
      </c>
      <c r="J162" s="2" t="inlineStr">
        <is>
          <t>named and classified by a chemist agent; reviewed by an independent agent</t>
        </is>
      </c>
    </row>
    <row r="163">
      <c r="A163" s="3" t="inlineStr">
        <is>
          <t>O=S([O-])S(=O)[O-]</t>
        </is>
      </c>
      <c r="B163" s="2" t="inlineStr">
        <is>
          <t>dithionite</t>
        </is>
      </c>
      <c r="C163" s="2" t="inlineStr">
        <is>
          <t>S2O4(2-) (Na2S2O4)</t>
        </is>
      </c>
      <c r="D163" s="2" t="inlineStr">
        <is>
          <t>reductant</t>
        </is>
      </c>
      <c r="E163" s="2" t="inlineStr"/>
      <c r="F163" s="2" t="n"/>
      <c r="G163" s="2" t="n">
        <v>923</v>
      </c>
      <c r="H163" s="2" t="inlineStr">
        <is>
          <t>Dithionite (CID 1086)</t>
        </is>
      </c>
      <c r="I163" s="2" t="inlineStr">
        <is>
          <t>Sodium dithionite reduces nitroarenes to anilines in aqueous media (as here).</t>
        </is>
      </c>
      <c r="J163" s="2" t="inlineStr">
        <is>
          <t>named and classified by a chemist agent; reviewed by an independent agent</t>
        </is>
      </c>
    </row>
    <row r="164">
      <c r="A164" s="3" t="inlineStr">
        <is>
          <t>I</t>
        </is>
      </c>
      <c r="B164" s="2" t="inlineStr">
        <is>
          <t>hydrogen iodide</t>
        </is>
      </c>
      <c r="C164" s="2" t="inlineStr">
        <is>
          <t>HI</t>
        </is>
      </c>
      <c r="D164" s="2" t="inlineStr">
        <is>
          <t>acid</t>
        </is>
      </c>
      <c r="E164" s="2" t="inlineStr">
        <is>
          <t>deprotecting agent</t>
        </is>
      </c>
      <c r="F164" s="2" t="n"/>
      <c r="G164" s="2" t="n">
        <v>921</v>
      </c>
      <c r="H164" s="2" t="inlineStr">
        <is>
          <t>Hydrogen iodide (CID 24841)</t>
        </is>
      </c>
      <c r="I164" s="2" t="inlineStr">
        <is>
          <t>Strong reducing acid; cleaves ethers and esters (as here).</t>
        </is>
      </c>
      <c r="J164" s="2" t="inlineStr">
        <is>
          <t>named and classified by a chemist agent; reviewed by an independent agent</t>
        </is>
      </c>
    </row>
    <row r="165">
      <c r="A165" s="3" t="inlineStr">
        <is>
          <t>C1CCNC1</t>
        </is>
      </c>
      <c r="B165" s="2" t="inlineStr">
        <is>
          <t>pyrrolidine</t>
        </is>
      </c>
      <c r="C165" s="2" t="inlineStr"/>
      <c r="D165" s="2" t="inlineStr">
        <is>
          <t>nucleophile</t>
        </is>
      </c>
      <c r="E165" s="2" t="inlineStr">
        <is>
          <t>base</t>
        </is>
      </c>
      <c r="F165" s="2" t="n">
        <v>11.3</v>
      </c>
      <c r="G165" s="2" t="n">
        <v>911</v>
      </c>
      <c r="H165" s="2" t="inlineStr">
        <is>
          <t>Pyrrolidine (CID 31268)</t>
        </is>
      </c>
      <c r="I165" s="2" t="inlineStr">
        <is>
          <t>Secondary amine nucleophile (SNAr on aryl fluoride here); enamine catalyst; pKa in water.</t>
        </is>
      </c>
      <c r="J165" s="2" t="inlineStr">
        <is>
          <t>named and classified by a chemist agent; reviewed by an independent agent</t>
        </is>
      </c>
    </row>
    <row r="166">
      <c r="A166" s="3" t="inlineStr">
        <is>
          <t>[O-][Cl+][O-]</t>
        </is>
      </c>
      <c r="B166" s="2" t="inlineStr">
        <is>
          <t>chlorite</t>
        </is>
      </c>
      <c r="C166" s="2" t="inlineStr">
        <is>
          <t>ClO2- (NaClO2)</t>
        </is>
      </c>
      <c r="D166" s="2" t="inlineStr">
        <is>
          <t>oxidant</t>
        </is>
      </c>
      <c r="E166" s="2" t="inlineStr"/>
      <c r="F166" s="2" t="n"/>
      <c r="G166" s="2" t="n">
        <v>909</v>
      </c>
      <c r="H166" s="2" t="inlineStr">
        <is>
          <t>Chlorite (CID 197148)</t>
        </is>
      </c>
      <c r="I166" s="2" t="inlineStr">
        <is>
          <t>Pinnick oxidation of aldehydes to acids with 2-methyl-2-butene and NaH2PO4 (as here).</t>
        </is>
      </c>
      <c r="J166" s="2" t="inlineStr">
        <is>
          <t>named and classified by a chemist agent; reviewed by an independent agent</t>
        </is>
      </c>
    </row>
    <row r="167">
      <c r="A167" s="3" t="inlineStr">
        <is>
          <t>[O]=[Pt]</t>
        </is>
      </c>
      <c r="B167" s="2" t="inlineStr">
        <is>
          <t>platinum oxide (PtO, as recorded)</t>
        </is>
      </c>
      <c r="C167" s="2" t="inlineStr">
        <is>
          <t>PtO2</t>
        </is>
      </c>
      <c r="D167" s="2" t="inlineStr">
        <is>
          <t>catalyst (metal)</t>
        </is>
      </c>
      <c r="E167" s="2" t="inlineStr"/>
      <c r="F167" s="2" t="n"/>
      <c r="G167" s="2" t="n">
        <v>906</v>
      </c>
      <c r="H167" s="2" t="inlineStr">
        <is>
          <t>Platinum oxide (PtO) (CID 82844)</t>
        </is>
      </c>
      <c r="I167" s="2" t="inlineStr">
        <is>
          <t>Adams' catalyst for hydrogenation, probably PtO2 recorded as PtO.</t>
        </is>
      </c>
      <c r="J167" s="2" t="inlineStr">
        <is>
          <t>named and classified by a chemist agent; reviewed by an independent agent</t>
        </is>
      </c>
    </row>
    <row r="168">
      <c r="A168" s="3" t="inlineStr">
        <is>
          <t>CC(C)[O-]</t>
        </is>
      </c>
      <c r="B168" s="2" t="inlineStr">
        <is>
          <t>isopropoxide</t>
        </is>
      </c>
      <c r="C168" s="2" t="inlineStr">
        <is>
          <t>iPrO-</t>
        </is>
      </c>
      <c r="D168" s="2" t="inlineStr">
        <is>
          <t>base</t>
        </is>
      </c>
      <c r="E168" s="2" t="inlineStr">
        <is>
          <t>counter-ion / spectator ion</t>
        </is>
      </c>
      <c r="F168" s="2" t="n">
        <v>16.5</v>
      </c>
      <c r="G168" s="2" t="n">
        <v>888</v>
      </c>
      <c r="H168" s="2" t="inlineStr">
        <is>
          <t>Isopropanolate (CID 3260420)</t>
        </is>
      </c>
      <c r="I168" s="2" t="inlineStr">
        <is>
          <t>Usually from Ti(OiPr)4 (Lewis acid in reductive amination, as here) or Al(OiPr)3; pKa of iPrOH about 16.5 in water.</t>
        </is>
      </c>
      <c r="J168" s="2" t="inlineStr">
        <is>
          <t>named and classified by a chemist agent; reviewed by an independent agent</t>
        </is>
      </c>
    </row>
    <row r="169">
      <c r="A169" s="3" t="inlineStr">
        <is>
          <t>O=C(N=NC(=O)N1CCCCC1)N1CCCCC1</t>
        </is>
      </c>
      <c r="B169" s="2" t="inlineStr">
        <is>
          <t>1,1'-(azodicarbonyl)dipiperidine</t>
        </is>
      </c>
      <c r="C169" s="2" t="inlineStr">
        <is>
          <t>ADDP</t>
        </is>
      </c>
      <c r="D169" s="2" t="inlineStr">
        <is>
          <t>dehydrating / activating agent</t>
        </is>
      </c>
      <c r="E169" s="2" t="inlineStr">
        <is>
          <t>oxidant</t>
        </is>
      </c>
      <c r="F169" s="2" t="n"/>
      <c r="G169" s="2" t="n">
        <v>853</v>
      </c>
      <c r="H169" s="2" t="inlineStr">
        <is>
          <t>1,1'-(Azodicarbonyl)dipiperidine (CID 73042)</t>
        </is>
      </c>
      <c r="I169" s="2" t="inlineStr">
        <is>
          <t>Mitsunobu azo reagent used with PBu3 for weakly acidic nucleophiles (phenol ether here).</t>
        </is>
      </c>
      <c r="J169" s="2" t="inlineStr">
        <is>
          <t>named and classified by a chemist agent; reviewed by an independent agent</t>
        </is>
      </c>
    </row>
    <row r="170">
      <c r="A170" s="3" t="inlineStr">
        <is>
          <t>CN(C)c1ccccn1</t>
        </is>
      </c>
      <c r="B170" s="2" t="inlineStr">
        <is>
          <t>2-(dimethylamino)pyridine</t>
        </is>
      </c>
      <c r="C170" s="2" t="inlineStr"/>
      <c r="D170" s="2" t="inlineStr">
        <is>
          <t>base</t>
        </is>
      </c>
      <c r="E170" s="2" t="inlineStr">
        <is>
          <t>additive</t>
        </is>
      </c>
      <c r="F170" s="2" t="n">
        <v>7</v>
      </c>
      <c r="G170" s="2" t="n">
        <v>844</v>
      </c>
      <c r="H170" s="2" t="inlineStr">
        <is>
          <t>2-Dimethylaminopyridine (CID 21885)</t>
        </is>
      </c>
      <c r="I170" s="2" t="inlineStr">
        <is>
          <t>Pyridine base/additive in PyBroP amide coupling (as here); less nucleophilic than DMAP; pKa approx. in water.</t>
        </is>
      </c>
      <c r="J170" s="2" t="inlineStr">
        <is>
          <t>named and classified by a chemist agent; reviewed by an independent agent</t>
        </is>
      </c>
    </row>
    <row r="171">
      <c r="A171" s="3" t="inlineStr">
        <is>
          <t>O=P(O)(O)O</t>
        </is>
      </c>
      <c r="B171" s="2" t="inlineStr">
        <is>
          <t>phosphoric acid</t>
        </is>
      </c>
      <c r="C171" s="2" t="inlineStr">
        <is>
          <t>H3PO4</t>
        </is>
      </c>
      <c r="D171" s="2" t="inlineStr">
        <is>
          <t>acid</t>
        </is>
      </c>
      <c r="E171" s="2" t="inlineStr"/>
      <c r="F171" s="2" t="n"/>
      <c r="G171" s="2" t="n">
        <v>821</v>
      </c>
      <c r="H171" s="2" t="inlineStr">
        <is>
          <t>Phosphoric Acid (CID 1004)</t>
        </is>
      </c>
      <c r="I171" s="2" t="inlineStr">
        <is>
          <t>Moderate acid (pKa1 2.1) for acidification, buffers, cyclodehydrations.</t>
        </is>
      </c>
      <c r="J171" s="2" t="inlineStr">
        <is>
          <t>named and classified by a chemist agent; reviewed by an independent agent</t>
        </is>
      </c>
    </row>
    <row r="172">
      <c r="A172" s="3" t="inlineStr">
        <is>
          <t>O=S(=O)([O-])C(F)(F)F</t>
        </is>
      </c>
      <c r="B172" s="2" t="inlineStr">
        <is>
          <t>triflate</t>
        </is>
      </c>
      <c r="C172" s="2" t="inlineStr">
        <is>
          <t>TfO-</t>
        </is>
      </c>
      <c r="D172" s="2" t="inlineStr">
        <is>
          <t>counter-ion / spectator ion</t>
        </is>
      </c>
      <c r="E172" s="2" t="inlineStr"/>
      <c r="F172" s="2" t="n"/>
      <c r="G172" s="2" t="n">
        <v>815</v>
      </c>
      <c r="H172" s="2" t="inlineStr">
        <is>
          <t>Trifluoromethanesulfonate (CID 2758875)</t>
        </is>
      </c>
      <c r="I172" s="2" t="inlineStr">
        <is>
          <t>Non-coordinating anion of Cu(OTf) (cyclopropanation here), Sc(OTf)3, TMSOTf.</t>
        </is>
      </c>
      <c r="J172" s="2" t="inlineStr">
        <is>
          <t>named and classified by a chemist agent; reviewed by an independent agent</t>
        </is>
      </c>
    </row>
    <row r="173">
      <c r="A173" s="3" t="inlineStr">
        <is>
          <t>O=C(OO)c1cccc(Cl)c1</t>
        </is>
      </c>
      <c r="B173" s="2" t="inlineStr">
        <is>
          <t>meta-chloroperoxybenzoic acid</t>
        </is>
      </c>
      <c r="C173" s="2" t="inlineStr">
        <is>
          <t>mCPBA</t>
        </is>
      </c>
      <c r="D173" s="2" t="inlineStr">
        <is>
          <t>oxidant</t>
        </is>
      </c>
      <c r="E173" s="2" t="inlineStr"/>
      <c r="F173" s="2" t="n"/>
      <c r="G173" s="2" t="n">
        <v>814</v>
      </c>
      <c r="H173" s="2" t="inlineStr">
        <is>
          <t>m-Chloroperbenzoic acid (CID 70297)</t>
        </is>
      </c>
      <c r="I173" s="2" t="inlineStr">
        <is>
          <t>Epoxidation, pyridine N-oxidation (as here), sulfide oxidation, Baeyer-Villiger.</t>
        </is>
      </c>
      <c r="J173" s="2" t="inlineStr">
        <is>
          <t>named and classified by a chemist agent; reviewed by an independent agent</t>
        </is>
      </c>
    </row>
    <row r="174">
      <c r="A174" s="3" t="inlineStr">
        <is>
          <t>CCNCC</t>
        </is>
      </c>
      <c r="B174" s="2" t="inlineStr">
        <is>
          <t>diethylamine</t>
        </is>
      </c>
      <c r="C174" s="2" t="inlineStr">
        <is>
          <t>Et2NH</t>
        </is>
      </c>
      <c r="D174" s="2" t="inlineStr">
        <is>
          <t>base</t>
        </is>
      </c>
      <c r="E174" s="2" t="inlineStr">
        <is>
          <t>nucleophile</t>
        </is>
      </c>
      <c r="F174" s="2" t="n">
        <v>11</v>
      </c>
      <c r="G174" s="2" t="n">
        <v>801</v>
      </c>
      <c r="H174" s="2" t="inlineStr">
        <is>
          <t>Diethylamine (CID 8021)</t>
        </is>
      </c>
      <c r="I174" s="2" t="inlineStr">
        <is>
          <t>Secondary amine base or nucleophile (amides, Mannich); pKa in water.</t>
        </is>
      </c>
      <c r="J174" s="2" t="inlineStr">
        <is>
          <t>named and classified by a chemist agent; reviewed by an independent agent</t>
        </is>
      </c>
    </row>
    <row r="175">
      <c r="A175" s="3" t="inlineStr">
        <is>
          <t>[O]=[Cr](=[O])([O-])[Cl]</t>
        </is>
      </c>
      <c r="B175" s="2" t="inlineStr">
        <is>
          <t>chlorochromate</t>
        </is>
      </c>
      <c r="C175" s="2" t="inlineStr">
        <is>
          <t>PCC (with pyridinium)</t>
        </is>
      </c>
      <c r="D175" s="2" t="inlineStr">
        <is>
          <t>oxidant</t>
        </is>
      </c>
      <c r="E175" s="2" t="inlineStr"/>
      <c r="F175" s="2" t="n"/>
      <c r="G175" s="2" t="n">
        <v>793</v>
      </c>
      <c r="H175" s="2" t="inlineStr"/>
      <c r="I175" s="2" t="inlineStr">
        <is>
          <t>Pyridinium chlorochromate oxidizes primary alcohols to aldehydes (as here) and secondary to ketones.</t>
        </is>
      </c>
      <c r="J175" s="2" t="inlineStr">
        <is>
          <t>named and classified by a chemist agent; reviewed by an independent agent</t>
        </is>
      </c>
    </row>
    <row r="176">
      <c r="A176" s="3" t="inlineStr">
        <is>
          <t>ClCl</t>
        </is>
      </c>
      <c r="B176" s="2" t="inlineStr">
        <is>
          <t>chlorine</t>
        </is>
      </c>
      <c r="C176" s="2" t="inlineStr">
        <is>
          <t>Cl2</t>
        </is>
      </c>
      <c r="D176" s="2" t="inlineStr">
        <is>
          <t>halogenating agent</t>
        </is>
      </c>
      <c r="E176" s="2" t="inlineStr">
        <is>
          <t>oxidant</t>
        </is>
      </c>
      <c r="F176" s="2" t="n"/>
      <c r="G176" s="2" t="n">
        <v>791</v>
      </c>
      <c r="H176" s="2" t="inlineStr">
        <is>
          <t>Chlorine (CID 24526)</t>
        </is>
      </c>
      <c r="I176" s="2" t="inlineStr">
        <is>
          <t>Electrophilic chlorination of arenes/anilines and alkenes.</t>
        </is>
      </c>
      <c r="J176" s="2" t="inlineStr">
        <is>
          <t>named and classified by a chemist agent; reviewed by an independent agent</t>
        </is>
      </c>
    </row>
    <row r="177">
      <c r="A177" s="3" t="inlineStr">
        <is>
          <t>[NH3+]O</t>
        </is>
      </c>
      <c r="B177" s="2" t="inlineStr">
        <is>
          <t>hydroxylammonium</t>
        </is>
      </c>
      <c r="C177" s="2" t="inlineStr">
        <is>
          <t>NH3OH+ (NH2OH.HCl)</t>
        </is>
      </c>
      <c r="D177" s="2" t="inlineStr">
        <is>
          <t>nucleophile</t>
        </is>
      </c>
      <c r="E177" s="2" t="inlineStr"/>
      <c r="F177" s="2" t="n"/>
      <c r="G177" s="2" t="n">
        <v>784</v>
      </c>
      <c r="H177" s="2" t="inlineStr">
        <is>
          <t>Hydroxyammonium (CID 933)</t>
        </is>
      </c>
      <c r="I177" s="2" t="inlineStr">
        <is>
          <t>Hydroxylamine hydrochloride for oximes and amidoximes; here a proton source with Zn.</t>
        </is>
      </c>
      <c r="J177" s="2" t="inlineStr">
        <is>
          <t>named and classified by a chemist agent; reviewed by an independent agent</t>
        </is>
      </c>
    </row>
    <row r="178">
      <c r="A178" s="3" t="inlineStr">
        <is>
          <t>CC(C)(C)P(C(C)(C)C)C(C)(C)C</t>
        </is>
      </c>
      <c r="B178" s="2" t="inlineStr">
        <is>
          <t>tri-tert-butylphosphine</t>
        </is>
      </c>
      <c r="C178" s="2" t="inlineStr">
        <is>
          <t>P(t-Bu)3</t>
        </is>
      </c>
      <c r="D178" s="2" t="inlineStr">
        <is>
          <t>ligand</t>
        </is>
      </c>
      <c r="E178" s="2" t="inlineStr"/>
      <c r="F178" s="2" t="n"/>
      <c r="G178" s="2" t="n">
        <v>774</v>
      </c>
      <c r="H178" s="2" t="inlineStr">
        <is>
          <t>Tris(1,1-dimethylethyl)phosphine (CID 83681)</t>
        </is>
      </c>
      <c r="I178" s="2" t="inlineStr">
        <is>
          <t>Very bulky electron-rich Pd ligand for Buchwald-Hartwig (as here), Suzuki and Heck couplings.</t>
        </is>
      </c>
      <c r="J178" s="2" t="inlineStr">
        <is>
          <t>named and classified by a chemist agent; reviewed by an independent agent</t>
        </is>
      </c>
    </row>
    <row r="179">
      <c r="A179" s="3" t="inlineStr">
        <is>
          <t>CN(C)CCN(C)C</t>
        </is>
      </c>
      <c r="B179" s="2" t="inlineStr">
        <is>
          <t>N,N,N',N'-tetramethylethylenediamine</t>
        </is>
      </c>
      <c r="C179" s="2" t="inlineStr">
        <is>
          <t>TMEDA</t>
        </is>
      </c>
      <c r="D179" s="2" t="inlineStr">
        <is>
          <t>ligand</t>
        </is>
      </c>
      <c r="E179" s="2" t="inlineStr">
        <is>
          <t>additive</t>
        </is>
      </c>
      <c r="F179" s="2" t="n"/>
      <c r="G179" s="2" t="n">
        <v>759</v>
      </c>
      <c r="H179" s="2" t="inlineStr">
        <is>
          <t>N,N,N',N'-Tetramethylethylenediamine (CID 8037)</t>
        </is>
      </c>
      <c r="I179" s="2" t="inlineStr">
        <is>
          <t>Chelates Li to activate organolithiums; Cu/Ni ligand; first pKa about 9 in water.</t>
        </is>
      </c>
      <c r="J179" s="2" t="inlineStr">
        <is>
          <t>named and classified by a chemist agent; reviewed by an independent agent</t>
        </is>
      </c>
    </row>
    <row r="180">
      <c r="A180" s="3" t="inlineStr">
        <is>
          <t>CC(=O)Cl</t>
        </is>
      </c>
      <c r="B180" s="2" t="inlineStr">
        <is>
          <t>acetyl chloride</t>
        </is>
      </c>
      <c r="C180" s="2" t="inlineStr">
        <is>
          <t>AcCl</t>
        </is>
      </c>
      <c r="D180" s="2" t="inlineStr">
        <is>
          <t>electrophile / alkylating agent</t>
        </is>
      </c>
      <c r="E180" s="2" t="inlineStr">
        <is>
          <t>acid</t>
        </is>
      </c>
      <c r="F180" s="2" t="n"/>
      <c r="G180" s="2" t="n">
        <v>748</v>
      </c>
      <c r="H180" s="2" t="inlineStr">
        <is>
          <t>Acetyl chloride (CID 6367)</t>
        </is>
      </c>
      <c r="I180" s="2" t="inlineStr">
        <is>
          <t>Acetylating agent; in MeOH/EtOH generates HCl for esterification or deprotection.</t>
        </is>
      </c>
      <c r="J180" s="2" t="inlineStr">
        <is>
          <t>named and classified by a chemist agent; reviewed by an independent agent</t>
        </is>
      </c>
    </row>
    <row r="181">
      <c r="A181" s="3" t="inlineStr">
        <is>
          <t>N#CC1=C(C#N)C(=O)C(Cl)=C(Cl)C1=O</t>
        </is>
      </c>
      <c r="B181" s="2" t="inlineStr">
        <is>
          <t>2,3-dichloro-5,6-dicyano-1,4-benzoquinone</t>
        </is>
      </c>
      <c r="C181" s="2" t="inlineStr">
        <is>
          <t>DDQ</t>
        </is>
      </c>
      <c r="D181" s="2" t="inlineStr">
        <is>
          <t>oxidant</t>
        </is>
      </c>
      <c r="E181" s="2" t="inlineStr"/>
      <c r="F181" s="2" t="n"/>
      <c r="G181" s="2" t="n">
        <v>739</v>
      </c>
      <c r="H181" s="2" t="inlineStr">
        <is>
          <t>2,3-Dichloro-5,6-dicyano-1,4-benzoquinone (CID 6775)</t>
        </is>
      </c>
      <c r="I181" s="2" t="inlineStr">
        <is>
          <t>Dehydrogenation/aromatization, PMB ether cleavage, benzylic oxidation.</t>
        </is>
      </c>
      <c r="J181" s="2" t="inlineStr">
        <is>
          <t>named and classified by a chemist agent; reviewed by an independent agent</t>
        </is>
      </c>
    </row>
    <row r="182">
      <c r="A182" s="3" t="inlineStr">
        <is>
          <t>[Cl][Cu]</t>
        </is>
      </c>
      <c r="B182" s="2" t="inlineStr">
        <is>
          <t>copper(I) chloride</t>
        </is>
      </c>
      <c r="C182" s="2" t="inlineStr">
        <is>
          <t>CuCl</t>
        </is>
      </c>
      <c r="D182" s="2" t="inlineStr">
        <is>
          <t>catalyst (metal)</t>
        </is>
      </c>
      <c r="E182" s="2" t="inlineStr"/>
      <c r="F182" s="2" t="n"/>
      <c r="G182" s="2" t="n">
        <v>738</v>
      </c>
      <c r="H182" s="2" t="inlineStr">
        <is>
          <t>Cuprous chloride (CID 62652)</t>
        </is>
      </c>
      <c r="I182" s="2" t="inlineStr">
        <is>
          <t>Sandmeyer chlorination, Ullmann couplings, with NaBH4 reductions.</t>
        </is>
      </c>
      <c r="J182" s="2" t="inlineStr">
        <is>
          <t>named and classified by a chemist agent; reviewed by an independent agent</t>
        </is>
      </c>
    </row>
    <row r="183">
      <c r="A183" s="3" t="inlineStr">
        <is>
          <t>O=C1CCC(=O)N1Br</t>
        </is>
      </c>
      <c r="B183" s="2" t="inlineStr">
        <is>
          <t>N-bromosuccinimide</t>
        </is>
      </c>
      <c r="C183" s="2" t="inlineStr">
        <is>
          <t>NBS</t>
        </is>
      </c>
      <c r="D183" s="2" t="inlineStr">
        <is>
          <t>halogenating agent</t>
        </is>
      </c>
      <c r="E183" s="2" t="inlineStr">
        <is>
          <t>oxidant</t>
        </is>
      </c>
      <c r="F183" s="2" t="n"/>
      <c r="G183" s="2" t="n">
        <v>701</v>
      </c>
      <c r="H183" s="2" t="inlineStr">
        <is>
          <t>N-bromobutanimide (CID 67184)</t>
        </is>
      </c>
      <c r="I183" s="2" t="inlineStr">
        <is>
          <t>Electrophilic aryl bromination and radical benzylic bromination; with Me2S an oxidant (Corey-Kim).</t>
        </is>
      </c>
      <c r="J183" s="2" t="inlineStr">
        <is>
          <t>named and classified by a chemist agent; reviewed by an independent agent</t>
        </is>
      </c>
    </row>
    <row r="184">
      <c r="A184" s="3" t="inlineStr">
        <is>
          <t>[Ag+]</t>
        </is>
      </c>
      <c r="B184" s="2" t="inlineStr">
        <is>
          <t>silver(I) ion</t>
        </is>
      </c>
      <c r="C184" s="2" t="inlineStr">
        <is>
          <t>Ag+</t>
        </is>
      </c>
      <c r="D184" s="2" t="inlineStr">
        <is>
          <t>oxidant</t>
        </is>
      </c>
      <c r="E184" s="2" t="inlineStr">
        <is>
          <t>Lewis acid</t>
        </is>
      </c>
      <c r="F184" s="2" t="n"/>
      <c r="G184" s="2" t="n">
        <v>701</v>
      </c>
      <c r="H184" s="2" t="inlineStr">
        <is>
          <t>Silver cation (CID 104755)</t>
        </is>
      </c>
      <c r="I184" s="2" t="inlineStr">
        <is>
          <t>From Ag2CO3 (Fetizon oxidation of alcohols, as here), AgNO3, Ag2O; halide abstraction.</t>
        </is>
      </c>
      <c r="J184" s="2" t="inlineStr">
        <is>
          <t>named and classified by a chemist agent; reviewed by an independent agent</t>
        </is>
      </c>
    </row>
    <row r="185">
      <c r="A185" s="3" t="inlineStr">
        <is>
          <t>c1ccc(Oc2ccccc2)cc1</t>
        </is>
      </c>
      <c r="B185" s="2" t="inlineStr">
        <is>
          <t>diphenyl ether</t>
        </is>
      </c>
      <c r="C185" s="2" t="inlineStr">
        <is>
          <t>Ph2O</t>
        </is>
      </c>
      <c r="D185" s="2" t="inlineStr">
        <is>
          <t>solvent</t>
        </is>
      </c>
      <c r="E185" s="2" t="inlineStr"/>
      <c r="F185" s="2" t="n"/>
      <c r="G185" s="2" t="n">
        <v>692</v>
      </c>
      <c r="H185" s="2" t="inlineStr">
        <is>
          <t>Diphenyl Ether (CID 7583)</t>
        </is>
      </c>
      <c r="I185" s="2" t="inlineStr">
        <is>
          <t>High-boiling solvent (about 259 C) for thermal SNAr and cyclizations.</t>
        </is>
      </c>
      <c r="J185" s="2" t="inlineStr">
        <is>
          <t>named and classified by a chemist agent; reviewed by an independent agent</t>
        </is>
      </c>
    </row>
    <row r="186">
      <c r="A186" s="3" t="inlineStr">
        <is>
          <t>[O-]Cl</t>
        </is>
      </c>
      <c r="B186" s="2" t="inlineStr">
        <is>
          <t>hypochlorite</t>
        </is>
      </c>
      <c r="C186" s="2" t="inlineStr">
        <is>
          <t>ClO- (NaOCl)</t>
        </is>
      </c>
      <c r="D186" s="2" t="inlineStr">
        <is>
          <t>oxidant</t>
        </is>
      </c>
      <c r="E186" s="2" t="inlineStr"/>
      <c r="F186" s="2" t="n"/>
      <c r="G186" s="2" t="n">
        <v>673</v>
      </c>
      <c r="H186" s="2" t="inlineStr">
        <is>
          <t>Hypochlorite (CID 61739)</t>
        </is>
      </c>
      <c r="I186" s="2" t="inlineStr">
        <is>
          <t>Bleach with TEMPO/KBr oxidizes primary alcohols to aldehydes (as here).</t>
        </is>
      </c>
      <c r="J186" s="2" t="inlineStr">
        <is>
          <t>named and classified by a chemist agent; reviewed by an independent agent</t>
        </is>
      </c>
    </row>
    <row r="187">
      <c r="A187" s="3" t="inlineStr">
        <is>
          <t>Oc1cccc2[nH]nnc12</t>
        </is>
      </c>
      <c r="B187" s="2" t="inlineStr">
        <is>
          <t>4-hydroxybenzotriazole (1H-benzotriazol-4-ol)</t>
        </is>
      </c>
      <c r="C187" s="2" t="inlineStr">
        <is>
          <t>HOBt</t>
        </is>
      </c>
      <c r="D187" s="2" t="inlineStr">
        <is>
          <t>additive</t>
        </is>
      </c>
      <c r="E187" s="2" t="inlineStr">
        <is>
          <t>coupling reagent (activates an acid)</t>
        </is>
      </c>
      <c r="F187" s="2" t="n"/>
      <c r="G187" s="2" t="n">
        <v>670</v>
      </c>
      <c r="H187" s="2" t="inlineStr">
        <is>
          <t>4-Hydroxybenzotriazole (CID 135399369)</t>
        </is>
      </c>
      <c r="I187" s="2" t="inlineStr">
        <is>
          <t>Used with EDC/NMM for amide coupling (as here); SMILES is the C-hydroxy isomer, almost certainly mis-drawn HOBt.</t>
        </is>
      </c>
      <c r="J187" s="2" t="inlineStr">
        <is>
          <t>named and classified by a chemist agent; reviewed by an independent agent; name corrected after comparing with PubChem (was: hydroxybenzotriazole (encoded as 1H-benzotriazol-4-ol))</t>
        </is>
      </c>
    </row>
    <row r="188">
      <c r="A188" s="3" t="inlineStr">
        <is>
          <t>[Rh]</t>
        </is>
      </c>
      <c r="B188" s="2" t="inlineStr">
        <is>
          <t>rhodium</t>
        </is>
      </c>
      <c r="C188" s="2" t="inlineStr">
        <is>
          <t>Rh (Rh/C, Rh/Al2O3)</t>
        </is>
      </c>
      <c r="D188" s="2" t="inlineStr">
        <is>
          <t>catalyst (metal)</t>
        </is>
      </c>
      <c r="E188" s="2" t="inlineStr"/>
      <c r="F188" s="2" t="n"/>
      <c r="G188" s="2" t="n">
        <v>654</v>
      </c>
      <c r="H188" s="2" t="inlineStr">
        <is>
          <t>Rhodium (CID 23948)</t>
        </is>
      </c>
      <c r="I188" s="2" t="inlineStr">
        <is>
          <t>Hydrogenation catalyst (nitro groups, arene ring saturation).</t>
        </is>
      </c>
      <c r="J188" s="2" t="inlineStr">
        <is>
          <t>named and classified by a chemist agent; reviewed by an independent agent</t>
        </is>
      </c>
    </row>
    <row r="189">
      <c r="A189" s="3" t="inlineStr">
        <is>
          <t>O=O</t>
        </is>
      </c>
      <c r="B189" s="2" t="inlineStr">
        <is>
          <t>oxygen</t>
        </is>
      </c>
      <c r="C189" s="2" t="inlineStr">
        <is>
          <t>O2</t>
        </is>
      </c>
      <c r="D189" s="2" t="inlineStr">
        <is>
          <t>oxidant</t>
        </is>
      </c>
      <c r="E189" s="2" t="inlineStr">
        <is>
          <t>gas</t>
        </is>
      </c>
      <c r="F189" s="2" t="n"/>
      <c r="G189" s="2" t="n">
        <v>641</v>
      </c>
      <c r="H189" s="2" t="inlineStr">
        <is>
          <t>Oxygen (CID 977)</t>
        </is>
      </c>
      <c r="I189" s="2" t="inlineStr">
        <is>
          <t>Air/O2 terminal oxidant in Cu/Pd catalysed oxidations and autoxidation.</t>
        </is>
      </c>
      <c r="J189" s="2" t="inlineStr">
        <is>
          <t>named and classified by a chemist agent; reviewed by an independent agent</t>
        </is>
      </c>
    </row>
    <row r="190">
      <c r="A190" s="3" t="inlineStr">
        <is>
          <t>C[P+](c1ccccc1)(c1ccccc1)c1ccccc1</t>
        </is>
      </c>
      <c r="B190" s="2" t="inlineStr">
        <is>
          <t>methyltriphenylphosphonium</t>
        </is>
      </c>
      <c r="C190" s="2" t="inlineStr">
        <is>
          <t>Ph3PCH3+</t>
        </is>
      </c>
      <c r="D190" s="2" t="inlineStr">
        <is>
          <t>nucleophile</t>
        </is>
      </c>
      <c r="E190" s="2" t="inlineStr"/>
      <c r="F190" s="2" t="n"/>
      <c r="G190" s="2" t="n">
        <v>630</v>
      </c>
      <c r="H190" s="2" t="inlineStr">
        <is>
          <t>Triphenylmethylphosphonium (CID 74506)</t>
        </is>
      </c>
      <c r="I190" s="2" t="inlineStr">
        <is>
          <t>Deprotonated (n-BuLi/KOtBu) to the Wittig ylide for C=O methylenation; usually the bromide or iodide salt.</t>
        </is>
      </c>
      <c r="J190" s="2" t="inlineStr">
        <is>
          <t>named and classified by a chemist agent; reviewed by an independent agent</t>
        </is>
      </c>
    </row>
    <row r="191">
      <c r="A191" s="3" t="inlineStr">
        <is>
          <t>O=C(O)[C@@H]1CCCN1</t>
        </is>
      </c>
      <c r="B191" s="2" t="inlineStr">
        <is>
          <t>L-proline</t>
        </is>
      </c>
      <c r="C191" s="2" t="inlineStr">
        <is>
          <t>Pro</t>
        </is>
      </c>
      <c r="D191" s="2" t="inlineStr">
        <is>
          <t>ligand</t>
        </is>
      </c>
      <c r="E191" s="2" t="inlineStr">
        <is>
          <t>other</t>
        </is>
      </c>
      <c r="F191" s="2" t="n"/>
      <c r="G191" s="2" t="n">
        <v>613</v>
      </c>
      <c r="H191" s="2" t="inlineStr">
        <is>
          <t>L-Proline (CID 145742)</t>
        </is>
      </c>
      <c r="I191" s="2" t="inlineStr">
        <is>
          <t>Ligand for CuI-catalysed Ullmann couplings; organocatalyst for aldol/Mannich reactions.</t>
        </is>
      </c>
      <c r="J191" s="2" t="inlineStr">
        <is>
          <t>named and classified by a chemist agent; reviewed by an independent agent</t>
        </is>
      </c>
    </row>
    <row r="192">
      <c r="A192" s="3" t="inlineStr">
        <is>
          <t>CC[N+](CC)(CC)Cc1ccccc1</t>
        </is>
      </c>
      <c r="B192" s="2" t="inlineStr">
        <is>
          <t>benzyltriethylammonium</t>
        </is>
      </c>
      <c r="C192" s="2" t="inlineStr">
        <is>
          <t>TEBA</t>
        </is>
      </c>
      <c r="D192" s="2" t="inlineStr">
        <is>
          <t>phase-transfer catalyst</t>
        </is>
      </c>
      <c r="E192" s="2" t="inlineStr"/>
      <c r="F192" s="2" t="n"/>
      <c r="G192" s="2" t="n">
        <v>612</v>
      </c>
      <c r="H192" s="2" t="inlineStr">
        <is>
          <t>Benzyltriethylammonium (CID 17208)</t>
        </is>
      </c>
      <c r="I192" s="2" t="inlineStr">
        <is>
          <t>Phase-transfer cation (as TEBAC) for biphasic alkylations (methylation here) and dichlorocarbene.</t>
        </is>
      </c>
      <c r="J192" s="2" t="inlineStr">
        <is>
          <t>named and classified by a chemist agent; reviewed by an independent agent</t>
        </is>
      </c>
    </row>
    <row r="193">
      <c r="A193" s="3" t="inlineStr">
        <is>
          <t>[Cl][Sn]([Cl])([Cl])[Cl]</t>
        </is>
      </c>
      <c r="B193" s="2" t="inlineStr">
        <is>
          <t>tin(IV) chloride</t>
        </is>
      </c>
      <c r="C193" s="2" t="inlineStr">
        <is>
          <t>SnCl4</t>
        </is>
      </c>
      <c r="D193" s="2" t="inlineStr">
        <is>
          <t>Lewis acid</t>
        </is>
      </c>
      <c r="E193" s="2" t="inlineStr"/>
      <c r="F193" s="2" t="n"/>
      <c r="G193" s="2" t="n">
        <v>608</v>
      </c>
      <c r="H193" s="2" t="inlineStr">
        <is>
          <t>Tin tetrachloride (CID 24287)</t>
        </is>
      </c>
      <c r="I193" s="2" t="inlineStr">
        <is>
          <t>Strong Lewis acid (glycosylation, Friedel-Crafts); here recorded in a nitro reduction.</t>
        </is>
      </c>
      <c r="J193" s="2" t="inlineStr">
        <is>
          <t>named and classified by a chemist agent; reviewed by an independent agent</t>
        </is>
      </c>
    </row>
    <row r="194">
      <c r="A194" s="3" t="inlineStr">
        <is>
          <t>CNCCNC</t>
        </is>
      </c>
      <c r="B194" s="2" t="inlineStr">
        <is>
          <t>N,N'-dimethylethylenediamine</t>
        </is>
      </c>
      <c r="C194" s="2" t="inlineStr">
        <is>
          <t>DMEDA</t>
        </is>
      </c>
      <c r="D194" s="2" t="inlineStr">
        <is>
          <t>ligand</t>
        </is>
      </c>
      <c r="E194" s="2" t="inlineStr"/>
      <c r="F194" s="2" t="n"/>
      <c r="G194" s="2" t="n">
        <v>600</v>
      </c>
      <c r="H194" s="2" t="inlineStr">
        <is>
          <t>N,N'-Dimethylethylenediamine (CID 8070)</t>
        </is>
      </c>
      <c r="I194" s="2" t="inlineStr">
        <is>
          <t>Diamine ligand for CuI-catalysed Goldberg/Ullmann C-N coupling (as here).</t>
        </is>
      </c>
      <c r="J194" s="2" t="inlineStr">
        <is>
          <t>named and classified by a chemist agent; reviewed by an independent agent</t>
        </is>
      </c>
    </row>
    <row r="195">
      <c r="A195" s="3" t="inlineStr">
        <is>
          <t>O=S(=O)(O)C(F)(F)F</t>
        </is>
      </c>
      <c r="B195" s="2" t="inlineStr">
        <is>
          <t>trifluoromethanesulfonic acid</t>
        </is>
      </c>
      <c r="C195" s="2" t="inlineStr">
        <is>
          <t>TfOH</t>
        </is>
      </c>
      <c r="D195" s="2" t="inlineStr">
        <is>
          <t>acid</t>
        </is>
      </c>
      <c r="E195" s="2" t="inlineStr">
        <is>
          <t>deprotecting agent</t>
        </is>
      </c>
      <c r="F195" s="2" t="n"/>
      <c r="G195" s="2" t="n">
        <v>577</v>
      </c>
      <c r="H195" s="2" t="inlineStr">
        <is>
          <t>Trifluoromethanesulfonic acid (CID 62406)</t>
        </is>
      </c>
      <c r="I195" s="2" t="inlineStr">
        <is>
          <t>Superacid (pKa about -14) for Boc removal (as here), Friedel-Crafts and cyclizations.</t>
        </is>
      </c>
      <c r="J195" s="2" t="inlineStr">
        <is>
          <t>named and classified by a chemist agent; reviewed by an independent agent</t>
        </is>
      </c>
    </row>
    <row r="196">
      <c r="A196" s="3" t="inlineStr">
        <is>
          <t>Cc1ccc(S(=O)(=O)Cl)cc1</t>
        </is>
      </c>
      <c r="B196" s="2" t="inlineStr">
        <is>
          <t>p-toluenesulfonyl chloride</t>
        </is>
      </c>
      <c r="C196" s="2" t="inlineStr">
        <is>
          <t>TsCl</t>
        </is>
      </c>
      <c r="D196" s="2" t="inlineStr">
        <is>
          <t>dehydrating / activating agent</t>
        </is>
      </c>
      <c r="E196" s="2" t="inlineStr">
        <is>
          <t>protecting-group reagent</t>
        </is>
      </c>
      <c r="F196" s="2" t="n"/>
      <c r="G196" s="2" t="n">
        <v>575</v>
      </c>
      <c r="H196" s="2" t="inlineStr">
        <is>
          <t>4-Toluenesulfonyl chloride (CID 7397)</t>
        </is>
      </c>
      <c r="I196" s="2" t="inlineStr">
        <is>
          <t>Turns alcohols into tosylate leaving groups and amines into sulfonamides.</t>
        </is>
      </c>
      <c r="J196" s="2" t="inlineStr">
        <is>
          <t>named and classified by a chemist agent; reviewed by an independent agent</t>
        </is>
      </c>
    </row>
    <row r="197">
      <c r="A197" s="3" t="inlineStr">
        <is>
          <t>COS(=O)(=O)OC</t>
        </is>
      </c>
      <c r="B197" s="2" t="inlineStr">
        <is>
          <t>dimethyl sulfate</t>
        </is>
      </c>
      <c r="C197" s="2" t="inlineStr">
        <is>
          <t>Me2SO4 (DMS)</t>
        </is>
      </c>
      <c r="D197" s="2" t="inlineStr">
        <is>
          <t>electrophile / alkylating agent</t>
        </is>
      </c>
      <c r="E197" s="2" t="inlineStr"/>
      <c r="F197" s="2" t="n"/>
      <c r="G197" s="2" t="n">
        <v>570</v>
      </c>
      <c r="H197" s="2" t="inlineStr">
        <is>
          <t>Dimethyl Sulfate (CID 6497)</t>
        </is>
      </c>
      <c r="I197" s="2" t="inlineStr">
        <is>
          <t>Strong methylating agent for O, N, S and C nucleophiles (C-methylation here).</t>
        </is>
      </c>
      <c r="J197" s="2" t="inlineStr">
        <is>
          <t>named and classified by a chemist agent; reviewed by an independent agent</t>
        </is>
      </c>
    </row>
    <row r="198">
      <c r="A198" s="3" t="inlineStr">
        <is>
          <t>Clc1ccccc1Cl</t>
        </is>
      </c>
      <c r="B198" s="2" t="inlineStr">
        <is>
          <t>1,2-dichlorobenzene</t>
        </is>
      </c>
      <c r="C198" s="2" t="inlineStr">
        <is>
          <t>o-DCB</t>
        </is>
      </c>
      <c r="D198" s="2" t="inlineStr">
        <is>
          <t>solvent</t>
        </is>
      </c>
      <c r="E198" s="2" t="inlineStr"/>
      <c r="F198" s="2" t="n"/>
      <c r="G198" s="2" t="n">
        <v>569</v>
      </c>
      <c r="H198" s="2" t="inlineStr">
        <is>
          <t>1,2-Dichlorobenzene (CID 7239)</t>
        </is>
      </c>
      <c r="I198" s="2" t="inlineStr">
        <is>
          <t>High-boiling chlorinated aromatic solvent (about 180 C).</t>
        </is>
      </c>
      <c r="J198" s="2" t="inlineStr">
        <is>
          <t>named and classified by a chemist agent; reviewed by an independent agent</t>
        </is>
      </c>
    </row>
    <row r="199">
      <c r="A199" s="3" t="inlineStr">
        <is>
          <t>C1CN2CCN1CC2</t>
        </is>
      </c>
      <c r="B199" s="2" t="inlineStr">
        <is>
          <t>1,4-diazabicyclo[2.2.2]octane</t>
        </is>
      </c>
      <c r="C199" s="2" t="inlineStr">
        <is>
          <t>DABCO</t>
        </is>
      </c>
      <c r="D199" s="2" t="inlineStr">
        <is>
          <t>base</t>
        </is>
      </c>
      <c r="E199" s="2" t="inlineStr">
        <is>
          <t>additive</t>
        </is>
      </c>
      <c r="F199" s="2" t="n">
        <v>8.800000000000001</v>
      </c>
      <c r="G199" s="2" t="n">
        <v>560</v>
      </c>
      <c r="H199" s="2" t="inlineStr">
        <is>
          <t>Dabco (CID 9237)</t>
        </is>
      </c>
      <c r="I199" s="2" t="inlineStr">
        <is>
          <t>Bicyclic amine base and nucleophilic catalyst (Baylis-Hillman); pKa in water.</t>
        </is>
      </c>
      <c r="J199" s="2" t="inlineStr">
        <is>
          <t>named and classified by a chemist agent; reviewed by an independent agent</t>
        </is>
      </c>
    </row>
    <row r="200">
      <c r="A200" s="3" t="inlineStr">
        <is>
          <t>CC(C)N=C=NC(C)C</t>
        </is>
      </c>
      <c r="B200" s="2" t="inlineStr">
        <is>
          <t>N,N'-diisopropylcarbodiimide</t>
        </is>
      </c>
      <c r="C200" s="2" t="inlineStr">
        <is>
          <t>DIC</t>
        </is>
      </c>
      <c r="D200" s="2" t="inlineStr">
        <is>
          <t>coupling reagent (activates an acid)</t>
        </is>
      </c>
      <c r="E200" s="2" t="inlineStr"/>
      <c r="F200" s="2" t="n"/>
      <c r="G200" s="2" t="n">
        <v>553</v>
      </c>
      <c r="H200" s="2" t="inlineStr">
        <is>
          <t>Diisopropylcarbodiimide (CID 12734)</t>
        </is>
      </c>
      <c r="I200" s="2" t="inlineStr">
        <is>
          <t>Liquid carbodiimide for amide/ester coupling (with DMAP here); urea is soluble.</t>
        </is>
      </c>
      <c r="J200" s="2" t="inlineStr">
        <is>
          <t>named and classified by a chemist agent; reviewed by an independent agent</t>
        </is>
      </c>
    </row>
    <row r="201">
      <c r="A201" s="3" t="inlineStr">
        <is>
          <t>O=C(O)C(=O)O</t>
        </is>
      </c>
      <c r="B201" s="2" t="inlineStr">
        <is>
          <t>oxalic acid</t>
        </is>
      </c>
      <c r="C201" s="2" t="inlineStr"/>
      <c r="D201" s="2" t="inlineStr">
        <is>
          <t>acid</t>
        </is>
      </c>
      <c r="E201" s="2" t="inlineStr"/>
      <c r="F201" s="2" t="n"/>
      <c r="G201" s="2" t="n">
        <v>544</v>
      </c>
      <c r="H201" s="2" t="inlineStr">
        <is>
          <t>Oxalic Acid (CID 971)</t>
        </is>
      </c>
      <c r="I201" s="2" t="inlineStr">
        <is>
          <t>Diacid (pKa1 1.25) for salt formation or mild acidic hydrolysis.</t>
        </is>
      </c>
      <c r="J201" s="2" t="inlineStr">
        <is>
          <t>named and classified by a chemist agent; reviewed by an independent agent</t>
        </is>
      </c>
    </row>
    <row r="202">
      <c r="A202" s="3" t="inlineStr">
        <is>
          <t>CC=C(C)C</t>
        </is>
      </c>
      <c r="B202" s="2" t="inlineStr">
        <is>
          <t>2-methyl-2-butene</t>
        </is>
      </c>
      <c r="C202" s="2" t="inlineStr"/>
      <c r="D202" s="2" t="inlineStr">
        <is>
          <t>additive</t>
        </is>
      </c>
      <c r="E202" s="2" t="inlineStr"/>
      <c r="F202" s="2" t="n"/>
      <c r="G202" s="2" t="n">
        <v>529</v>
      </c>
      <c r="H202" s="2" t="inlineStr">
        <is>
          <t>2-Methyl-2-butene (CID 10553)</t>
        </is>
      </c>
      <c r="I202" s="2" t="inlineStr">
        <is>
          <t>Scavenger of HOCl in Pinnick oxidation (as here).</t>
        </is>
      </c>
      <c r="J202" s="2" t="inlineStr">
        <is>
          <t>named and classified by a chemist agent; reviewed by an independent agent</t>
        </is>
      </c>
    </row>
    <row r="203">
      <c r="A203" s="3" t="inlineStr">
        <is>
          <t>CN(C)c1ccccc1</t>
        </is>
      </c>
      <c r="B203" s="2" t="inlineStr">
        <is>
          <t>N,N-dimethylaniline</t>
        </is>
      </c>
      <c r="C203" s="2" t="inlineStr">
        <is>
          <t>PhNMe2</t>
        </is>
      </c>
      <c r="D203" s="2" t="inlineStr">
        <is>
          <t>base</t>
        </is>
      </c>
      <c r="E203" s="2" t="inlineStr">
        <is>
          <t>additive</t>
        </is>
      </c>
      <c r="F203" s="2" t="n">
        <v>5.1</v>
      </c>
      <c r="G203" s="2" t="n">
        <v>521</v>
      </c>
      <c r="H203" s="2" t="inlineStr">
        <is>
          <t>N,N-Dimethylaniline (CID 949)</t>
        </is>
      </c>
      <c r="I203" s="2" t="inlineStr">
        <is>
          <t>Additive in AlCl3-mediated aryl methyl ether cleavage (as here); weak base; pKa in water.</t>
        </is>
      </c>
      <c r="J203" s="2" t="inlineStr">
        <is>
          <t>named and classified by a chemist agent; reviewed by an independent agent</t>
        </is>
      </c>
    </row>
    <row r="204">
      <c r="A204" s="3" t="inlineStr">
        <is>
          <t>F</t>
        </is>
      </c>
      <c r="B204" s="2" t="inlineStr">
        <is>
          <t>hydrogen fluoride</t>
        </is>
      </c>
      <c r="C204" s="2" t="inlineStr">
        <is>
          <t>HF</t>
        </is>
      </c>
      <c r="D204" s="2" t="inlineStr">
        <is>
          <t>deprotecting agent</t>
        </is>
      </c>
      <c r="E204" s="2" t="inlineStr">
        <is>
          <t>acid</t>
        </is>
      </c>
      <c r="F204" s="2" t="n"/>
      <c r="G204" s="2" t="n">
        <v>517</v>
      </c>
      <c r="H204" s="2" t="inlineStr">
        <is>
          <t>Hydrofluoric Acid (CID 14917)</t>
        </is>
      </c>
      <c r="I204" s="2" t="inlineStr">
        <is>
          <t>Aqueous HF or HF-pyridine removes silyl ethers (TBS here).</t>
        </is>
      </c>
      <c r="J204" s="2" t="inlineStr">
        <is>
          <t>named and classified by a chemist agent; reviewed by an independent agent</t>
        </is>
      </c>
    </row>
    <row r="205">
      <c r="A205" s="3" t="inlineStr">
        <is>
          <t>S=P12SP3(=S)SP(=S)(S1)SP(=S)(S2)S3</t>
        </is>
      </c>
      <c r="B205" s="2" t="inlineStr">
        <is>
          <t>phosphorus pentasulfide</t>
        </is>
      </c>
      <c r="C205" s="2" t="inlineStr">
        <is>
          <t>P4S10</t>
        </is>
      </c>
      <c r="D205" s="2" t="inlineStr">
        <is>
          <t>dehydrating / activating agent</t>
        </is>
      </c>
      <c r="E205" s="2" t="inlineStr">
        <is>
          <t>other</t>
        </is>
      </c>
      <c r="F205" s="2" t="n"/>
      <c r="G205" s="2" t="n">
        <v>507</v>
      </c>
      <c r="H205" s="2" t="inlineStr">
        <is>
          <t>Phosphorus sulfide (P2S5) (CID 14817)</t>
        </is>
      </c>
      <c r="I205" s="2" t="inlineStr">
        <is>
          <t>Thionates carbonyls; dehydrates primary amides to nitriles in pyridine (as here).</t>
        </is>
      </c>
      <c r="J205" s="2" t="inlineStr">
        <is>
          <t>named and classified by a chemist agent; reviewed by an independent agent</t>
        </is>
      </c>
    </row>
    <row r="206">
      <c r="A206" s="3" t="inlineStr">
        <is>
          <t>CC(C)(C)[P]([Pd][P](C(C)(C)C)(C(C)(C)C)C(C)(C)C)(C(C)(C)C)C(C)(C)C</t>
        </is>
      </c>
      <c r="B206" s="2" t="inlineStr">
        <is>
          <t>bis(tri-tert-butylphosphine)palladium(0)</t>
        </is>
      </c>
      <c r="C206" s="2" t="inlineStr">
        <is>
          <t>Pd(Pt-Bu3)2</t>
        </is>
      </c>
      <c r="D206" s="2" t="inlineStr">
        <is>
          <t>catalyst (metal)</t>
        </is>
      </c>
      <c r="E206" s="2" t="inlineStr"/>
      <c r="F206" s="2" t="n"/>
      <c r="G206" s="2" t="n">
        <v>506</v>
      </c>
      <c r="H206" s="2" t="inlineStr">
        <is>
          <t>Bis(tri-tert-butylphosphine)palladium (CID 44629913)</t>
        </is>
      </c>
      <c r="I206" s="2" t="inlineStr">
        <is>
          <t>Active Pd(0) catalyst for Suzuki (as here) and Buchwald-Hartwig couplings.</t>
        </is>
      </c>
      <c r="J206" s="2" t="inlineStr">
        <is>
          <t>named and classified by a chemist agent; reviewed by an independent agent</t>
        </is>
      </c>
    </row>
    <row r="207">
      <c r="A207" s="3" t="inlineStr">
        <is>
          <t>C[Si](C)(C)I</t>
        </is>
      </c>
      <c r="B207" s="2" t="inlineStr">
        <is>
          <t>iodotrimethylsilane</t>
        </is>
      </c>
      <c r="C207" s="2" t="inlineStr">
        <is>
          <t>TMSI</t>
        </is>
      </c>
      <c r="D207" s="2" t="inlineStr">
        <is>
          <t>deprotecting agent</t>
        </is>
      </c>
      <c r="E207" s="2" t="inlineStr"/>
      <c r="F207" s="2" t="n"/>
      <c r="G207" s="2" t="n">
        <v>503</v>
      </c>
      <c r="H207" s="2" t="inlineStr">
        <is>
          <t>Trimethylsilyl iodide (CID 85247)</t>
        </is>
      </c>
      <c r="I207" s="2" t="inlineStr">
        <is>
          <t>Cleaves methyl/t-butyl esters (as here), methyl ethers and carbamates.</t>
        </is>
      </c>
      <c r="J207" s="2" t="inlineStr">
        <is>
          <t>named and classified by a chemist agent; reviewed by an independent agent</t>
        </is>
      </c>
    </row>
    <row r="208">
      <c r="A208" s="3" t="inlineStr">
        <is>
          <t>O=C([O-])C(F)(F)F</t>
        </is>
      </c>
      <c r="B208" s="2" t="inlineStr">
        <is>
          <t>trifluoroacetate</t>
        </is>
      </c>
      <c r="C208" s="2" t="inlineStr">
        <is>
          <t>TFA-</t>
        </is>
      </c>
      <c r="D208" s="2" t="inlineStr">
        <is>
          <t>counter-ion / spectator ion</t>
        </is>
      </c>
      <c r="E208" s="2" t="inlineStr"/>
      <c r="F208" s="2" t="n"/>
      <c r="G208" s="2" t="n">
        <v>500</v>
      </c>
      <c r="H208" s="2" t="inlineStr">
        <is>
          <t>Trifluoroacetate (CID 84468)</t>
        </is>
      </c>
      <c r="I208" s="2" t="inlineStr">
        <is>
          <t>Anion of TFA salts of amines and quaternary ammoniums.</t>
        </is>
      </c>
      <c r="J208" s="2" t="inlineStr">
        <is>
          <t>named and classified by a chemist agent; reviewed by an independent agent</t>
        </is>
      </c>
    </row>
    <row r="209">
      <c r="A209" s="3" t="inlineStr">
        <is>
          <t>[Li][CH](C)CC</t>
        </is>
      </c>
      <c r="B209" s="2" t="inlineStr">
        <is>
          <t>sec-butyllithium</t>
        </is>
      </c>
      <c r="C209" s="2" t="inlineStr">
        <is>
          <t>s-BuLi</t>
        </is>
      </c>
      <c r="D209" s="2" t="inlineStr">
        <is>
          <t>organometallic reagent</t>
        </is>
      </c>
      <c r="E209" s="2" t="inlineStr">
        <is>
          <t>base</t>
        </is>
      </c>
      <c r="F209" s="2" t="n">
        <v>51</v>
      </c>
      <c r="G209" s="2" t="n">
        <v>497</v>
      </c>
      <c r="H209" s="2" t="inlineStr">
        <is>
          <t>Sec-Butyllithium (CID 102446)</t>
        </is>
      </c>
      <c r="I209" s="2" t="inlineStr">
        <is>
          <t>Strong base for directed ortho-lithiation (then Br2 quench here); pKa of butane CH2 about 51.</t>
        </is>
      </c>
      <c r="J209" s="2" t="inlineStr">
        <is>
          <t>named and classified by a chemist agent; reviewed by an independent agent</t>
        </is>
      </c>
    </row>
    <row r="210">
      <c r="A210" s="3" t="inlineStr">
        <is>
          <t>CN[C@@H]1CCCC[C@H]1NC</t>
        </is>
      </c>
      <c r="B210" s="2" t="inlineStr">
        <is>
          <t>(1R,2R)-N,N'-dimethylcyclohexane-1,2-diamine</t>
        </is>
      </c>
      <c r="C210" s="2" t="inlineStr">
        <is>
          <t>DMCHDA</t>
        </is>
      </c>
      <c r="D210" s="2" t="inlineStr">
        <is>
          <t>ligand</t>
        </is>
      </c>
      <c r="E210" s="2" t="inlineStr"/>
      <c r="F210" s="2" t="n"/>
      <c r="G210" s="2" t="n">
        <v>493</v>
      </c>
      <c r="H210" s="2" t="inlineStr">
        <is>
          <t>trans-N,N'-dimethyl-1,2-cyclohexanediamine (CID 2733821)</t>
        </is>
      </c>
      <c r="I210" s="2" t="inlineStr">
        <is>
          <t>trans-Diamine ligand for CuI-catalysed Goldberg amidation of aryl halides (as here).</t>
        </is>
      </c>
      <c r="J210" s="2" t="inlineStr">
        <is>
          <t>named and classified by a chemist agent; reviewed by an independent agent</t>
        </is>
      </c>
    </row>
    <row r="211">
      <c r="A211" s="3" t="inlineStr">
        <is>
          <t>CN(C)c1ccccc1-c1ccccc1P(C1CCCCC1)C1CCCCC1</t>
        </is>
      </c>
      <c r="B211" s="2" t="inlineStr">
        <is>
          <t>DavePhos</t>
        </is>
      </c>
      <c r="C211" s="2" t="inlineStr">
        <is>
          <t>DavePhos</t>
        </is>
      </c>
      <c r="D211" s="2" t="inlineStr">
        <is>
          <t>ligand</t>
        </is>
      </c>
      <c r="E211" s="2" t="inlineStr"/>
      <c r="F211" s="2" t="n"/>
      <c r="G211" s="2" t="n">
        <v>492</v>
      </c>
      <c r="H211" s="2" t="inlineStr">
        <is>
          <t>2-(Dicyclohexylphosphino)-2'-(dimethylamino)biphenyl (CID 2734217)</t>
        </is>
      </c>
      <c r="I211" s="2" t="inlineStr">
        <is>
          <t>Biaryl dialkylphosphine for Pd Buchwald-Hartwig amination (as here).</t>
        </is>
      </c>
      <c r="J211" s="2" t="inlineStr">
        <is>
          <t>named and classified by a chemist agent; reviewed by an independent agent</t>
        </is>
      </c>
    </row>
    <row r="212">
      <c r="A212" s="3" t="inlineStr">
        <is>
          <t>O=[O+][O-]</t>
        </is>
      </c>
      <c r="B212" s="2" t="inlineStr">
        <is>
          <t>ozone</t>
        </is>
      </c>
      <c r="C212" s="2" t="inlineStr">
        <is>
          <t>O3</t>
        </is>
      </c>
      <c r="D212" s="2" t="inlineStr">
        <is>
          <t>oxidant</t>
        </is>
      </c>
      <c r="E212" s="2" t="inlineStr">
        <is>
          <t>gas</t>
        </is>
      </c>
      <c r="F212" s="2" t="n"/>
      <c r="G212" s="2" t="n">
        <v>490</v>
      </c>
      <c r="H212" s="2" t="inlineStr">
        <is>
          <t>Ozone (CID 24823)</t>
        </is>
      </c>
      <c r="I212" s="2" t="inlineStr">
        <is>
          <t>Ozonolysis of alkenes to carbonyls (reductive or oxidative workup).</t>
        </is>
      </c>
      <c r="J212" s="2" t="inlineStr">
        <is>
          <t>named and classified by a chemist agent; reviewed by an independent agent</t>
        </is>
      </c>
    </row>
    <row r="213">
      <c r="A213" s="3" t="inlineStr">
        <is>
          <t>C1COCCN1</t>
        </is>
      </c>
      <c r="B213" s="2" t="inlineStr">
        <is>
          <t>morpholine</t>
        </is>
      </c>
      <c r="C213" s="2" t="inlineStr"/>
      <c r="D213" s="2" t="inlineStr">
        <is>
          <t>nucleophile</t>
        </is>
      </c>
      <c r="E213" s="2" t="inlineStr">
        <is>
          <t>base</t>
        </is>
      </c>
      <c r="F213" s="2" t="n">
        <v>8.4</v>
      </c>
      <c r="G213" s="2" t="n">
        <v>484</v>
      </c>
      <c r="H213" s="2" t="inlineStr">
        <is>
          <t>Morpholine (CID 8083)</t>
        </is>
      </c>
      <c r="I213" s="2" t="inlineStr">
        <is>
          <t>Secondary amine nucleophile; here additive in Pt hydrogenation to suppress dehalogenation; pKa in water.</t>
        </is>
      </c>
      <c r="J213" s="2" t="inlineStr">
        <is>
          <t>named and classified by a chemist agent; reviewed by an independent agent</t>
        </is>
      </c>
    </row>
    <row r="214">
      <c r="A214" s="3" t="inlineStr">
        <is>
          <t>Br[P+](N1CCCC1)(N1CCCC1)N1CCCC1</t>
        </is>
      </c>
      <c r="B214" s="2" t="inlineStr">
        <is>
          <t>PyBroP (bromotripyrrolidinophosphonium cation)</t>
        </is>
      </c>
      <c r="C214" s="2" t="inlineStr">
        <is>
          <t>PyBroP</t>
        </is>
      </c>
      <c r="D214" s="2" t="inlineStr">
        <is>
          <t>coupling reagent (activates an acid)</t>
        </is>
      </c>
      <c r="E214" s="2" t="inlineStr"/>
      <c r="F214" s="2" t="n"/>
      <c r="G214" s="2" t="n">
        <v>484</v>
      </c>
      <c r="H214" s="2" t="inlineStr">
        <is>
          <t>Bromotripyrrolidin-1-ylphosphonium (CID 2733180)</t>
        </is>
      </c>
      <c r="I214" s="2" t="inlineStr">
        <is>
          <t>Phosphonium (with PF6-) for hindered or N-methyl amide couplings.</t>
        </is>
      </c>
      <c r="J214" s="2" t="inlineStr">
        <is>
          <t>named and classified by a chemist agent; reviewed by an independent agent</t>
        </is>
      </c>
    </row>
    <row r="215">
      <c r="A215" s="3" t="inlineStr">
        <is>
          <t>COCCOCCOC</t>
        </is>
      </c>
      <c r="B215" s="2" t="inlineStr">
        <is>
          <t>diglyme</t>
        </is>
      </c>
      <c r="C215" s="2" t="inlineStr"/>
      <c r="D215" s="2" t="inlineStr">
        <is>
          <t>solvent</t>
        </is>
      </c>
      <c r="E215" s="2" t="inlineStr"/>
      <c r="F215" s="2" t="n"/>
      <c r="G215" s="2" t="n">
        <v>477</v>
      </c>
      <c r="H215" s="2" t="inlineStr">
        <is>
          <t>Diglyme (CID 8150)</t>
        </is>
      </c>
      <c r="I215" s="2" t="inlineStr">
        <is>
          <t>High-boiling ether solvent (bis(2-methoxyethyl) ether).</t>
        </is>
      </c>
      <c r="J215" s="2" t="inlineStr">
        <is>
          <t>named and classified by a chemist agent; reviewed by an independent agent</t>
        </is>
      </c>
    </row>
    <row r="216">
      <c r="A216" s="3" t="inlineStr">
        <is>
          <t>O=S(=O)(OS(=O)(=O)C(F)(F)F)C(F)(F)F</t>
        </is>
      </c>
      <c r="B216" s="2" t="inlineStr">
        <is>
          <t>trifluoromethanesulfonic anhydride</t>
        </is>
      </c>
      <c r="C216" s="2" t="inlineStr">
        <is>
          <t>Tf2O</t>
        </is>
      </c>
      <c r="D216" s="2" t="inlineStr">
        <is>
          <t>dehydrating / activating agent</t>
        </is>
      </c>
      <c r="E216" s="2" t="inlineStr"/>
      <c r="F216" s="2" t="n"/>
      <c r="G216" s="2" t="n">
        <v>472</v>
      </c>
      <c r="H216" s="2" t="inlineStr">
        <is>
          <t>Trifluoromethanesulfonic anhydride (CID 67749)</t>
        </is>
      </c>
      <c r="I216" s="2" t="inlineStr">
        <is>
          <t>Makes aryl/enol triflates, activates amides and sulfoxides.</t>
        </is>
      </c>
      <c r="J216" s="2" t="inlineStr">
        <is>
          <t>named and classified by a chemist agent; reviewed by an independent agent</t>
        </is>
      </c>
    </row>
    <row r="217">
      <c r="A217" s="3" t="inlineStr">
        <is>
          <t>CCI</t>
        </is>
      </c>
      <c r="B217" s="2" t="inlineStr">
        <is>
          <t>iodoethane</t>
        </is>
      </c>
      <c r="C217" s="2" t="inlineStr">
        <is>
          <t>EtI</t>
        </is>
      </c>
      <c r="D217" s="2" t="inlineStr">
        <is>
          <t>electrophile / alkylating agent</t>
        </is>
      </c>
      <c r="E217" s="2" t="inlineStr"/>
      <c r="F217" s="2" t="n"/>
      <c r="G217" s="2" t="n">
        <v>471</v>
      </c>
      <c r="H217" s="2" t="inlineStr">
        <is>
          <t>Iodoethane (CID 6340)</t>
        </is>
      </c>
      <c r="I217" s="2" t="inlineStr">
        <is>
          <t>SN2 ethylating agent (C-ethylation of an ester enolate with NaNH2 here).</t>
        </is>
      </c>
      <c r="J217" s="2" t="inlineStr">
        <is>
          <t>named and classified by a chemist agent; reviewed by an independent agent</t>
        </is>
      </c>
    </row>
    <row r="218">
      <c r="A218" s="3" t="inlineStr">
        <is>
          <t>C[Si](C)(C)N[Si](C)(C)C</t>
        </is>
      </c>
      <c r="B218" s="2" t="inlineStr">
        <is>
          <t>hexamethyldisilazane</t>
        </is>
      </c>
      <c r="C218" s="2" t="inlineStr">
        <is>
          <t>HMDS</t>
        </is>
      </c>
      <c r="D218" s="2" t="inlineStr">
        <is>
          <t>protecting-group reagent</t>
        </is>
      </c>
      <c r="E218" s="2" t="inlineStr">
        <is>
          <t>base</t>
        </is>
      </c>
      <c r="F218" s="2" t="n"/>
      <c r="G218" s="2" t="n">
        <v>470</v>
      </c>
      <c r="H218" s="2" t="inlineStr">
        <is>
          <t>Hexamethyldisilazane (CID 13838)</t>
        </is>
      </c>
      <c r="I218" s="2" t="inlineStr">
        <is>
          <t>Silylating agent; with Na metal or BuLi gives MHMDS base (O-alkylation of a phenol here).</t>
        </is>
      </c>
      <c r="J218" s="2" t="inlineStr">
        <is>
          <t>named and classified by a chemist agent; reviewed by an independent agent</t>
        </is>
      </c>
    </row>
    <row r="219">
      <c r="A219" s="3" t="inlineStr">
        <is>
          <t>[Cl][Ni][Cl]</t>
        </is>
      </c>
      <c r="B219" s="2" t="inlineStr">
        <is>
          <t>nickel(II) chloride</t>
        </is>
      </c>
      <c r="C219" s="2" t="inlineStr">
        <is>
          <t>NiCl2</t>
        </is>
      </c>
      <c r="D219" s="2" t="inlineStr">
        <is>
          <t>catalyst (metal)</t>
        </is>
      </c>
      <c r="E219" s="2" t="inlineStr"/>
      <c r="F219" s="2" t="n"/>
      <c r="G219" s="2" t="n">
        <v>467</v>
      </c>
      <c r="H219" s="2" t="inlineStr">
        <is>
          <t>Nickel Dichloride (CID 24385)</t>
        </is>
      </c>
      <c r="I219" s="2" t="inlineStr">
        <is>
          <t>With NaBH4 forms nickel boride for nitro/nitrile reduction (as here); Ni cross-coupling precatalyst.</t>
        </is>
      </c>
      <c r="J219" s="2" t="inlineStr">
        <is>
          <t>named and classified by a chemist agent; reviewed by an independent agent</t>
        </is>
      </c>
    </row>
    <row r="220">
      <c r="A220" s="3" t="inlineStr">
        <is>
          <t>C[N+]1([O-])CCOCC1</t>
        </is>
      </c>
      <c r="B220" s="2" t="inlineStr">
        <is>
          <t>N-methylmorpholine N-oxide</t>
        </is>
      </c>
      <c r="C220" s="2" t="inlineStr">
        <is>
          <t>NMO</t>
        </is>
      </c>
      <c r="D220" s="2" t="inlineStr">
        <is>
          <t>oxidant</t>
        </is>
      </c>
      <c r="E220" s="2" t="inlineStr"/>
      <c r="F220" s="2" t="n"/>
      <c r="G220" s="2" t="n">
        <v>452</v>
      </c>
      <c r="H220" s="2" t="inlineStr">
        <is>
          <t>Methyl morpholine oxide (CID 82029)</t>
        </is>
      </c>
      <c r="I220" s="2" t="inlineStr">
        <is>
          <t>Stoichiometric co-oxidant for OsO4 dihydroxylation and TPAP oxidation.</t>
        </is>
      </c>
      <c r="J220" s="2" t="inlineStr">
        <is>
          <t>named and classified by a chemist agent; reviewed by an independent agent</t>
        </is>
      </c>
    </row>
    <row r="221">
      <c r="A221" s="3" t="inlineStr">
        <is>
          <t>CC1(C)OB(B2OC(C)(C)C(C)(C)O2)OC1(C)C</t>
        </is>
      </c>
      <c r="B221" s="2" t="inlineStr">
        <is>
          <t>bis(pinacolato)diboron</t>
        </is>
      </c>
      <c r="C221" s="2" t="inlineStr">
        <is>
          <t>B2pin2</t>
        </is>
      </c>
      <c r="D221" s="2" t="inlineStr">
        <is>
          <t>other</t>
        </is>
      </c>
      <c r="E221" s="2" t="inlineStr"/>
      <c r="F221" s="2" t="n"/>
      <c r="G221" s="2" t="n">
        <v>452</v>
      </c>
      <c r="H221" s="2" t="inlineStr">
        <is>
          <t>Bis(pinacolato)diborane (CID 2733548)</t>
        </is>
      </c>
      <c r="I221" s="2" t="inlineStr">
        <is>
          <t>Boron source for Miyaura borylation of aryl halides (Pd catalyst, KOAc).</t>
        </is>
      </c>
      <c r="J221" s="2" t="inlineStr">
        <is>
          <t>named and classified by a chemist agent; reviewed by an independent agent</t>
        </is>
      </c>
    </row>
    <row r="222">
      <c r="A222" s="3" t="inlineStr">
        <is>
          <t>CC(=O)CC(C)C</t>
        </is>
      </c>
      <c r="B222" s="2" t="inlineStr">
        <is>
          <t>methyl isobutyl ketone</t>
        </is>
      </c>
      <c r="C222" s="2" t="inlineStr">
        <is>
          <t>MIBK</t>
        </is>
      </c>
      <c r="D222" s="2" t="inlineStr">
        <is>
          <t>solvent</t>
        </is>
      </c>
      <c r="E222" s="2" t="inlineStr"/>
      <c r="F222" s="2" t="n"/>
      <c r="G222" s="2" t="n">
        <v>450</v>
      </c>
      <c r="H222" s="2" t="inlineStr">
        <is>
          <t>Methyl Isobutyl Ketone (CID 7909)</t>
        </is>
      </c>
      <c r="I222" s="2" t="inlineStr">
        <is>
          <t>Water-immiscible ketone solvent.</t>
        </is>
      </c>
      <c r="J222" s="2" t="inlineStr">
        <is>
          <t>named and classified by a chemist agent; reviewed by an independent agent</t>
        </is>
      </c>
    </row>
    <row r="223">
      <c r="A223" s="3" t="inlineStr">
        <is>
          <t>O=P12OP3(=O)OP(=O)(O1)OP(=O)(O2)O3</t>
        </is>
      </c>
      <c r="B223" s="2" t="inlineStr">
        <is>
          <t>phosphorus pentoxide</t>
        </is>
      </c>
      <c r="C223" s="2" t="inlineStr">
        <is>
          <t>P4O10 (P2O5)</t>
        </is>
      </c>
      <c r="D223" s="2" t="inlineStr">
        <is>
          <t>dehydrating / activating agent</t>
        </is>
      </c>
      <c r="E223" s="2" t="inlineStr"/>
      <c r="F223" s="2" t="n"/>
      <c r="G223" s="2" t="n">
        <v>449</v>
      </c>
      <c r="H223" s="2" t="inlineStr">
        <is>
          <t>Phosphorus oxide (P4O10) (CID 14812)</t>
        </is>
      </c>
      <c r="I223" s="2" t="inlineStr">
        <is>
          <t>Powerful dehydrating agent (amide to nitrile, cyclodehydrations, Eaton's reagent).</t>
        </is>
      </c>
      <c r="J223" s="2" t="inlineStr">
        <is>
          <t>named and classified by a chemist agent; reviewed by an independent agent</t>
        </is>
      </c>
    </row>
    <row r="224">
      <c r="A224" s="3" t="inlineStr">
        <is>
          <t>[O]=[Cr](=[O])=[O]</t>
        </is>
      </c>
      <c r="B224" s="2" t="inlineStr">
        <is>
          <t>chromium(VI) oxide</t>
        </is>
      </c>
      <c r="C224" s="2" t="inlineStr">
        <is>
          <t>CrO3</t>
        </is>
      </c>
      <c r="D224" s="2" t="inlineStr">
        <is>
          <t>oxidant</t>
        </is>
      </c>
      <c r="E224" s="2" t="inlineStr"/>
      <c r="F224" s="2" t="n"/>
      <c r="G224" s="2" t="n">
        <v>448</v>
      </c>
      <c r="H224" s="2" t="inlineStr">
        <is>
          <t>Chromium Trioxide (CID 14915)</t>
        </is>
      </c>
      <c r="I224" s="2" t="inlineStr">
        <is>
          <t>Jones/Collins (CrO3.2py, as here) oxidation of alcohols.</t>
        </is>
      </c>
      <c r="J224" s="2" t="inlineStr">
        <is>
          <t>named and classified by a chemist agent; reviewed by an independent agent</t>
        </is>
      </c>
    </row>
    <row r="225">
      <c r="A225" s="3" t="inlineStr">
        <is>
          <t>NCCN</t>
        </is>
      </c>
      <c r="B225" s="2" t="inlineStr">
        <is>
          <t>ethylenediamine</t>
        </is>
      </c>
      <c r="C225" s="2" t="inlineStr">
        <is>
          <t>en</t>
        </is>
      </c>
      <c r="D225" s="2" t="inlineStr">
        <is>
          <t>additive</t>
        </is>
      </c>
      <c r="E225" s="2" t="inlineStr">
        <is>
          <t>ligand</t>
        </is>
      </c>
      <c r="F225" s="2" t="n"/>
      <c r="G225" s="2" t="n">
        <v>445</v>
      </c>
      <c r="H225" s="2" t="inlineStr">
        <is>
          <t>Ethylenediamine (CID 3301)</t>
        </is>
      </c>
      <c r="I225" s="2" t="inlineStr">
        <is>
          <t>Catalyst modifier (Pd/C(en)) for chemoselective hydrogenation, here preserving an epoxide; also ligand/nucleophile.</t>
        </is>
      </c>
      <c r="J225" s="2" t="inlineStr">
        <is>
          <t>named and classified by a chemist agent; reviewed by an independent agent</t>
        </is>
      </c>
    </row>
    <row r="226">
      <c r="A226" s="3" t="inlineStr">
        <is>
          <t>Oc1ccccc1</t>
        </is>
      </c>
      <c r="B226" s="2" t="inlineStr">
        <is>
          <t>phenol</t>
        </is>
      </c>
      <c r="C226" s="2" t="inlineStr">
        <is>
          <t>PhOH</t>
        </is>
      </c>
      <c r="D226" s="2" t="inlineStr">
        <is>
          <t>additive</t>
        </is>
      </c>
      <c r="E226" s="2" t="inlineStr"/>
      <c r="F226" s="2" t="n"/>
      <c r="G226" s="2" t="n">
        <v>445</v>
      </c>
      <c r="H226" s="2" t="inlineStr">
        <is>
          <t>Phenol (CID 996)</t>
        </is>
      </c>
      <c r="I226" s="2" t="inlineStr">
        <is>
          <t>Cation scavenger in Boc removal with TMSCl (as here).</t>
        </is>
      </c>
      <c r="J226" s="2" t="inlineStr">
        <is>
          <t>named and classified by a chemist agent; reviewed by an independent agent</t>
        </is>
      </c>
    </row>
    <row r="227">
      <c r="A227" s="3" t="inlineStr">
        <is>
          <t>S</t>
        </is>
      </c>
      <c r="B227" s="2" t="inlineStr">
        <is>
          <t>hydrogen sulfide</t>
        </is>
      </c>
      <c r="C227" s="2" t="inlineStr">
        <is>
          <t>H2S</t>
        </is>
      </c>
      <c r="D227" s="2" t="inlineStr">
        <is>
          <t>reductant</t>
        </is>
      </c>
      <c r="E227" s="2" t="inlineStr"/>
      <c r="F227" s="2" t="n"/>
      <c r="G227" s="2" t="n">
        <v>432</v>
      </c>
      <c r="H227" s="2" t="inlineStr">
        <is>
          <t>Hydrogen Sulfide (CID 402)</t>
        </is>
      </c>
      <c r="I227" s="2" t="inlineStr">
        <is>
          <t>With NH3 (ammonium sulfide, Zinin reduction) selectively reduces one nitro group of a dinitroarene (as here).</t>
        </is>
      </c>
      <c r="J227" s="2" t="inlineStr">
        <is>
          <t>named and classified by a chemist agent; reviewed by an independent agent</t>
        </is>
      </c>
    </row>
    <row r="228">
      <c r="A228" s="3" t="inlineStr">
        <is>
          <t>CCOP(=O)(C#N)OCC</t>
        </is>
      </c>
      <c r="B228" s="2" t="inlineStr">
        <is>
          <t>diethyl cyanophosphonate</t>
        </is>
      </c>
      <c r="C228" s="2" t="inlineStr">
        <is>
          <t>DEPC</t>
        </is>
      </c>
      <c r="D228" s="2" t="inlineStr">
        <is>
          <t>coupling reagent (activates an acid)</t>
        </is>
      </c>
      <c r="E228" s="2" t="inlineStr"/>
      <c r="F228" s="2" t="n"/>
      <c r="G228" s="2" t="n">
        <v>427</v>
      </c>
      <c r="H228" s="2" t="inlineStr">
        <is>
          <t>Diethyl cyanophosphonate (CID 76257)</t>
        </is>
      </c>
      <c r="I228" s="2" t="inlineStr">
        <is>
          <t>Amide coupling reagent with Et3N in DMF (as here).</t>
        </is>
      </c>
      <c r="J228" s="2" t="inlineStr">
        <is>
          <t>named and classified by a chemist agent; reviewed by an independent agent</t>
        </is>
      </c>
    </row>
    <row r="229">
      <c r="A229" s="3" t="inlineStr">
        <is>
          <t>c1ccc(-c2ccccc2P(C2CCCCC2)C2CCCCC2)cc1</t>
        </is>
      </c>
      <c r="B229" s="2" t="inlineStr">
        <is>
          <t>2-(dicyclohexylphosphino)biphenyl</t>
        </is>
      </c>
      <c r="C229" s="2" t="inlineStr">
        <is>
          <t>CyJohnPhos</t>
        </is>
      </c>
      <c r="D229" s="2" t="inlineStr">
        <is>
          <t>ligand</t>
        </is>
      </c>
      <c r="E229" s="2" t="inlineStr"/>
      <c r="F229" s="2" t="n"/>
      <c r="G229" s="2" t="n">
        <v>427</v>
      </c>
      <c r="H229" s="2" t="inlineStr">
        <is>
          <t>2-(Dicyclohexylphosphino)biphenyl (CID 2734216)</t>
        </is>
      </c>
      <c r="I229" s="2" t="inlineStr">
        <is>
          <t>Biaryl phosphine for Pd Buchwald-Hartwig amination (as here) and Suzuki couplings.</t>
        </is>
      </c>
      <c r="J229" s="2" t="inlineStr">
        <is>
          <t>named and classified by a chemist agent; reviewed by an independent agent</t>
        </is>
      </c>
    </row>
    <row r="230">
      <c r="A230" s="3" t="inlineStr">
        <is>
          <t>CC(C)(C)ON=O</t>
        </is>
      </c>
      <c r="B230" s="2" t="inlineStr">
        <is>
          <t>tert-butyl nitrite</t>
        </is>
      </c>
      <c r="C230" s="2" t="inlineStr">
        <is>
          <t>t-BuONO</t>
        </is>
      </c>
      <c r="D230" s="2" t="inlineStr">
        <is>
          <t>other</t>
        </is>
      </c>
      <c r="E230" s="2" t="inlineStr"/>
      <c r="F230" s="2" t="n"/>
      <c r="G230" s="2" t="n">
        <v>427</v>
      </c>
      <c r="H230" s="2" t="inlineStr">
        <is>
          <t>Tert-Butyl nitrite (CID 10906)</t>
        </is>
      </c>
      <c r="I230" s="2" t="inlineStr">
        <is>
          <t>Organic NO+ source for diazotization/deamination of anilines (as here) and Sandmeyer reactions.</t>
        </is>
      </c>
      <c r="J230" s="2" t="inlineStr">
        <is>
          <t>named and classified by a chemist agent; reviewed by an independent agent</t>
        </is>
      </c>
    </row>
    <row r="231">
      <c r="A231" s="3" t="inlineStr">
        <is>
          <t>O=C([O-])C(O)C(O)C(=O)[O-]</t>
        </is>
      </c>
      <c r="B231" s="2" t="inlineStr">
        <is>
          <t>tartrate (Rochelle salt)</t>
        </is>
      </c>
      <c r="C231" s="2" t="inlineStr"/>
      <c r="D231" s="2" t="inlineStr">
        <is>
          <t>salt (work-up or additive)</t>
        </is>
      </c>
      <c r="E231" s="2" t="inlineStr"/>
      <c r="F231" s="2" t="n"/>
      <c r="G231" s="2" t="n">
        <v>420</v>
      </c>
      <c r="H231" s="2" t="inlineStr">
        <is>
          <t>2,3-Dihydroxybutanedioate (CID 3806114)</t>
        </is>
      </c>
      <c r="I231" s="2" t="inlineStr">
        <is>
          <t>Potassium sodium tartrate chelates Sn/Al salts during workup.</t>
        </is>
      </c>
      <c r="J231" s="2" t="inlineStr">
        <is>
          <t>named and classified by a chemist agent; reviewed by an independent agent</t>
        </is>
      </c>
    </row>
    <row r="232">
      <c r="A232" s="3" t="inlineStr">
        <is>
          <t>[H+]</t>
        </is>
      </c>
      <c r="B232" s="2" t="inlineStr">
        <is>
          <t>proton</t>
        </is>
      </c>
      <c r="C232" s="2" t="inlineStr">
        <is>
          <t>H+</t>
        </is>
      </c>
      <c r="D232" s="2" t="inlineStr">
        <is>
          <t>acid</t>
        </is>
      </c>
      <c r="E232" s="2" t="inlineStr"/>
      <c r="F232" s="2" t="n"/>
      <c r="G232" s="2" t="n">
        <v>416</v>
      </c>
      <c r="H232" s="2" t="inlineStr">
        <is>
          <t>Hydrogen cation (CID 1038)</t>
        </is>
      </c>
      <c r="I232" s="2" t="inlineStr">
        <is>
          <t>Generic proton/acid source as recorded.</t>
        </is>
      </c>
      <c r="J232" s="2" t="inlineStr">
        <is>
          <t>named and classified by a chemist agent; reviewed by an independent agent</t>
        </is>
      </c>
    </row>
    <row r="233">
      <c r="A233" s="3" t="inlineStr">
        <is>
          <t>[CH3][Mg][Br]</t>
        </is>
      </c>
      <c r="B233" s="2" t="inlineStr">
        <is>
          <t>methylmagnesium bromide</t>
        </is>
      </c>
      <c r="C233" s="2" t="inlineStr">
        <is>
          <t>MeMgBr</t>
        </is>
      </c>
      <c r="D233" s="2" t="inlineStr">
        <is>
          <t>organometallic reagent</t>
        </is>
      </c>
      <c r="E233" s="2" t="inlineStr"/>
      <c r="F233" s="2" t="n"/>
      <c r="G233" s="2" t="n">
        <v>416</v>
      </c>
      <c r="H233" s="2" t="inlineStr">
        <is>
          <t>Methyl magnesium bromide (CID 6349)</t>
        </is>
      </c>
      <c r="I233" s="2" t="inlineStr">
        <is>
          <t>Methyl Grignard: adds to ketones/esters/nitriles (ester to tertiary alcohol, deacetylation here).</t>
        </is>
      </c>
      <c r="J233" s="2" t="inlineStr">
        <is>
          <t>named and classified by a chemist agent; reviewed by an independent agent</t>
        </is>
      </c>
    </row>
    <row r="234">
      <c r="A234" s="3" t="inlineStr">
        <is>
          <t>C[Si](C)(C)OS(=O)(=O)C(F)(F)F</t>
        </is>
      </c>
      <c r="B234" s="2" t="inlineStr">
        <is>
          <t>trimethylsilyl trifluoromethanesulfonate</t>
        </is>
      </c>
      <c r="C234" s="2" t="inlineStr">
        <is>
          <t>TMSOTf</t>
        </is>
      </c>
      <c r="D234" s="2" t="inlineStr">
        <is>
          <t>Lewis acid</t>
        </is>
      </c>
      <c r="E234" s="2" t="inlineStr">
        <is>
          <t>deprotecting agent</t>
        </is>
      </c>
      <c r="F234" s="2" t="n"/>
      <c r="G234" s="2" t="n">
        <v>413</v>
      </c>
      <c r="H234" s="2" t="inlineStr">
        <is>
          <t>Trimethylsilyl triflate (CID 65367)</t>
        </is>
      </c>
      <c r="I234" s="2" t="inlineStr">
        <is>
          <t>Silylating Lewis acid; mild Boc removal (as here), glycosylation.</t>
        </is>
      </c>
      <c r="J234" s="2" t="inlineStr">
        <is>
          <t>named and classified by a chemist agent; reviewed by an independent agent</t>
        </is>
      </c>
    </row>
    <row r="235">
      <c r="A235" s="3" t="inlineStr">
        <is>
          <t>[Li][CH3]</t>
        </is>
      </c>
      <c r="B235" s="2" t="inlineStr">
        <is>
          <t>methyllithium</t>
        </is>
      </c>
      <c r="C235" s="2" t="inlineStr">
        <is>
          <t>MeLi</t>
        </is>
      </c>
      <c r="D235" s="2" t="inlineStr">
        <is>
          <t>organometallic reagent</t>
        </is>
      </c>
      <c r="E235" s="2" t="inlineStr">
        <is>
          <t>base</t>
        </is>
      </c>
      <c r="F235" s="2" t="n">
        <v>48</v>
      </c>
      <c r="G235" s="2" t="n">
        <v>406</v>
      </c>
      <c r="H235" s="2" t="inlineStr">
        <is>
          <t>Methyllithium (CID 2724049)</t>
        </is>
      </c>
      <c r="I235" s="2" t="inlineStr">
        <is>
          <t>Methyl nucleophile/base; with CeCl3 adds to nitriles (as here); pKa of methane about 48.</t>
        </is>
      </c>
      <c r="J235" s="2" t="inlineStr">
        <is>
          <t>named and classified by a chemist agent; reviewed by an independent agent</t>
        </is>
      </c>
    </row>
    <row r="236">
      <c r="A236" s="3" t="inlineStr">
        <is>
          <t>[O-][Cl+3]([O-])([O-])O</t>
        </is>
      </c>
      <c r="B236" s="2" t="inlineStr">
        <is>
          <t>perchloric acid</t>
        </is>
      </c>
      <c r="C236" s="2" t="inlineStr">
        <is>
          <t>HClO4</t>
        </is>
      </c>
      <c r="D236" s="2" t="inlineStr">
        <is>
          <t>acid</t>
        </is>
      </c>
      <c r="E236" s="2" t="inlineStr"/>
      <c r="F236" s="2" t="n"/>
      <c r="G236" s="2" t="n">
        <v>405</v>
      </c>
      <c r="H236" s="2" t="inlineStr">
        <is>
          <t>Perchloric Acid (CID 24247)</t>
        </is>
      </c>
      <c r="I236" s="2" t="inlineStr">
        <is>
          <t>Very strong acid; cleaves t-butyl esters (as here).</t>
        </is>
      </c>
      <c r="J236" s="2" t="inlineStr">
        <is>
          <t>named and classified by a chemist agent; reviewed by an independent agent</t>
        </is>
      </c>
    </row>
    <row r="237">
      <c r="A237" s="3" t="inlineStr">
        <is>
          <t>O=[Se]=O</t>
        </is>
      </c>
      <c r="B237" s="2" t="inlineStr">
        <is>
          <t>selenium dioxide</t>
        </is>
      </c>
      <c r="C237" s="2" t="inlineStr">
        <is>
          <t>SeO2</t>
        </is>
      </c>
      <c r="D237" s="2" t="inlineStr">
        <is>
          <t>oxidant</t>
        </is>
      </c>
      <c r="E237" s="2" t="inlineStr"/>
      <c r="F237" s="2" t="n"/>
      <c r="G237" s="2" t="n">
        <v>405</v>
      </c>
      <c r="H237" s="2" t="inlineStr">
        <is>
          <t>Selenium Dioxide (CID 24007)</t>
        </is>
      </c>
      <c r="I237" s="2" t="inlineStr">
        <is>
          <t>Riley oxidation of activated methyl groups to aldehydes (methylquinoline here) and allylic oxidation.</t>
        </is>
      </c>
      <c r="J237" s="2" t="inlineStr">
        <is>
          <t>named and classified by a chemist agent; reviewed by an independent agent</t>
        </is>
      </c>
    </row>
    <row r="238">
      <c r="A238" s="3" t="inlineStr">
        <is>
          <t>Nc1ccccc1</t>
        </is>
      </c>
      <c r="B238" s="2" t="inlineStr">
        <is>
          <t>aniline</t>
        </is>
      </c>
      <c r="C238" s="2" t="inlineStr">
        <is>
          <t>PhNH2</t>
        </is>
      </c>
      <c r="D238" s="2" t="inlineStr">
        <is>
          <t>nucleophile</t>
        </is>
      </c>
      <c r="E238" s="2" t="inlineStr">
        <is>
          <t>base</t>
        </is>
      </c>
      <c r="F238" s="2" t="n">
        <v>4.6</v>
      </c>
      <c r="G238" s="2" t="n">
        <v>403</v>
      </c>
      <c r="H238" s="2" t="inlineStr">
        <is>
          <t>Aniline (CID 6115)</t>
        </is>
      </c>
      <c r="I238" s="2" t="inlineStr">
        <is>
          <t>Aryl amine nucleophile; in diazotization recordings like this one it is the substrate or a co-reactant; pKa in water.</t>
        </is>
      </c>
      <c r="J238" s="2" t="inlineStr">
        <is>
          <t>named and classified by a chemist agent; reviewed by an independent agent</t>
        </is>
      </c>
    </row>
    <row r="239">
      <c r="A239" s="3" t="inlineStr">
        <is>
          <t>CCN1CCOCC1</t>
        </is>
      </c>
      <c r="B239" s="2" t="inlineStr">
        <is>
          <t>N-ethylmorpholine</t>
        </is>
      </c>
      <c r="C239" s="2" t="inlineStr">
        <is>
          <t>NEM</t>
        </is>
      </c>
      <c r="D239" s="2" t="inlineStr">
        <is>
          <t>base</t>
        </is>
      </c>
      <c r="E239" s="2" t="inlineStr"/>
      <c r="F239" s="2" t="n">
        <v>7.7</v>
      </c>
      <c r="G239" s="2" t="n">
        <v>403</v>
      </c>
      <c r="H239" s="2" t="inlineStr">
        <is>
          <t>Ethylmorpholine (CID 7525)</t>
        </is>
      </c>
      <c r="I239" s="2" t="inlineStr">
        <is>
          <t>Mild amine base for mixed-anhydride and peptide couplings; pKa in water.</t>
        </is>
      </c>
      <c r="J239" s="2" t="inlineStr">
        <is>
          <t>named and classified by a chemist agent; reviewed by an independent agent</t>
        </is>
      </c>
    </row>
    <row r="240">
      <c r="A240" s="3" t="inlineStr">
        <is>
          <t>CN1CCCN(C)C1=O</t>
        </is>
      </c>
      <c r="B240" s="2" t="inlineStr">
        <is>
          <t>N,N'-dimethylpropyleneurea</t>
        </is>
      </c>
      <c r="C240" s="2" t="inlineStr">
        <is>
          <t>DMPU</t>
        </is>
      </c>
      <c r="D240" s="2" t="inlineStr">
        <is>
          <t>solvent</t>
        </is>
      </c>
      <c r="E240" s="2" t="inlineStr">
        <is>
          <t>additive</t>
        </is>
      </c>
      <c r="F240" s="2" t="n"/>
      <c r="G240" s="2" t="n">
        <v>397</v>
      </c>
      <c r="H240" s="2" t="inlineStr">
        <is>
          <t>2(1H)-Pyrimidinone, tetrahydro-1,3-dimethyl- (CID 81646)</t>
        </is>
      </c>
      <c r="I240" s="2" t="inlineStr">
        <is>
          <t>Polar aprotic cosolvent replacing HMPA (thiolate demethylation here).</t>
        </is>
      </c>
      <c r="J240" s="2" t="inlineStr">
        <is>
          <t>named and classified by a chemist agent; reviewed by an independent agent</t>
        </is>
      </c>
    </row>
    <row r="241">
      <c r="A241" s="3" t="inlineStr">
        <is>
          <t>CC(C)(C)P(c1ccccc1-c1ccccc1)C(C)(C)C</t>
        </is>
      </c>
      <c r="B241" s="2" t="inlineStr">
        <is>
          <t>JohnPhos</t>
        </is>
      </c>
      <c r="C241" s="2" t="inlineStr">
        <is>
          <t>JohnPhos</t>
        </is>
      </c>
      <c r="D241" s="2" t="inlineStr">
        <is>
          <t>ligand</t>
        </is>
      </c>
      <c r="E241" s="2" t="inlineStr"/>
      <c r="F241" s="2" t="n"/>
      <c r="G241" s="2" t="n">
        <v>397</v>
      </c>
      <c r="H241" s="2" t="inlineStr">
        <is>
          <t>2-(Di-tert-butylphosphino)biphenyl (CID 2734215)</t>
        </is>
      </c>
      <c r="I241" s="2" t="inlineStr">
        <is>
          <t>Bulky biaryl phosphine for Pd Suzuki (as here) and C-N couplings.</t>
        </is>
      </c>
      <c r="J241" s="2" t="inlineStr">
        <is>
          <t>named and classified by a chemist agent; reviewed by an independent agent</t>
        </is>
      </c>
    </row>
    <row r="242">
      <c r="A242" s="3" t="inlineStr">
        <is>
          <t>O=C1CCC(=O)N1Cl</t>
        </is>
      </c>
      <c r="B242" s="2" t="inlineStr">
        <is>
          <t>N-chlorosuccinimide</t>
        </is>
      </c>
      <c r="C242" s="2" t="inlineStr">
        <is>
          <t>NCS</t>
        </is>
      </c>
      <c r="D242" s="2" t="inlineStr">
        <is>
          <t>halogenating agent</t>
        </is>
      </c>
      <c r="E242" s="2" t="inlineStr">
        <is>
          <t>oxidant</t>
        </is>
      </c>
      <c r="F242" s="2" t="n"/>
      <c r="G242" s="2" t="n">
        <v>397</v>
      </c>
      <c r="H242" s="2" t="inlineStr">
        <is>
          <t>Chlorosuccinimide (CID 31398)</t>
        </is>
      </c>
      <c r="I242" s="2" t="inlineStr">
        <is>
          <t>Electrophilic chlorination; with Me2S/Et3N gives Corey-Kim oxidation of alcohols (as here).</t>
        </is>
      </c>
      <c r="J242" s="2" t="inlineStr">
        <is>
          <t>named and classified by a chemist agent; reviewed by an independent agent</t>
        </is>
      </c>
    </row>
    <row r="243">
      <c r="A243" s="3" t="inlineStr">
        <is>
          <t>BrCCBr</t>
        </is>
      </c>
      <c r="B243" s="2" t="inlineStr">
        <is>
          <t>1,2-dibromoethane</t>
        </is>
      </c>
      <c r="C243" s="2" t="inlineStr">
        <is>
          <t>DBE</t>
        </is>
      </c>
      <c r="D243" s="2" t="inlineStr">
        <is>
          <t>electrophile / alkylating agent</t>
        </is>
      </c>
      <c r="E243" s="2" t="inlineStr">
        <is>
          <t>additive</t>
        </is>
      </c>
      <c r="F243" s="2" t="n"/>
      <c r="G243" s="2" t="n">
        <v>390</v>
      </c>
      <c r="H243" s="2" t="inlineStr">
        <is>
          <t>1,2-Dibromoethane (CID 7839)</t>
        </is>
      </c>
      <c r="I243" s="2" t="inlineStr">
        <is>
          <t>Activator of Mg/Zn metal and two-carbon alkylating agent.</t>
        </is>
      </c>
      <c r="J243" s="2" t="inlineStr">
        <is>
          <t>named and classified by a chemist agent; reviewed by an independent agent</t>
        </is>
      </c>
    </row>
    <row r="244">
      <c r="A244" s="3" t="inlineStr">
        <is>
          <t>CC(C)(C)OC(=O)N=NC(=O)OC(C)(C)C</t>
        </is>
      </c>
      <c r="B244" s="2" t="inlineStr">
        <is>
          <t>di-tert-butyl azodicarboxylate</t>
        </is>
      </c>
      <c r="C244" s="2" t="inlineStr">
        <is>
          <t>DBAD</t>
        </is>
      </c>
      <c r="D244" s="2" t="inlineStr">
        <is>
          <t>dehydrating / activating agent</t>
        </is>
      </c>
      <c r="E244" s="2" t="inlineStr">
        <is>
          <t>oxidant</t>
        </is>
      </c>
      <c r="F244" s="2" t="n"/>
      <c r="G244" s="2" t="n">
        <v>381</v>
      </c>
      <c r="H244" s="2" t="inlineStr">
        <is>
          <t>Di-tert-butyl azodicarboxylate (CID 97268)</t>
        </is>
      </c>
      <c r="I244" s="2" t="inlineStr">
        <is>
          <t>Mitsunobu azo reagent with PPh3; byproduct removed by acid.</t>
        </is>
      </c>
      <c r="J244" s="2" t="inlineStr">
        <is>
          <t>named and classified by a chemist agent; reviewed by an independent agent</t>
        </is>
      </c>
    </row>
    <row r="245">
      <c r="A245" s="3" t="inlineStr">
        <is>
          <t>CC(Cl)OC(=O)Cl</t>
        </is>
      </c>
      <c r="B245" s="2" t="inlineStr">
        <is>
          <t>1-chloroethyl chloroformate</t>
        </is>
      </c>
      <c r="C245" s="2" t="inlineStr">
        <is>
          <t>ACE-Cl</t>
        </is>
      </c>
      <c r="D245" s="2" t="inlineStr">
        <is>
          <t>deprotecting agent</t>
        </is>
      </c>
      <c r="E245" s="2" t="inlineStr"/>
      <c r="F245" s="2" t="n"/>
      <c r="G245" s="2" t="n">
        <v>379</v>
      </c>
      <c r="H245" s="2" t="inlineStr">
        <is>
          <t>1-Chloroethyl chloroformate (CID 521305)</t>
        </is>
      </c>
      <c r="I245" s="2" t="inlineStr">
        <is>
          <t>N-dealkylation of tertiary amines; in MeOH generates HCl that removes a TBS ether (as here).</t>
        </is>
      </c>
      <c r="J245" s="2" t="inlineStr">
        <is>
          <t>named and classified by a chemist agent; reviewed by an independent agent</t>
        </is>
      </c>
    </row>
    <row r="246">
      <c r="A246" s="3" t="inlineStr">
        <is>
          <t>CCC[N+](CCC)(CCC)CCC</t>
        </is>
      </c>
      <c r="B246" s="2" t="inlineStr">
        <is>
          <t>tetrapropylammonium</t>
        </is>
      </c>
      <c r="C246" s="2" t="inlineStr">
        <is>
          <t>TPA+ (Pr4N+)</t>
        </is>
      </c>
      <c r="D246" s="2" t="inlineStr">
        <is>
          <t>counter-ion / spectator ion</t>
        </is>
      </c>
      <c r="E246" s="2" t="inlineStr"/>
      <c r="F246" s="2" t="n"/>
      <c r="G246" s="2" t="n">
        <v>379</v>
      </c>
      <c r="H246" s="2" t="inlineStr">
        <is>
          <t>Tetrapropylammonium (CID 9559)</t>
        </is>
      </c>
      <c r="I246" s="2" t="inlineStr">
        <is>
          <t>Cation of TPAP (with perruthenate) for alcohol oxidation with NMO.</t>
        </is>
      </c>
      <c r="J246" s="2" t="inlineStr">
        <is>
          <t>named and classified by a chemist agent; reviewed by an independent agent</t>
        </is>
      </c>
    </row>
    <row r="247">
      <c r="A247" s="3" t="inlineStr">
        <is>
          <t>[Cu][Br]</t>
        </is>
      </c>
      <c r="B247" s="2" t="inlineStr">
        <is>
          <t>copper(I) bromide</t>
        </is>
      </c>
      <c r="C247" s="2" t="inlineStr">
        <is>
          <t>CuBr</t>
        </is>
      </c>
      <c r="D247" s="2" t="inlineStr">
        <is>
          <t>catalyst (metal)</t>
        </is>
      </c>
      <c r="E247" s="2" t="inlineStr"/>
      <c r="F247" s="2" t="n"/>
      <c r="G247" s="2" t="n">
        <v>378</v>
      </c>
      <c r="H247" s="2" t="inlineStr">
        <is>
          <t>copper(I) bromide (CID 24593)</t>
        </is>
      </c>
      <c r="I247" s="2" t="inlineStr">
        <is>
          <t>Sonogashira co-catalyst (as here), Sandmeyer bromination, Ullmann couplings.</t>
        </is>
      </c>
      <c r="J247" s="2" t="inlineStr">
        <is>
          <t>named and classified by a chemist agent; reviewed by an independent agent</t>
        </is>
      </c>
    </row>
    <row r="248">
      <c r="A248" s="3" t="inlineStr">
        <is>
          <t>ClB(Cl)Cl</t>
        </is>
      </c>
      <c r="B248" s="2" t="inlineStr">
        <is>
          <t>boron trichloride</t>
        </is>
      </c>
      <c r="C248" s="2" t="inlineStr">
        <is>
          <t>BCl3</t>
        </is>
      </c>
      <c r="D248" s="2" t="inlineStr">
        <is>
          <t>deprotecting agent</t>
        </is>
      </c>
      <c r="E248" s="2" t="inlineStr">
        <is>
          <t>Lewis acid</t>
        </is>
      </c>
      <c r="F248" s="2" t="n"/>
      <c r="G248" s="2" t="n">
        <v>377</v>
      </c>
      <c r="H248" s="2" t="inlineStr">
        <is>
          <t>Boron Trichloride (CID 25135)</t>
        </is>
      </c>
      <c r="I248" s="2" t="inlineStr">
        <is>
          <t>Cleaves methyl/benzyl ethers and esters (methyl ester here).</t>
        </is>
      </c>
      <c r="J248" s="2" t="inlineStr">
        <is>
          <t>named and classified by a chemist agent; reviewed by an independent agent</t>
        </is>
      </c>
    </row>
    <row r="249">
      <c r="A249" s="3" t="inlineStr">
        <is>
          <t>B1C2CCCC1CCC2</t>
        </is>
      </c>
      <c r="B249" s="2" t="inlineStr">
        <is>
          <t>9-borabicyclo[3.3.1]nonane</t>
        </is>
      </c>
      <c r="C249" s="2" t="inlineStr">
        <is>
          <t>9-BBN</t>
        </is>
      </c>
      <c r="D249" s="2" t="inlineStr">
        <is>
          <t>reductant</t>
        </is>
      </c>
      <c r="E249" s="2" t="inlineStr"/>
      <c r="F249" s="2" t="n"/>
      <c r="G249" s="2" t="n">
        <v>377</v>
      </c>
      <c r="H249" s="2" t="inlineStr">
        <is>
          <t>9-Borabicyclo(3.3.1)nonane (CID 78966)</t>
        </is>
      </c>
      <c r="I249" s="2" t="inlineStr">
        <is>
          <t>Regioselective hydroboration; reduces tertiary amides to amines chemoselectively over esters (as here).</t>
        </is>
      </c>
      <c r="J249" s="2" t="inlineStr">
        <is>
          <t>named and classified by a chemist agent; reviewed by an independent agent</t>
        </is>
      </c>
    </row>
    <row r="250">
      <c r="A250" s="3" t="inlineStr">
        <is>
          <t>C[Si](C)(C)Br</t>
        </is>
      </c>
      <c r="B250" s="2" t="inlineStr">
        <is>
          <t>bromotrimethylsilane</t>
        </is>
      </c>
      <c r="C250" s="2" t="inlineStr">
        <is>
          <t>TMSBr</t>
        </is>
      </c>
      <c r="D250" s="2" t="inlineStr">
        <is>
          <t>deprotecting agent</t>
        </is>
      </c>
      <c r="E250" s="2" t="inlineStr"/>
      <c r="F250" s="2" t="n"/>
      <c r="G250" s="2" t="n">
        <v>371</v>
      </c>
      <c r="H250" s="2" t="inlineStr">
        <is>
          <t>Bromotrimethylsilane (CID 76113)</t>
        </is>
      </c>
      <c r="I250" s="2" t="inlineStr">
        <is>
          <t>Cleaves t-butyl esters (as here) and phosphonate esters (McKenna).</t>
        </is>
      </c>
      <c r="J250" s="2" t="inlineStr">
        <is>
          <t>named and classified by a chemist agent; reviewed by an independent agent</t>
        </is>
      </c>
    </row>
    <row r="251">
      <c r="A251" s="3" t="inlineStr">
        <is>
          <t>[Al]</t>
        </is>
      </c>
      <c r="B251" s="2" t="inlineStr">
        <is>
          <t>aluminium (metal)</t>
        </is>
      </c>
      <c r="C251" s="2" t="inlineStr">
        <is>
          <t>Al</t>
        </is>
      </c>
      <c r="D251" s="2" t="inlineStr">
        <is>
          <t>reductant</t>
        </is>
      </c>
      <c r="E251" s="2" t="inlineStr"/>
      <c r="F251" s="2" t="n"/>
      <c r="G251" s="2" t="n">
        <v>370</v>
      </c>
      <c r="H251" s="2" t="inlineStr">
        <is>
          <t>Aluminum (CID 5359268)</t>
        </is>
      </c>
      <c r="I251" s="2" t="inlineStr">
        <is>
          <t>Al powder (often with Ni or Hg) for reductions such as nitro to amine.</t>
        </is>
      </c>
      <c r="J251" s="2" t="inlineStr">
        <is>
          <t>named and classified by a chemist agent; reviewed by an independent agent</t>
        </is>
      </c>
    </row>
    <row r="252">
      <c r="A252" s="3" t="inlineStr">
        <is>
          <t>N[C@@H]1CCCC[C@H]1N</t>
        </is>
      </c>
      <c r="B252" s="2" t="inlineStr">
        <is>
          <t>(1R,2R)-trans-1,2-diaminocyclohexane</t>
        </is>
      </c>
      <c r="C252" s="2" t="inlineStr">
        <is>
          <t>DACH</t>
        </is>
      </c>
      <c r="D252" s="2" t="inlineStr">
        <is>
          <t>ligand</t>
        </is>
      </c>
      <c r="E252" s="2" t="inlineStr"/>
      <c r="F252" s="2" t="n"/>
      <c r="G252" s="2" t="n">
        <v>367</v>
      </c>
      <c r="H252" s="2" t="inlineStr">
        <is>
          <t>1,2-Diaminocyclohexane, trans- (CID 43806)</t>
        </is>
      </c>
      <c r="I252" s="2" t="inlineStr">
        <is>
          <t>Diamine ligand for CuI-catalysed Goldberg amidation (as here).</t>
        </is>
      </c>
      <c r="J252" s="2" t="inlineStr">
        <is>
          <t>named and classified by a chemist agent; reviewed by an independent agent</t>
        </is>
      </c>
    </row>
    <row r="253">
      <c r="A253" s="3" t="inlineStr">
        <is>
          <t>CC(C)(C)OC(=O)OC(=O)OC(C)(C)C</t>
        </is>
      </c>
      <c r="B253" s="2" t="inlineStr">
        <is>
          <t>di-tert-butyl dicarbonate</t>
        </is>
      </c>
      <c r="C253" s="2" t="inlineStr">
        <is>
          <t>Boc2O</t>
        </is>
      </c>
      <c r="D253" s="2" t="inlineStr">
        <is>
          <t>protecting-group reagent</t>
        </is>
      </c>
      <c r="E253" s="2" t="inlineStr"/>
      <c r="F253" s="2" t="n"/>
      <c r="G253" s="2" t="n">
        <v>356</v>
      </c>
      <c r="H253" s="2" t="inlineStr">
        <is>
          <t>Di-tert-butyl dicarbonate (CID 90495)</t>
        </is>
      </c>
      <c r="I253" s="2" t="inlineStr">
        <is>
          <t>Introduces the Boc group on amines (sometimes in situ during hydrogenation).</t>
        </is>
      </c>
      <c r="J253" s="2" t="inlineStr">
        <is>
          <t>named and classified by a chemist agent; reviewed by an independent agent</t>
        </is>
      </c>
    </row>
    <row r="254">
      <c r="A254" s="3" t="inlineStr">
        <is>
          <t>CC(C)CCON=O</t>
        </is>
      </c>
      <c r="B254" s="2" t="inlineStr">
        <is>
          <t>isoamyl nitrite</t>
        </is>
      </c>
      <c r="C254" s="2" t="inlineStr"/>
      <c r="D254" s="2" t="inlineStr">
        <is>
          <t>other</t>
        </is>
      </c>
      <c r="E254" s="2" t="inlineStr"/>
      <c r="F254" s="2" t="n"/>
      <c r="G254" s="2" t="n">
        <v>356</v>
      </c>
      <c r="H254" s="2" t="inlineStr">
        <is>
          <t>Isoamyl Nitrite (CID 8053)</t>
        </is>
      </c>
      <c r="I254" s="2" t="inlineStr">
        <is>
          <t>Organic NO+ source for diazotization, deamination and nitrosation.</t>
        </is>
      </c>
      <c r="J254" s="2" t="inlineStr">
        <is>
          <t>named and classified by a chemist agent; reviewed by an independent agent</t>
        </is>
      </c>
    </row>
    <row r="255">
      <c r="A255" s="3" t="inlineStr">
        <is>
          <t>[O]=[Mn](=[O])(=[O])[O-]</t>
        </is>
      </c>
      <c r="B255" s="2" t="inlineStr">
        <is>
          <t>permanganate</t>
        </is>
      </c>
      <c r="C255" s="2" t="inlineStr">
        <is>
          <t>MnO4- (KMnO4)</t>
        </is>
      </c>
      <c r="D255" s="2" t="inlineStr">
        <is>
          <t>oxidant</t>
        </is>
      </c>
      <c r="E255" s="2" t="inlineStr"/>
      <c r="F255" s="2" t="n"/>
      <c r="G255" s="2" t="n">
        <v>355</v>
      </c>
      <c r="H255" s="2" t="inlineStr">
        <is>
          <t>Permanganate (CID 24401)</t>
        </is>
      </c>
      <c r="I255" s="2" t="inlineStr">
        <is>
          <t>Strong oxidant: alcohols/alkyl arenes to acids, alkene cleavage or dihydroxylation.</t>
        </is>
      </c>
      <c r="J255" s="2" t="inlineStr">
        <is>
          <t>named and classified by a chemist agent; reviewed by an independent agent</t>
        </is>
      </c>
    </row>
    <row r="256">
      <c r="A256" s="3" t="inlineStr">
        <is>
          <t>CCN</t>
        </is>
      </c>
      <c r="B256" s="2" t="inlineStr">
        <is>
          <t>ethylamine</t>
        </is>
      </c>
      <c r="C256" s="2" t="inlineStr">
        <is>
          <t>EtNH2</t>
        </is>
      </c>
      <c r="D256" s="2" t="inlineStr">
        <is>
          <t>nucleophile</t>
        </is>
      </c>
      <c r="E256" s="2" t="inlineStr">
        <is>
          <t>base</t>
        </is>
      </c>
      <c r="F256" s="2" t="n">
        <v>10.7</v>
      </c>
      <c r="G256" s="2" t="n">
        <v>352</v>
      </c>
      <c r="H256" s="2" t="inlineStr">
        <is>
          <t>Ethylamine (CID 6341)</t>
        </is>
      </c>
      <c r="I256" s="2" t="inlineStr">
        <is>
          <t>Primary amine nucleophile (SNAr here, amides, reductive amination); pKa in water.</t>
        </is>
      </c>
      <c r="J256" s="2" t="inlineStr">
        <is>
          <t>named and classified by a chemist agent; reviewed by an independent agent</t>
        </is>
      </c>
    </row>
    <row r="257">
      <c r="A257" s="3" t="inlineStr">
        <is>
          <t>COC(OC)OC</t>
        </is>
      </c>
      <c r="B257" s="2" t="inlineStr">
        <is>
          <t>trimethyl orthoformate</t>
        </is>
      </c>
      <c r="C257" s="2" t="inlineStr">
        <is>
          <t>TMOF</t>
        </is>
      </c>
      <c r="D257" s="2" t="inlineStr">
        <is>
          <t>dehydrating / activating agent</t>
        </is>
      </c>
      <c r="E257" s="2" t="inlineStr">
        <is>
          <t>electrophile / alkylating agent</t>
        </is>
      </c>
      <c r="F257" s="2" t="n"/>
      <c r="G257" s="2" t="n">
        <v>349</v>
      </c>
      <c r="H257" s="2" t="inlineStr">
        <is>
          <t>Trimethyl orthoformate (CID 9005)</t>
        </is>
      </c>
      <c r="I257" s="2" t="inlineStr">
        <is>
          <t>Water scavenger, acetal formation, one-carbon source for heterocycles.</t>
        </is>
      </c>
      <c r="J257" s="2" t="inlineStr">
        <is>
          <t>named and classified by a chemist agent; reviewed by an independent agent</t>
        </is>
      </c>
    </row>
    <row r="258">
      <c r="A258" s="3" t="inlineStr">
        <is>
          <t>[Ag+2]</t>
        </is>
      </c>
      <c r="B258" s="2" t="inlineStr">
        <is>
          <t>silver ion (recorded as Ag2+, from Ag2CO3)</t>
        </is>
      </c>
      <c r="C258" s="2" t="inlineStr">
        <is>
          <t>Ag+</t>
        </is>
      </c>
      <c r="D258" s="2" t="inlineStr">
        <is>
          <t>Lewis acid</t>
        </is>
      </c>
      <c r="E258" s="2" t="inlineStr">
        <is>
          <t>counter-ion / spectator ion</t>
        </is>
      </c>
      <c r="F258" s="2" t="n"/>
      <c r="G258" s="2" t="n">
        <v>348</v>
      </c>
      <c r="H258" s="2" t="inlineStr">
        <is>
          <t>Silver (CID 23954)</t>
        </is>
      </c>
      <c r="I258" s="2" t="inlineStr">
        <is>
          <t>Ag2CO3 drives selective O-alkylation of 2-pyridones (as here); charge likely mis-recorded.</t>
        </is>
      </c>
      <c r="J258" s="2" t="inlineStr">
        <is>
          <t>named and classified by a chemist agent; reviewed by an independent agent</t>
        </is>
      </c>
    </row>
    <row r="259">
      <c r="A259" s="3" t="inlineStr">
        <is>
          <t>[O]=[Ru](=[O])(=[O])[O-]</t>
        </is>
      </c>
      <c r="B259" s="2" t="inlineStr">
        <is>
          <t>perruthenate</t>
        </is>
      </c>
      <c r="C259" s="2" t="inlineStr">
        <is>
          <t>RuO4- (TPAP)</t>
        </is>
      </c>
      <c r="D259" s="2" t="inlineStr">
        <is>
          <t>oxidizing catalyst</t>
        </is>
      </c>
      <c r="E259" s="2" t="inlineStr">
        <is>
          <t>oxidant</t>
        </is>
      </c>
      <c r="F259" s="2" t="n"/>
      <c r="G259" s="2" t="n">
        <v>347</v>
      </c>
      <c r="H259" s="2" t="inlineStr"/>
      <c r="I259" s="2" t="inlineStr">
        <is>
          <t>TPAP with NMO oxidizes primary alcohols to aldehydes (as here).</t>
        </is>
      </c>
      <c r="J259" s="2" t="inlineStr">
        <is>
          <t>named and classified by a chemist agent; reviewed by an independent agent</t>
        </is>
      </c>
    </row>
    <row r="260">
      <c r="A260" s="3" t="inlineStr">
        <is>
          <t>CC(C)(C)[O][Na]</t>
        </is>
      </c>
      <c r="B260" s="2" t="inlineStr">
        <is>
          <t>sodium tert-butoxide</t>
        </is>
      </c>
      <c r="C260" s="2" t="inlineStr">
        <is>
          <t>NaOtBu</t>
        </is>
      </c>
      <c r="D260" s="2" t="inlineStr">
        <is>
          <t>base</t>
        </is>
      </c>
      <c r="E260" s="2" t="inlineStr"/>
      <c r="F260" s="2" t="n">
        <v>17</v>
      </c>
      <c r="G260" s="2" t="n">
        <v>346</v>
      </c>
      <c r="H260" s="2" t="inlineStr">
        <is>
          <t>Sodium t-butoxide (CID 23676156)</t>
        </is>
      </c>
      <c r="I260" s="2" t="inlineStr">
        <is>
          <t>Strong base for Buchwald-Hartwig amination (as here); pKa of t-BuOH about 17 water, 32 DMSO.</t>
        </is>
      </c>
      <c r="J260" s="2" t="inlineStr">
        <is>
          <t>named and classified by a chemist agent; reviewed by an independent agent</t>
        </is>
      </c>
    </row>
    <row r="261">
      <c r="A261" s="3" t="inlineStr">
        <is>
          <t>[O]=[Cr](=[O])([O-])[O][Cr](=[O])(=[O])[O-]</t>
        </is>
      </c>
      <c r="B261" s="2" t="inlineStr">
        <is>
          <t>dichromate</t>
        </is>
      </c>
      <c r="C261" s="2" t="inlineStr">
        <is>
          <t>Cr2O7(2-) (PDC)</t>
        </is>
      </c>
      <c r="D261" s="2" t="inlineStr">
        <is>
          <t>oxidant</t>
        </is>
      </c>
      <c r="E261" s="2" t="inlineStr"/>
      <c r="F261" s="2" t="n"/>
      <c r="G261" s="2" t="n">
        <v>346</v>
      </c>
      <c r="H261" s="2" t="inlineStr">
        <is>
          <t>Dichromate ion (CID 24503)</t>
        </is>
      </c>
      <c r="I261" s="2" t="inlineStr">
        <is>
          <t>Pyridinium dichromate oxidizes alcohols to aldehydes (as here) or acids in DMF.</t>
        </is>
      </c>
      <c r="J261" s="2" t="inlineStr">
        <is>
          <t>named and classified by a chemist agent; reviewed by an independent agent</t>
        </is>
      </c>
    </row>
    <row r="262">
      <c r="A262" s="3" t="inlineStr">
        <is>
          <t>O=C1OCCN1P(=O)(Cl)N1CCOC1=O</t>
        </is>
      </c>
      <c r="B262" s="2" t="inlineStr">
        <is>
          <t>bis(2-oxo-3-oxazolidinyl)phosphinic chloride</t>
        </is>
      </c>
      <c r="C262" s="2" t="inlineStr">
        <is>
          <t>BOP-Cl</t>
        </is>
      </c>
      <c r="D262" s="2" t="inlineStr">
        <is>
          <t>coupling reagent (activates an acid)</t>
        </is>
      </c>
      <c r="E262" s="2" t="inlineStr"/>
      <c r="F262" s="2" t="n"/>
      <c r="G262" s="2" t="n">
        <v>342</v>
      </c>
      <c r="H262" s="2" t="inlineStr">
        <is>
          <t>Bis(2-oxo-3-oxazolidinyl)phosphinic chloride (CID 152842)</t>
        </is>
      </c>
      <c r="I262" s="2" t="inlineStr">
        <is>
          <t>Amide coupling reagent for hindered/N-alkyl amines (with Et3N).</t>
        </is>
      </c>
      <c r="J262" s="2" t="inlineStr">
        <is>
          <t>named and classified by a chemist agent; reviewed by an independent agent</t>
        </is>
      </c>
    </row>
    <row r="263">
      <c r="A263" s="3" t="inlineStr">
        <is>
          <t>Nc1c(F)c(N)c(F)c(F)c1F</t>
        </is>
      </c>
      <c r="B263" s="2" t="inlineStr">
        <is>
          <t>2,4,5,6-tetrafluorobenzene-1,3-diamine</t>
        </is>
      </c>
      <c r="C263" s="2" t="inlineStr"/>
      <c r="D263" s="2" t="inlineStr">
        <is>
          <t>other</t>
        </is>
      </c>
      <c r="E263" s="2" t="inlineStr"/>
      <c r="F263" s="2" t="n"/>
      <c r="G263" s="2" t="n">
        <v>340</v>
      </c>
      <c r="H263" s="2" t="inlineStr">
        <is>
          <t>Tetrafluoro-m-phenylenediamine (CID 70978)</t>
        </is>
      </c>
      <c r="I263" s="2" t="inlineStr">
        <is>
          <t>Unusual agent in a nitro reduction record; likely a mis-assigned reactant or product.</t>
        </is>
      </c>
      <c r="J263" s="2" t="inlineStr">
        <is>
          <t>named and classified by a chemist agent; reviewed by an independent agent</t>
        </is>
      </c>
    </row>
    <row r="264">
      <c r="A264" s="3" t="inlineStr">
        <is>
          <t>c1ccc2ncccc2c1</t>
        </is>
      </c>
      <c r="B264" s="2" t="inlineStr">
        <is>
          <t>quinoline</t>
        </is>
      </c>
      <c r="C264" s="2" t="inlineStr"/>
      <c r="D264" s="2" t="inlineStr">
        <is>
          <t>additive</t>
        </is>
      </c>
      <c r="E264" s="2" t="inlineStr">
        <is>
          <t>base</t>
        </is>
      </c>
      <c r="F264" s="2" t="n">
        <v>4.9</v>
      </c>
      <c r="G264" s="2" t="n">
        <v>340</v>
      </c>
      <c r="H264" s="2" t="inlineStr">
        <is>
          <t>Quinoline (CID 7047)</t>
        </is>
      </c>
      <c r="I264" s="2" t="inlineStr">
        <is>
          <t>High-boiling base/solvent (pyridine.HCl demethylation here, Cu decarboxylation) and Lindlar catalyst poison; pKa in water.</t>
        </is>
      </c>
      <c r="J264" s="2" t="inlineStr">
        <is>
          <t>named and classified by a chemist agent; reviewed by an independent agent</t>
        </is>
      </c>
    </row>
    <row r="265">
      <c r="A265" s="3" t="inlineStr">
        <is>
          <t>C=CCBr</t>
        </is>
      </c>
      <c r="B265" s="2" t="inlineStr">
        <is>
          <t>allyl bromide</t>
        </is>
      </c>
      <c r="C265" s="2" t="inlineStr"/>
      <c r="D265" s="2" t="inlineStr">
        <is>
          <t>electrophile / alkylating agent</t>
        </is>
      </c>
      <c r="E265" s="2" t="inlineStr"/>
      <c r="F265" s="2" t="n"/>
      <c r="G265" s="2" t="n">
        <v>338</v>
      </c>
      <c r="H265" s="2" t="inlineStr">
        <is>
          <t>Allyl bromide (CID 7841)</t>
        </is>
      </c>
      <c r="I265" s="2" t="inlineStr">
        <is>
          <t>SN2 allylating agent for O, N, C nucleophiles.</t>
        </is>
      </c>
      <c r="J265" s="2" t="inlineStr">
        <is>
          <t>named and classified by a chemist agent; reviewed by an independent agent</t>
        </is>
      </c>
    </row>
    <row r="266">
      <c r="A266" s="3" t="inlineStr">
        <is>
          <t>O=C1O[C@H]([C@@H](O)CO)C([O-])=C1O</t>
        </is>
      </c>
      <c r="B266" s="2" t="inlineStr">
        <is>
          <t>ascorbate</t>
        </is>
      </c>
      <c r="C266" s="2" t="inlineStr"/>
      <c r="D266" s="2" t="inlineStr">
        <is>
          <t>reductant</t>
        </is>
      </c>
      <c r="E266" s="2" t="inlineStr"/>
      <c r="F266" s="2" t="n"/>
      <c r="G266" s="2" t="n">
        <v>337</v>
      </c>
      <c r="H266" s="2" t="inlineStr">
        <is>
          <t>Ascorbate (CID 54679076)</t>
        </is>
      </c>
      <c r="I266" s="2" t="inlineStr">
        <is>
          <t>Sodium ascorbate reduces Cu(II) to Cu(I) for azide-alkyne click chemistry (as here).</t>
        </is>
      </c>
      <c r="J266" s="2" t="inlineStr">
        <is>
          <t>named and classified by a chemist agent; reviewed by an independent agent</t>
        </is>
      </c>
    </row>
    <row r="267">
      <c r="A267" s="3" t="inlineStr">
        <is>
          <t>O=C(C=Cc1ccccc1)C=Cc1ccccc1</t>
        </is>
      </c>
      <c r="B267" s="2" t="inlineStr">
        <is>
          <t>dibenzylideneacetone</t>
        </is>
      </c>
      <c r="C267" s="2" t="inlineStr">
        <is>
          <t>dba</t>
        </is>
      </c>
      <c r="D267" s="2" t="inlineStr">
        <is>
          <t>ligand</t>
        </is>
      </c>
      <c r="E267" s="2" t="inlineStr"/>
      <c r="F267" s="2" t="n"/>
      <c r="G267" s="2" t="n">
        <v>337</v>
      </c>
      <c r="H267" s="2" t="inlineStr">
        <is>
          <t>Dibenzylidene acetone (CID 95417)</t>
        </is>
      </c>
      <c r="I267" s="2" t="inlineStr">
        <is>
          <t>Ligand of Pd2(dba)3, written without stereo (Buchwald amination with Xantphos here).</t>
        </is>
      </c>
      <c r="J267" s="2" t="inlineStr">
        <is>
          <t>named and classified by a chemist agent; reviewed by an independent agent</t>
        </is>
      </c>
    </row>
    <row r="268">
      <c r="A268" s="3" t="inlineStr">
        <is>
          <t>O=P([O-])([O-])O</t>
        </is>
      </c>
      <c r="B268" s="2" t="inlineStr">
        <is>
          <t>hydrogen phosphate</t>
        </is>
      </c>
      <c r="C268" s="2" t="inlineStr">
        <is>
          <t>HPO4(2-)</t>
        </is>
      </c>
      <c r="D268" s="2" t="inlineStr">
        <is>
          <t>salt (work-up or additive)</t>
        </is>
      </c>
      <c r="E268" s="2" t="inlineStr">
        <is>
          <t>base</t>
        </is>
      </c>
      <c r="F268" s="2" t="n">
        <v>7.2</v>
      </c>
      <c r="G268" s="2" t="n">
        <v>335</v>
      </c>
      <c r="H268" s="2" t="inlineStr">
        <is>
          <t>Hydrogen phosphate (CID 3681305)</t>
        </is>
      </c>
      <c r="I268" s="2" t="inlineStr">
        <is>
          <t>Na2HPO4/K2HPO4 buffer and mild base; pKa of H2PO4- in water.</t>
        </is>
      </c>
      <c r="J268" s="2" t="inlineStr">
        <is>
          <t>named and classified by a chemist agent; reviewed by an independent agent</t>
        </is>
      </c>
    </row>
    <row r="269">
      <c r="A269" s="3" t="inlineStr">
        <is>
          <t>C1=CCCCC1</t>
        </is>
      </c>
      <c r="B269" s="2" t="inlineStr">
        <is>
          <t>cyclohexene</t>
        </is>
      </c>
      <c r="C269" s="2" t="inlineStr"/>
      <c r="D269" s="2" t="inlineStr">
        <is>
          <t>reductant</t>
        </is>
      </c>
      <c r="E269" s="2" t="inlineStr"/>
      <c r="F269" s="2" t="n"/>
      <c r="G269" s="2" t="n">
        <v>333</v>
      </c>
      <c r="H269" s="2" t="inlineStr">
        <is>
          <t>Cyclohexene (CID 8079)</t>
        </is>
      </c>
      <c r="I269" s="2" t="inlineStr">
        <is>
          <t>Hydrogen donor for Pd/C transfer hydrogenation of nitro groups (as here).</t>
        </is>
      </c>
      <c r="J269" s="2" t="inlineStr">
        <is>
          <t>named and classified by a chemist agent; reviewed by an independent agent</t>
        </is>
      </c>
    </row>
    <row r="270">
      <c r="A270" s="3" t="inlineStr">
        <is>
          <t>C[CH2][Mg][Br]</t>
        </is>
      </c>
      <c r="B270" s="2" t="inlineStr">
        <is>
          <t>ethylmagnesium bromide</t>
        </is>
      </c>
      <c r="C270" s="2" t="inlineStr">
        <is>
          <t>EtMgBr</t>
        </is>
      </c>
      <c r="D270" s="2" t="inlineStr">
        <is>
          <t>organometallic reagent</t>
        </is>
      </c>
      <c r="E270" s="2" t="inlineStr">
        <is>
          <t>base</t>
        </is>
      </c>
      <c r="F270" s="2" t="n"/>
      <c r="G270" s="2" t="n">
        <v>332</v>
      </c>
      <c r="H270" s="2" t="inlineStr">
        <is>
          <t>Ethylmagnesium Bromide (CID 101914)</t>
        </is>
      </c>
      <c r="I270" s="2" t="inlineStr">
        <is>
          <t>Ethyl Grignard for additions and as a base (deprotonation, Mg-halogen exchange).</t>
        </is>
      </c>
      <c r="J270" s="2" t="inlineStr">
        <is>
          <t>named and classified by a chemist agent; reviewed by an independent agent</t>
        </is>
      </c>
    </row>
    <row r="271">
      <c r="A271" s="3" t="inlineStr">
        <is>
          <t>CC(=O)OC(C)C</t>
        </is>
      </c>
      <c r="B271" s="2" t="inlineStr">
        <is>
          <t>isopropyl acetate</t>
        </is>
      </c>
      <c r="C271" s="2" t="inlineStr">
        <is>
          <t>IPAc</t>
        </is>
      </c>
      <c r="D271" s="2" t="inlineStr">
        <is>
          <t>solvent</t>
        </is>
      </c>
      <c r="E271" s="2" t="inlineStr"/>
      <c r="F271" s="2" t="n"/>
      <c r="G271" s="2" t="n">
        <v>331</v>
      </c>
      <c r="H271" s="2" t="inlineStr">
        <is>
          <t>Isopropyl Acetate (CID 7915)</t>
        </is>
      </c>
      <c r="I271" s="2" t="inlineStr">
        <is>
          <t>Ester solvent for extraction and process reactions.</t>
        </is>
      </c>
      <c r="J271" s="2" t="inlineStr">
        <is>
          <t>named and classified by a chemist agent; reviewed by an independent agent</t>
        </is>
      </c>
    </row>
    <row r="272">
      <c r="A272" s="3" t="inlineStr">
        <is>
          <t>CC1(C)C2CCC1(CS(=O)(=O)O)C(=O)C2</t>
        </is>
      </c>
      <c r="B272" s="2" t="inlineStr">
        <is>
          <t>camphorsulfonic acid</t>
        </is>
      </c>
      <c r="C272" s="2" t="inlineStr">
        <is>
          <t>CSA</t>
        </is>
      </c>
      <c r="D272" s="2" t="inlineStr">
        <is>
          <t>acid</t>
        </is>
      </c>
      <c r="E272" s="2" t="inlineStr"/>
      <c r="F272" s="2" t="n"/>
      <c r="G272" s="2" t="n">
        <v>328</v>
      </c>
      <c r="H272" s="2" t="inlineStr"/>
      <c r="I272" s="2" t="inlineStr">
        <is>
          <t>Strong organic acid catalyst and resolving agent (pKa about 1.2).</t>
        </is>
      </c>
      <c r="J272" s="2" t="inlineStr">
        <is>
          <t>named and classified by a chemist agent; reviewed by an independent agent; PubChem's title for this SMILES was wrong (Bicyclo[2.2.1]heptane-1-methanesulfonic acid, 7,7-dimethyl-2-oxo-, (1S)- (CID 18462)): The SMILES has no stereocenters defined. PubChem's title for CID 18462 specifies the (1S) enantiomer, which the SMILES d</t>
        </is>
      </c>
    </row>
    <row r="273">
      <c r="A273" s="3" t="inlineStr">
        <is>
          <t>ClP(Cl)Cl</t>
        </is>
      </c>
      <c r="B273" s="2" t="inlineStr">
        <is>
          <t>phosphorus trichloride</t>
        </is>
      </c>
      <c r="C273" s="2" t="inlineStr">
        <is>
          <t>PCl3</t>
        </is>
      </c>
      <c r="D273" s="2" t="inlineStr">
        <is>
          <t>halogenating agent</t>
        </is>
      </c>
      <c r="E273" s="2" t="inlineStr"/>
      <c r="F273" s="2" t="n"/>
      <c r="G273" s="2" t="n">
        <v>327</v>
      </c>
      <c r="H273" s="2" t="inlineStr">
        <is>
          <t>Phosphorus trichloride (CID 24387)</t>
        </is>
      </c>
      <c r="I273" s="2" t="inlineStr">
        <is>
          <t>Converts acids to acyl chlorides and alcohols to chlorides.</t>
        </is>
      </c>
      <c r="J273" s="2" t="inlineStr">
        <is>
          <t>named and classified by a chemist agent; reviewed by an independent agent</t>
        </is>
      </c>
    </row>
    <row r="274">
      <c r="A274" s="3" t="inlineStr">
        <is>
          <t>ClI</t>
        </is>
      </c>
      <c r="B274" s="2" t="inlineStr">
        <is>
          <t>iodine monochloride</t>
        </is>
      </c>
      <c r="C274" s="2" t="inlineStr">
        <is>
          <t>ICl</t>
        </is>
      </c>
      <c r="D274" s="2" t="inlineStr">
        <is>
          <t>halogenating agent</t>
        </is>
      </c>
      <c r="E274" s="2" t="inlineStr"/>
      <c r="F274" s="2" t="n"/>
      <c r="G274" s="2" t="n">
        <v>326</v>
      </c>
      <c r="H274" s="2" t="inlineStr">
        <is>
          <t>Iodine chloride (CID 24640)</t>
        </is>
      </c>
      <c r="I274" s="2" t="inlineStr">
        <is>
          <t>Electrophilic iodination of activated arenes such as phenols (as here).</t>
        </is>
      </c>
      <c r="J274" s="2" t="inlineStr">
        <is>
          <t>named and classified by a chemist agent; reviewed by an independent agent</t>
        </is>
      </c>
    </row>
    <row r="275">
      <c r="A275" s="3" t="inlineStr">
        <is>
          <t>[Ba+2]</t>
        </is>
      </c>
      <c r="B275" s="2" t="inlineStr">
        <is>
          <t>barium ion</t>
        </is>
      </c>
      <c r="C275" s="2" t="inlineStr">
        <is>
          <t>Ba2+</t>
        </is>
      </c>
      <c r="D275" s="2" t="inlineStr">
        <is>
          <t>counter-ion / spectator ion</t>
        </is>
      </c>
      <c r="E275" s="2" t="inlineStr"/>
      <c r="F275" s="2" t="n"/>
      <c r="G275" s="2" t="n">
        <v>324</v>
      </c>
      <c r="H275" s="2" t="inlineStr">
        <is>
          <t>Barium ion (CID 104810)</t>
        </is>
      </c>
      <c r="I275" s="2" t="inlineStr">
        <is>
          <t>From BaSO4 (Pd/BaSO4 support, as here) or Ba(OH)2.</t>
        </is>
      </c>
      <c r="J275" s="2" t="inlineStr">
        <is>
          <t>named and classified by a chemist agent; reviewed by an independent agent</t>
        </is>
      </c>
    </row>
    <row r="276">
      <c r="A276" s="3" t="inlineStr">
        <is>
          <t>C[N+](C)(C)Cc1ccccc1</t>
        </is>
      </c>
      <c r="B276" s="2" t="inlineStr">
        <is>
          <t>benzyltrimethylammonium</t>
        </is>
      </c>
      <c r="C276" s="2" t="inlineStr">
        <is>
          <t>BTMA (Triton B cation)</t>
        </is>
      </c>
      <c r="D276" s="2" t="inlineStr">
        <is>
          <t>phase-transfer catalyst</t>
        </is>
      </c>
      <c r="E276" s="2" t="inlineStr"/>
      <c r="F276" s="2" t="n"/>
      <c r="G276" s="2" t="n">
        <v>318</v>
      </c>
      <c r="H276" s="2" t="inlineStr">
        <is>
          <t>Benzyltrimethylammonium (CID 5964)</t>
        </is>
      </c>
      <c r="I276" s="2" t="inlineStr">
        <is>
          <t>Phase-transfer cation (here for biphasic dithionite nitro reduction).</t>
        </is>
      </c>
      <c r="J276" s="2" t="inlineStr">
        <is>
          <t>named and classified by a chemist agent; reviewed by an independent agent</t>
        </is>
      </c>
    </row>
    <row r="277">
      <c r="A277" s="3" t="inlineStr">
        <is>
          <t>c1ccc(P(CCCP(c2ccccc2)c2ccccc2)c2ccccc2)cc1</t>
        </is>
      </c>
      <c r="B277" s="2" t="inlineStr">
        <is>
          <t>1,3-bis(diphenylphosphino)propane</t>
        </is>
      </c>
      <c r="C277" s="2" t="inlineStr">
        <is>
          <t>dppp</t>
        </is>
      </c>
      <c r="D277" s="2" t="inlineStr">
        <is>
          <t>ligand</t>
        </is>
      </c>
      <c r="E277" s="2" t="inlineStr"/>
      <c r="F277" s="2" t="n"/>
      <c r="G277" s="2" t="n">
        <v>315</v>
      </c>
      <c r="H277" s="2" t="inlineStr">
        <is>
          <t>1,3-Bis(diphenylphosphino)propane (CID 81219)</t>
        </is>
      </c>
      <c r="I277" s="2" t="inlineStr">
        <is>
          <t>Bidentate Pd ligand for carbonylation (Pd(OAc)2/CO/MeOH) and Kumada couplings.</t>
        </is>
      </c>
      <c r="J277" s="2" t="inlineStr">
        <is>
          <t>named and classified by a chemist agent; reviewed by an independent agent</t>
        </is>
      </c>
    </row>
    <row r="278">
      <c r="A278" s="3" t="inlineStr">
        <is>
          <t>S=C=S</t>
        </is>
      </c>
      <c r="B278" s="2" t="inlineStr">
        <is>
          <t>carbon disulfide</t>
        </is>
      </c>
      <c r="C278" s="2" t="inlineStr">
        <is>
          <t>CS2</t>
        </is>
      </c>
      <c r="D278" s="2" t="inlineStr">
        <is>
          <t>solvent</t>
        </is>
      </c>
      <c r="E278" s="2" t="inlineStr"/>
      <c r="F278" s="2" t="n"/>
      <c r="G278" s="2" t="n">
        <v>315</v>
      </c>
      <c r="H278" s="2" t="inlineStr">
        <is>
          <t>Carbon Disulfide (CID 6348)</t>
        </is>
      </c>
      <c r="I278" s="2" t="inlineStr">
        <is>
          <t>Solvent for AlCl3 reactions (ether cleavage here, Friedel-Crafts).</t>
        </is>
      </c>
      <c r="J278" s="2" t="inlineStr">
        <is>
          <t>named and classified by a chemist agent; reviewed by an independent agent</t>
        </is>
      </c>
    </row>
    <row r="279">
      <c r="A279" s="3" t="inlineStr">
        <is>
          <t>[O-][Cl+3]([O-])([O-])[O-]</t>
        </is>
      </c>
      <c r="B279" s="2" t="inlineStr">
        <is>
          <t>perchlorate</t>
        </is>
      </c>
      <c r="C279" s="2" t="inlineStr">
        <is>
          <t>ClO4-</t>
        </is>
      </c>
      <c r="D279" s="2" t="inlineStr">
        <is>
          <t>counter-ion / spectator ion</t>
        </is>
      </c>
      <c r="E279" s="2" t="inlineStr"/>
      <c r="F279" s="2" t="n"/>
      <c r="G279" s="2" t="n">
        <v>312</v>
      </c>
      <c r="H279" s="2" t="inlineStr">
        <is>
          <t>Perchlorate (CID 123351)</t>
        </is>
      </c>
      <c r="I279" s="2" t="inlineStr">
        <is>
          <t>Anion of LiClO4 (Lewis-acidic salt) and other perchlorates.</t>
        </is>
      </c>
      <c r="J279" s="2" t="inlineStr">
        <is>
          <t>named and classified by a chemist agent; reviewed by an independent agent</t>
        </is>
      </c>
    </row>
    <row r="280">
      <c r="A280" s="3" t="inlineStr">
        <is>
          <t>NC(N)=O</t>
        </is>
      </c>
      <c r="B280" s="2" t="inlineStr">
        <is>
          <t>urea</t>
        </is>
      </c>
      <c r="C280" s="2" t="inlineStr"/>
      <c r="D280" s="2" t="inlineStr">
        <is>
          <t>additive</t>
        </is>
      </c>
      <c r="E280" s="2" t="inlineStr">
        <is>
          <t>nucleophile</t>
        </is>
      </c>
      <c r="F280" s="2" t="n"/>
      <c r="G280" s="2" t="n">
        <v>312</v>
      </c>
      <c r="H280" s="2" t="inlineStr">
        <is>
          <t>Urea (CID 1176)</t>
        </is>
      </c>
      <c r="I280" s="2" t="inlineStr">
        <is>
          <t>Scavenges nitrous acid; reactant for ureas and heterocycles.</t>
        </is>
      </c>
      <c r="J280" s="2" t="inlineStr">
        <is>
          <t>named and classified by a chemist agent; reviewed by an independent agent</t>
        </is>
      </c>
    </row>
    <row r="281">
      <c r="A281" s="3" t="inlineStr">
        <is>
          <t>[Cl][Pd+]</t>
        </is>
      </c>
      <c r="B281" s="2" t="inlineStr">
        <is>
          <t>chloropalladium(II) cation (palladacycle precatalyst fragment)</t>
        </is>
      </c>
      <c r="C281" s="2" t="inlineStr">
        <is>
          <t>XPhos Pd G2-type</t>
        </is>
      </c>
      <c r="D281" s="2" t="inlineStr">
        <is>
          <t>catalyst (metal)</t>
        </is>
      </c>
      <c r="E281" s="2" t="inlineStr"/>
      <c r="F281" s="2" t="n"/>
      <c r="G281" s="2" t="n">
        <v>310</v>
      </c>
      <c r="H281" s="2" t="inlineStr">
        <is>
          <t>Chloropalladium(1+) (CID 61539)</t>
        </is>
      </c>
      <c r="I281" s="2" t="inlineStr">
        <is>
          <t>Pd-Cl part of a Buchwald G2 aminobiphenyl palladacycle precatalyst (with XPhos, Suzuki here).</t>
        </is>
      </c>
      <c r="J281" s="2" t="inlineStr">
        <is>
          <t>named and classified by a chemist agent; reviewed by an independent agent</t>
        </is>
      </c>
    </row>
    <row r="282">
      <c r="A282" s="3" t="inlineStr">
        <is>
          <t>[C]=O</t>
        </is>
      </c>
      <c r="B282" s="2" t="inlineStr">
        <is>
          <t>carbon monoxide</t>
        </is>
      </c>
      <c r="C282" s="2" t="inlineStr">
        <is>
          <t>CO</t>
        </is>
      </c>
      <c r="D282" s="2" t="inlineStr">
        <is>
          <t>gas</t>
        </is>
      </c>
      <c r="E282" s="2" t="inlineStr">
        <is>
          <t>reactant (inorganic)</t>
        </is>
      </c>
      <c r="F282" s="2" t="n"/>
      <c r="G282" s="2" t="n">
        <v>309</v>
      </c>
      <c r="H282" s="2" t="inlineStr"/>
      <c r="I282" s="2" t="inlineStr">
        <is>
          <t>Reactant in Pd carbonylations; here a ligand of an iron carbonyl complex.</t>
        </is>
      </c>
      <c r="J282" s="2" t="inlineStr">
        <is>
          <t>named and classified by a chemist agent; reviewed by an independent agent; PubChem's title for this SMILES was wrong (Formaldehyde (CID 712)): CO with no H. The lookup added H2 and returned formaldehyde.</t>
        </is>
      </c>
    </row>
    <row r="283">
      <c r="A283" s="3" t="inlineStr">
        <is>
          <t>[N-]=[N+]=NP(=O)(c1ccccc1)c1ccccc1</t>
        </is>
      </c>
      <c r="B283" s="2" t="inlineStr">
        <is>
          <t>diphenylphosphoryl azide</t>
        </is>
      </c>
      <c r="C283" s="2" t="inlineStr">
        <is>
          <t>DPPA</t>
        </is>
      </c>
      <c r="D283" s="2" t="inlineStr">
        <is>
          <t>coupling reagent (activates an acid)</t>
        </is>
      </c>
      <c r="E283" s="2" t="inlineStr">
        <is>
          <t>other</t>
        </is>
      </c>
      <c r="F283" s="2" t="n"/>
      <c r="G283" s="2" t="n">
        <v>309</v>
      </c>
      <c r="H283" s="2" t="inlineStr">
        <is>
          <t>P,P-Diphenylphosphinic azide (CID 199401)</t>
        </is>
      </c>
      <c r="I283" s="2" t="inlineStr">
        <is>
          <t>Amide coupling (as here) and Curtius rearrangement to isocyanates/carbamates.</t>
        </is>
      </c>
      <c r="J283" s="2" t="inlineStr">
        <is>
          <t>named and classified by a chemist agent; reviewed by an independent agent</t>
        </is>
      </c>
    </row>
    <row r="284">
      <c r="A284" s="3" t="inlineStr">
        <is>
          <t>CCC#N</t>
        </is>
      </c>
      <c r="B284" s="2" t="inlineStr">
        <is>
          <t>propionitrile</t>
        </is>
      </c>
      <c r="C284" s="2" t="inlineStr">
        <is>
          <t>EtCN</t>
        </is>
      </c>
      <c r="D284" s="2" t="inlineStr">
        <is>
          <t>solvent</t>
        </is>
      </c>
      <c r="E284" s="2" t="inlineStr"/>
      <c r="F284" s="2" t="n"/>
      <c r="G284" s="2" t="n">
        <v>306</v>
      </c>
      <c r="H284" s="2" t="inlineStr">
        <is>
          <t>Propionitrile (CID 7854)</t>
        </is>
      </c>
      <c r="I284" s="2" t="inlineStr">
        <is>
          <t>Polar aprotic nitrile solvent.</t>
        </is>
      </c>
      <c r="J284" s="2" t="inlineStr">
        <is>
          <t>named and classified by a chemist agent; reviewed by an independent agent</t>
        </is>
      </c>
    </row>
    <row r="285">
      <c r="A285" s="3" t="inlineStr">
        <is>
          <t>[NH2-]</t>
        </is>
      </c>
      <c r="B285" s="2" t="inlineStr">
        <is>
          <t>amide anion</t>
        </is>
      </c>
      <c r="C285" s="2" t="inlineStr">
        <is>
          <t>NH2- (NaNH2)</t>
        </is>
      </c>
      <c r="D285" s="2" t="inlineStr">
        <is>
          <t>base</t>
        </is>
      </c>
      <c r="E285" s="2" t="inlineStr"/>
      <c r="F285" s="2" t="n">
        <v>38</v>
      </c>
      <c r="G285" s="2" t="n">
        <v>302</v>
      </c>
      <c r="H285" s="2" t="inlineStr">
        <is>
          <t>Azanide (CID 2826723)</t>
        </is>
      </c>
      <c r="I285" s="2" t="inlineStr">
        <is>
          <t>Sodium amide forms an ester enolate for C-ethylation (as here); pKa of NH3 about 38 (41 in DMSO).</t>
        </is>
      </c>
      <c r="J285" s="2" t="inlineStr">
        <is>
          <t>named and classified by a chemist agent; reviewed by an independent agent</t>
        </is>
      </c>
    </row>
    <row r="286">
      <c r="A286" s="3" t="inlineStr">
        <is>
          <t>NC(CO)(CO)CO</t>
        </is>
      </c>
      <c r="B286" s="2" t="inlineStr">
        <is>
          <t>tris(hydroxymethyl)aminomethane</t>
        </is>
      </c>
      <c r="C286" s="2" t="inlineStr">
        <is>
          <t>Tris</t>
        </is>
      </c>
      <c r="D286" s="2" t="inlineStr">
        <is>
          <t>base</t>
        </is>
      </c>
      <c r="E286" s="2" t="inlineStr">
        <is>
          <t>salt (work-up or additive)</t>
        </is>
      </c>
      <c r="F286" s="2" t="n">
        <v>8.1</v>
      </c>
      <c r="G286" s="2" t="n">
        <v>300</v>
      </c>
      <c r="H286" s="2" t="inlineStr">
        <is>
          <t>Tris(hydroxymethyl)aminomethane (CID 6503)</t>
        </is>
      </c>
      <c r="I286" s="2" t="inlineStr">
        <is>
          <t>Buffer for enzymatic ester hydrolysis (as here); pKa in water.</t>
        </is>
      </c>
      <c r="J286" s="2" t="inlineStr">
        <is>
          <t>named and classified by a chemist agent; reviewed by an independent agent</t>
        </is>
      </c>
    </row>
    <row r="287">
      <c r="A287" s="3" t="inlineStr">
        <is>
          <t>O=[N+]([O-])c1ccccc1</t>
        </is>
      </c>
      <c r="B287" s="2" t="inlineStr">
        <is>
          <t>nitrobenzene</t>
        </is>
      </c>
      <c r="C287" s="2" t="inlineStr">
        <is>
          <t>PhNO2</t>
        </is>
      </c>
      <c r="D287" s="2" t="inlineStr">
        <is>
          <t>solvent</t>
        </is>
      </c>
      <c r="E287" s="2" t="inlineStr">
        <is>
          <t>oxidant</t>
        </is>
      </c>
      <c r="F287" s="2" t="n"/>
      <c r="G287" s="2" t="n">
        <v>300</v>
      </c>
      <c r="H287" s="2" t="inlineStr">
        <is>
          <t>Nitrobenzene (CID 7416)</t>
        </is>
      </c>
      <c r="I287" s="2" t="inlineStr">
        <is>
          <t>High-boiling solvent (acylation here, Friedel-Crafts); mild oxidant in Skraup synthesis.</t>
        </is>
      </c>
      <c r="J287" s="2" t="inlineStr">
        <is>
          <t>named and classified by a chemist agent; reviewed by an independent agent</t>
        </is>
      </c>
    </row>
    <row r="288">
      <c r="A288" s="3" t="inlineStr">
        <is>
          <t>[Cl][Cu][Cl]</t>
        </is>
      </c>
      <c r="B288" s="2" t="inlineStr">
        <is>
          <t>copper(II) chloride</t>
        </is>
      </c>
      <c r="C288" s="2" t="inlineStr">
        <is>
          <t>CuCl2</t>
        </is>
      </c>
      <c r="D288" s="2" t="inlineStr">
        <is>
          <t>catalyst (metal)</t>
        </is>
      </c>
      <c r="E288" s="2" t="inlineStr">
        <is>
          <t>Lewis acid</t>
        </is>
      </c>
      <c r="F288" s="2" t="n"/>
      <c r="G288" s="2" t="n">
        <v>299</v>
      </c>
      <c r="H288" s="2" t="inlineStr">
        <is>
          <t>Cupric Chloride (CID 24014)</t>
        </is>
      </c>
      <c r="I288" s="2" t="inlineStr">
        <is>
          <t>With a chiral bis(oxazoline) ligand catalyses enantioselective desymmetrizing acylation of a diol (as here).</t>
        </is>
      </c>
      <c r="J288" s="2" t="inlineStr">
        <is>
          <t>named and classified by a chemist agent; reviewed by an independent agent</t>
        </is>
      </c>
    </row>
    <row r="289">
      <c r="A289" s="3" t="inlineStr">
        <is>
          <t>[Ce+4]</t>
        </is>
      </c>
      <c r="B289" s="2" t="inlineStr">
        <is>
          <t>cerium(IV) ion</t>
        </is>
      </c>
      <c r="C289" s="2" t="inlineStr">
        <is>
          <t>Ce4+ (CAN)</t>
        </is>
      </c>
      <c r="D289" s="2" t="inlineStr">
        <is>
          <t>oxidant</t>
        </is>
      </c>
      <c r="E289" s="2" t="inlineStr">
        <is>
          <t>deprotecting agent</t>
        </is>
      </c>
      <c r="F289" s="2" t="n"/>
      <c r="G289" s="2" t="n">
        <v>298</v>
      </c>
      <c r="H289" s="2" t="inlineStr">
        <is>
          <t>Cerium(4+) (CID 119438)</t>
        </is>
      </c>
      <c r="I289" s="2" t="inlineStr">
        <is>
          <t>Ceric ammonium nitrate: PMB removal, oxidations; Lewis-acidic t-butyl ester cleavage (as here).</t>
        </is>
      </c>
      <c r="J289" s="2" t="inlineStr">
        <is>
          <t>named and classified by a chemist agent; reviewed by an independent agent</t>
        </is>
      </c>
    </row>
    <row r="290">
      <c r="A290" s="3" t="inlineStr">
        <is>
          <t>O=P(Br)(Br)Br</t>
        </is>
      </c>
      <c r="B290" s="2" t="inlineStr">
        <is>
          <t>phosphorus oxybromide</t>
        </is>
      </c>
      <c r="C290" s="2" t="inlineStr">
        <is>
          <t>POBr3</t>
        </is>
      </c>
      <c r="D290" s="2" t="inlineStr">
        <is>
          <t>halogenating agent</t>
        </is>
      </c>
      <c r="E290" s="2" t="inlineStr"/>
      <c r="F290" s="2" t="n"/>
      <c r="G290" s="2" t="n">
        <v>298</v>
      </c>
      <c r="H290" s="2" t="inlineStr">
        <is>
          <t>Phosphorus oxybromide (CID 24613)</t>
        </is>
      </c>
      <c r="I290" s="2" t="inlineStr">
        <is>
          <t>Converts hydroxy-heteroarenes (4-quinolinol here) to bromides.</t>
        </is>
      </c>
      <c r="J290" s="2" t="inlineStr">
        <is>
          <t>named and classified by a chemist agent; reviewed by an independent agent</t>
        </is>
      </c>
    </row>
    <row r="291">
      <c r="A291" s="3" t="inlineStr">
        <is>
          <t>[S]</t>
        </is>
      </c>
      <c r="B291" s="2" t="inlineStr">
        <is>
          <t>sulfur</t>
        </is>
      </c>
      <c r="C291" s="2" t="inlineStr">
        <is>
          <t>S</t>
        </is>
      </c>
      <c r="D291" s="2" t="inlineStr">
        <is>
          <t>additive</t>
        </is>
      </c>
      <c r="E291" s="2" t="inlineStr"/>
      <c r="F291" s="2" t="n"/>
      <c r="G291" s="2" t="n">
        <v>297</v>
      </c>
      <c r="H291" s="2" t="inlineStr"/>
      <c r="I291" s="2" t="inlineStr">
        <is>
          <t>Catalyst poison moderating Raney Ni/Pd for selective hydrogenation without C-S cleavage (as here).</t>
        </is>
      </c>
      <c r="J291" s="2" t="inlineStr">
        <is>
          <t>named and classified by a chemist agent; reviewed by an independent agent; PubChem's title for this SMILES was wrong (Hydrogen Sulfide (CID 402)): A bare S atom. The lookup added H and returned H2S.</t>
        </is>
      </c>
    </row>
    <row r="292">
      <c r="A292" s="3" t="inlineStr">
        <is>
          <t>OCC(F)(F)F</t>
        </is>
      </c>
      <c r="B292" s="2" t="inlineStr">
        <is>
          <t>2,2,2-trifluoroethanol</t>
        </is>
      </c>
      <c r="C292" s="2" t="inlineStr">
        <is>
          <t>TFE</t>
        </is>
      </c>
      <c r="D292" s="2" t="inlineStr">
        <is>
          <t>solvent</t>
        </is>
      </c>
      <c r="E292" s="2" t="inlineStr"/>
      <c r="F292" s="2" t="n"/>
      <c r="G292" s="2" t="n">
        <v>297</v>
      </c>
      <c r="H292" s="2" t="inlineStr">
        <is>
          <t>2,2,2-Trifluoroethanol (CID 6409)</t>
        </is>
      </c>
      <c r="I292" s="2" t="inlineStr">
        <is>
          <t>Polar, weakly nucleophilic, H-bond-donating solvent (pKa 12.4).</t>
        </is>
      </c>
      <c r="J292" s="2" t="inlineStr">
        <is>
          <t>named and classified by a chemist agent; reviewed by an independent agent</t>
        </is>
      </c>
    </row>
    <row r="293">
      <c r="A293" s="3" t="inlineStr">
        <is>
          <t>CCOC(OCC)OCC</t>
        </is>
      </c>
      <c r="B293" s="2" t="inlineStr">
        <is>
          <t>triethyl orthoformate</t>
        </is>
      </c>
      <c r="C293" s="2" t="inlineStr">
        <is>
          <t>TEOF</t>
        </is>
      </c>
      <c r="D293" s="2" t="inlineStr">
        <is>
          <t>dehydrating / activating agent</t>
        </is>
      </c>
      <c r="E293" s="2" t="inlineStr">
        <is>
          <t>electrophile / alkylating agent</t>
        </is>
      </c>
      <c r="F293" s="2" t="n"/>
      <c r="G293" s="2" t="n">
        <v>297</v>
      </c>
      <c r="H293" s="2" t="inlineStr">
        <is>
          <t>Ethyl orthoformate (CID 31214)</t>
        </is>
      </c>
      <c r="I293" s="2" t="inlineStr">
        <is>
          <t>Water scavenger and one-carbon source for heterocycles, acetals and imine formation.</t>
        </is>
      </c>
      <c r="J293" s="2" t="inlineStr">
        <is>
          <t>named and classified by a chemist agent; reviewed by an independent agent</t>
        </is>
      </c>
    </row>
    <row r="294">
      <c r="A294" s="3" t="inlineStr">
        <is>
          <t>Cc1cc(C)nc(C)c1</t>
        </is>
      </c>
      <c r="B294" s="2" t="inlineStr">
        <is>
          <t>2,4,6-collidine</t>
        </is>
      </c>
      <c r="C294" s="2" t="inlineStr"/>
      <c r="D294" s="2" t="inlineStr">
        <is>
          <t>base</t>
        </is>
      </c>
      <c r="E294" s="2" t="inlineStr"/>
      <c r="F294" s="2" t="n">
        <v>7.4</v>
      </c>
      <c r="G294" s="2" t="n">
        <v>293</v>
      </c>
      <c r="H294" s="2" t="inlineStr">
        <is>
          <t>2,4,6-Trimethylpyridine (CID 7953)</t>
        </is>
      </c>
      <c r="I294" s="2" t="inlineStr">
        <is>
          <t>Hindered pyridine base; with LiI cleaves hindered methyl esters (as here); pKa in water.</t>
        </is>
      </c>
      <c r="J294" s="2" t="inlineStr">
        <is>
          <t>named and classified by a chemist agent; reviewed by an independent agent</t>
        </is>
      </c>
    </row>
    <row r="295">
      <c r="A295" s="3" t="inlineStr">
        <is>
          <t>Cc1c(CCO)sc[n+]1Cc1ccccc1</t>
        </is>
      </c>
      <c r="B295" s="2" t="inlineStr">
        <is>
          <t>3-benzyl-5-(2-hydroxyethyl)-4-methylthiazolium</t>
        </is>
      </c>
      <c r="C295" s="2" t="inlineStr"/>
      <c r="D295" s="2" t="inlineStr">
        <is>
          <t>other</t>
        </is>
      </c>
      <c r="E295" s="2" t="inlineStr"/>
      <c r="F295" s="2" t="n"/>
      <c r="G295" s="2" t="n">
        <v>292</v>
      </c>
      <c r="H295" s="2" t="inlineStr">
        <is>
          <t>3-Benzyl-5-(2-hydroxyethyl)-4-methyl-1,3-thiazol-3-ium (CID 425305)</t>
        </is>
      </c>
      <c r="I295" s="2" t="inlineStr">
        <is>
          <t>N-heterocyclic carbene precatalyst (with Et3N) for Stetter/benzoin acyl-anion chemistry (as here).</t>
        </is>
      </c>
      <c r="J295" s="2" t="inlineStr">
        <is>
          <t>named and classified by a chemist agent; reviewed by an independent agent</t>
        </is>
      </c>
    </row>
    <row r="296">
      <c r="A296" s="3" t="inlineStr">
        <is>
          <t>c1cnc2c(c1)ccc1cccnc12</t>
        </is>
      </c>
      <c r="B296" s="2" t="inlineStr">
        <is>
          <t>1,10-phenanthroline</t>
        </is>
      </c>
      <c r="C296" s="2" t="inlineStr">
        <is>
          <t>phen</t>
        </is>
      </c>
      <c r="D296" s="2" t="inlineStr">
        <is>
          <t>ligand</t>
        </is>
      </c>
      <c r="E296" s="2" t="inlineStr"/>
      <c r="F296" s="2" t="n"/>
      <c r="G296" s="2" t="n">
        <v>288</v>
      </c>
      <c r="H296" s="2" t="inlineStr">
        <is>
          <t>1,10-Phenanthroline (CID 1318)</t>
        </is>
      </c>
      <c r="I296" s="2" t="inlineStr">
        <is>
          <t>Bidentate N ligand for CuI-catalysed N-arylation (as here) and Cu trifluoromethylation.</t>
        </is>
      </c>
      <c r="J296" s="2" t="inlineStr">
        <is>
          <t>named and classified by a chemist agent; reviewed by an independent agent</t>
        </is>
      </c>
    </row>
    <row r="297">
      <c r="A297" s="3" t="inlineStr">
        <is>
          <t>C1COCCOCCOCCOCCO1</t>
        </is>
      </c>
      <c r="B297" s="2" t="inlineStr">
        <is>
          <t>15-crown-5</t>
        </is>
      </c>
      <c r="C297" s="2" t="inlineStr">
        <is>
          <t>15-C-5</t>
        </is>
      </c>
      <c r="D297" s="2" t="inlineStr">
        <is>
          <t>phase-transfer catalyst</t>
        </is>
      </c>
      <c r="E297" s="2" t="inlineStr">
        <is>
          <t>additive</t>
        </is>
      </c>
      <c r="F297" s="2" t="n"/>
      <c r="G297" s="2" t="n">
        <v>287</v>
      </c>
      <c r="H297" s="2" t="inlineStr">
        <is>
          <t>15-Crown-5 (CID 36336)</t>
        </is>
      </c>
      <c r="I297" s="2" t="inlineStr">
        <is>
          <t>Complexes Na+ to activate NaH or sodium salts in alkylations (as here).</t>
        </is>
      </c>
      <c r="J297" s="2" t="inlineStr">
        <is>
          <t>named and classified by a chemist agent; reviewed by an independent agent</t>
        </is>
      </c>
    </row>
    <row r="298">
      <c r="A298" s="3" t="inlineStr">
        <is>
          <t>O=C([O-])[C@H](O)[C@@H](O)C(=O)[O-]</t>
        </is>
      </c>
      <c r="B298" s="2" t="inlineStr">
        <is>
          <t>L-(+)-tartrate ((2R,3R)-tartrate, Rochelle salt)</t>
        </is>
      </c>
      <c r="C298" s="2" t="inlineStr"/>
      <c r="D298" s="2" t="inlineStr">
        <is>
          <t>salt (work-up or additive)</t>
        </is>
      </c>
      <c r="E298" s="2" t="inlineStr"/>
      <c r="F298" s="2" t="n"/>
      <c r="G298" s="2" t="n">
        <v>285</v>
      </c>
      <c r="H298" s="2" t="inlineStr">
        <is>
          <t>Tartrate (CID 119400)</t>
        </is>
      </c>
      <c r="I298" s="2" t="inlineStr">
        <is>
          <t>Potassium sodium tartrate chelates tin/aluminium salts in workup (SnCl2 reduction here).</t>
        </is>
      </c>
      <c r="J298" s="2" t="inlineStr">
        <is>
          <t>named and classified by a chemist agent; reviewed by an independent agent</t>
        </is>
      </c>
    </row>
    <row r="299">
      <c r="A299" s="3" t="inlineStr">
        <is>
          <t>COc1nc(OC)nc([N+]2(C)CCOCC2)n1</t>
        </is>
      </c>
      <c r="B299" s="2" t="inlineStr">
        <is>
          <t>DMTMM (dimethoxytriazinyl-methylmorpholinium cation)</t>
        </is>
      </c>
      <c r="C299" s="2" t="inlineStr">
        <is>
          <t>DMTMM</t>
        </is>
      </c>
      <c r="D299" s="2" t="inlineStr">
        <is>
          <t>coupling reagent (activates an acid)</t>
        </is>
      </c>
      <c r="E299" s="2" t="inlineStr"/>
      <c r="F299" s="2" t="n"/>
      <c r="G299" s="2" t="n">
        <v>280</v>
      </c>
      <c r="H299" s="2" t="inlineStr">
        <is>
          <t>4-(4,6-Dimethoxy-1,3,5-triazin-2-yl)-4-methylmorpholin-4-ium (CID 2734060)</t>
        </is>
      </c>
      <c r="I299" s="2" t="inlineStr">
        <is>
          <t>Triazine coupling reagent (with Cl-) that works in alcohols or water.</t>
        </is>
      </c>
      <c r="J299" s="2" t="inlineStr">
        <is>
          <t>named and classified by a chemist agent; reviewed by an independent agent</t>
        </is>
      </c>
    </row>
    <row r="300">
      <c r="A300" s="3" t="inlineStr">
        <is>
          <t>CN(C)c1ccc(P(C(C)(C)C)C(C)(C)C)cc1</t>
        </is>
      </c>
      <c r="B300" s="2" t="inlineStr">
        <is>
          <t>4-(di-tert-butylphosphino)-N,N-dimethylaniline</t>
        </is>
      </c>
      <c r="C300" s="2" t="inlineStr">
        <is>
          <t>Amphos</t>
        </is>
      </c>
      <c r="D300" s="2" t="inlineStr">
        <is>
          <t>ligand</t>
        </is>
      </c>
      <c r="E300" s="2" t="inlineStr"/>
      <c r="F300" s="2" t="n"/>
      <c r="G300" s="2" t="n">
        <v>280</v>
      </c>
      <c r="H300" s="2" t="inlineStr">
        <is>
          <t>(4-(N,N-Dimethylamino)phenyl)di-tert-butyl phosphine (CID 11714598)</t>
        </is>
      </c>
      <c r="I300" s="2" t="inlineStr">
        <is>
          <t>Ligand of PdCl2(Amphos)2 for Suzuki couplings (as here).</t>
        </is>
      </c>
      <c r="J300" s="2" t="inlineStr">
        <is>
          <t>named and classified by a chemist agent; reviewed by an independent agent</t>
        </is>
      </c>
    </row>
    <row r="301">
      <c r="A301" s="3" t="inlineStr">
        <is>
          <t>O=C(O)O</t>
        </is>
      </c>
      <c r="B301" s="2" t="inlineStr">
        <is>
          <t>carbonic acid (probably mis-recorded carbonate)</t>
        </is>
      </c>
      <c r="C301" s="2" t="inlineStr">
        <is>
          <t>H2CO3</t>
        </is>
      </c>
      <c r="D301" s="2" t="inlineStr">
        <is>
          <t>base</t>
        </is>
      </c>
      <c r="E301" s="2" t="inlineStr"/>
      <c r="F301" s="2" t="n">
        <v>10.3</v>
      </c>
      <c r="G301" s="2" t="n">
        <v>276</v>
      </c>
      <c r="H301" s="2" t="inlineStr">
        <is>
          <t>Carbonic Acid (CID 767)</t>
        </is>
      </c>
      <c r="I301" s="2" t="inlineStr">
        <is>
          <t>Appears as the Suzuki base (as here), so it is most likely a carbonate salt; the pKa given is for HCO3- in water.</t>
        </is>
      </c>
      <c r="J301" s="2" t="inlineStr">
        <is>
          <t>named and classified by a chemist agent; reviewed by an independent agent</t>
        </is>
      </c>
    </row>
    <row r="302">
      <c r="A302" s="3" t="inlineStr">
        <is>
          <t>O=S([O-])S(=O)(=O)[O-]</t>
        </is>
      </c>
      <c r="B302" s="2" t="inlineStr">
        <is>
          <t>metabisulfite (disulfite) ion</t>
        </is>
      </c>
      <c r="C302" s="2" t="inlineStr">
        <is>
          <t>S2O5(2-)</t>
        </is>
      </c>
      <c r="D302" s="2" t="inlineStr">
        <is>
          <t>reductant</t>
        </is>
      </c>
      <c r="E302" s="2" t="inlineStr"/>
      <c r="F302" s="2" t="n"/>
      <c r="G302" s="2" t="n">
        <v>271</v>
      </c>
      <c r="H302" s="2" t="inlineStr">
        <is>
          <t>Disulfite (CID 159940)</t>
        </is>
      </c>
      <c r="I302" s="2" t="inlineStr">
        <is>
          <t>From Na2S2O5 (with Na+); a mild reductant and SO2 source, used here the way dithionite is used for nitro-to-amine reduction.</t>
        </is>
      </c>
      <c r="J302" s="2" t="inlineStr">
        <is>
          <t>named and classified by a chemist agent; reviewed by an independent agent</t>
        </is>
      </c>
    </row>
    <row r="303">
      <c r="A303" s="3" t="inlineStr">
        <is>
          <t>C[Si](C)(C)C=[N+]=[N-]</t>
        </is>
      </c>
      <c r="B303" s="2" t="inlineStr">
        <is>
          <t>(trimethylsilyl)diazomethane</t>
        </is>
      </c>
      <c r="C303" s="2" t="inlineStr">
        <is>
          <t>TMSCHN2</t>
        </is>
      </c>
      <c r="D303" s="2" t="inlineStr">
        <is>
          <t>electrophile / alkylating agent</t>
        </is>
      </c>
      <c r="E303" s="2" t="inlineStr"/>
      <c r="F303" s="2" t="n"/>
      <c r="G303" s="2" t="n">
        <v>270</v>
      </c>
      <c r="H303" s="2" t="inlineStr">
        <is>
          <t>Trimethylsilyldiazomethane (CID 167693)</t>
        </is>
      </c>
      <c r="I303" s="2" t="inlineStr">
        <is>
          <t>Safer substitute for diazomethane; turns carboxylic acids into methyl esters (with MeOH).</t>
        </is>
      </c>
      <c r="J303" s="2" t="inlineStr">
        <is>
          <t>named and classified by a chemist agent; reviewed by an independent agent</t>
        </is>
      </c>
    </row>
    <row r="304">
      <c r="A304" s="3" t="inlineStr">
        <is>
          <t>CCOCCO</t>
        </is>
      </c>
      <c r="B304" s="2" t="inlineStr">
        <is>
          <t>2-ethoxyethanol</t>
        </is>
      </c>
      <c r="C304" s="2" t="inlineStr"/>
      <c r="D304" s="2" t="inlineStr">
        <is>
          <t>solvent</t>
        </is>
      </c>
      <c r="E304" s="2" t="inlineStr"/>
      <c r="F304" s="2" t="n"/>
      <c r="G304" s="2" t="n">
        <v>269</v>
      </c>
      <c r="H304" s="2" t="inlineStr">
        <is>
          <t>Glycol monoethyl ether (CID 8076)</t>
        </is>
      </c>
      <c r="I304" s="2" t="inlineStr">
        <is>
          <t>Glycol ether solvent (Cellosolve); here the solvent for a PtO2/H2 nitro reduction.</t>
        </is>
      </c>
      <c r="J304" s="2" t="inlineStr">
        <is>
          <t>named and classified by a chemist agent; reviewed by an independent agent</t>
        </is>
      </c>
    </row>
    <row r="305">
      <c r="A305" s="3" t="inlineStr">
        <is>
          <t>[Cr+6]</t>
        </is>
      </c>
      <c r="B305" s="2" t="inlineStr">
        <is>
          <t>chromium(VI) ion</t>
        </is>
      </c>
      <c r="C305" s="2" t="inlineStr">
        <is>
          <t>CrO3</t>
        </is>
      </c>
      <c r="D305" s="2" t="inlineStr">
        <is>
          <t>oxidant</t>
        </is>
      </c>
      <c r="E305" s="2" t="inlineStr"/>
      <c r="F305" s="2" t="n"/>
      <c r="G305" s="2" t="n">
        <v>269</v>
      </c>
      <c r="H305" s="2" t="inlineStr">
        <is>
          <t>Chromium(6+) (CID 29131)</t>
        </is>
      </c>
      <c r="I305" s="2" t="inlineStr">
        <is>
          <t>From CrO3 (paired with O2-); catalytic CrO3 with H5IO6 as the terminal oxidant.</t>
        </is>
      </c>
      <c r="J305" s="2" t="inlineStr">
        <is>
          <t>named and classified by a chemist agent; reviewed by an independent agent</t>
        </is>
      </c>
    </row>
    <row r="306">
      <c r="A306" s="3" t="inlineStr">
        <is>
          <t>OBO</t>
        </is>
      </c>
      <c r="B306" s="2" t="inlineStr">
        <is>
          <t>boronic acid fragment (HB(OH)2)</t>
        </is>
      </c>
      <c r="C306" s="2" t="inlineStr"/>
      <c r="D306" s="2" t="inlineStr">
        <is>
          <t>other</t>
        </is>
      </c>
      <c r="E306" s="2" t="inlineStr"/>
      <c r="F306" s="2" t="n"/>
      <c r="G306" s="2" t="n">
        <v>265</v>
      </c>
      <c r="H306" s="2" t="inlineStr">
        <is>
          <t>Boronic Acid (CID 61668)</t>
        </is>
      </c>
      <c r="I306" s="2" t="inlineStr">
        <is>
          <t>An unusual H-B(OH)2 fragment, probably a cut-off boric or boronic acid from a Suzuki step; no clear role.</t>
        </is>
      </c>
      <c r="J306" s="2" t="inlineStr">
        <is>
          <t>named and classified by a chemist agent; reviewed by an independent agent</t>
        </is>
      </c>
    </row>
    <row r="307">
      <c r="A307" s="3" t="inlineStr">
        <is>
          <t>NC1CC1</t>
        </is>
      </c>
      <c r="B307" s="2" t="inlineStr">
        <is>
          <t>cyclopropylamine</t>
        </is>
      </c>
      <c r="C307" s="2" t="inlineStr"/>
      <c r="D307" s="2" t="inlineStr">
        <is>
          <t>nucleophile</t>
        </is>
      </c>
      <c r="E307" s="2" t="inlineStr"/>
      <c r="F307" s="2" t="n"/>
      <c r="G307" s="2" t="n">
        <v>264</v>
      </c>
      <c r="H307" s="2" t="inlineStr">
        <is>
          <t>Cyclopropylamine (CID 69828)</t>
        </is>
      </c>
      <c r="I307" s="2" t="inlineStr">
        <is>
          <t>Primary amine nucleophile; here it does SNAr on an activated aryl fluoride.</t>
        </is>
      </c>
      <c r="J307" s="2" t="inlineStr">
        <is>
          <t>named and classified by a chemist agent; reviewed by an independent agent</t>
        </is>
      </c>
    </row>
    <row r="308">
      <c r="A308" s="3" t="inlineStr">
        <is>
          <t>NS(N)(=O)=O</t>
        </is>
      </c>
      <c r="B308" s="2" t="inlineStr">
        <is>
          <t>sulfamide</t>
        </is>
      </c>
      <c r="C308" s="2" t="inlineStr"/>
      <c r="D308" s="2" t="inlineStr">
        <is>
          <t>nucleophile</t>
        </is>
      </c>
      <c r="E308" s="2" t="inlineStr"/>
      <c r="F308" s="2" t="n"/>
      <c r="G308" s="2" t="n">
        <v>264</v>
      </c>
      <c r="H308" s="2" t="inlineStr">
        <is>
          <t>Sulfamide (CID 82267)</t>
        </is>
      </c>
      <c r="I308" s="2" t="inlineStr">
        <is>
          <t>H2NSO2NH2; condenses with amines to give sulfamides. Its role in this example is unclear.</t>
        </is>
      </c>
      <c r="J308" s="2" t="inlineStr">
        <is>
          <t>named and classified by a chemist agent; reviewed by an independent agent</t>
        </is>
      </c>
    </row>
    <row r="309">
      <c r="A309" s="3" t="inlineStr">
        <is>
          <t>CCC[CH2][SnH]([CH2]CCC)[CH2]CCC</t>
        </is>
      </c>
      <c r="B309" s="2" t="inlineStr">
        <is>
          <t>tributyltin hydride</t>
        </is>
      </c>
      <c r="C309" s="2" t="inlineStr">
        <is>
          <t>Bu3SnH</t>
        </is>
      </c>
      <c r="D309" s="2" t="inlineStr">
        <is>
          <t>reductant</t>
        </is>
      </c>
      <c r="E309" s="2" t="inlineStr"/>
      <c r="F309" s="2" t="n"/>
      <c r="G309" s="2" t="n">
        <v>263</v>
      </c>
      <c r="H309" s="2" t="inlineStr">
        <is>
          <t>Tributylstannane (CID 5948)</t>
        </is>
      </c>
      <c r="I309" s="2" t="inlineStr">
        <is>
          <t>Radical H-atom donor; with AIBN it removes aryl or alkyl halogens.</t>
        </is>
      </c>
      <c r="J309" s="2" t="inlineStr">
        <is>
          <t>named and classified by a chemist agent; reviewed by an independent agent</t>
        </is>
      </c>
    </row>
    <row r="310">
      <c r="A310" s="3" t="inlineStr">
        <is>
          <t>CC(C)N</t>
        </is>
      </c>
      <c r="B310" s="2" t="inlineStr">
        <is>
          <t>isopropylamine</t>
        </is>
      </c>
      <c r="C310" s="2" t="inlineStr">
        <is>
          <t>iPrNH2</t>
        </is>
      </c>
      <c r="D310" s="2" t="inlineStr">
        <is>
          <t>nucleophile</t>
        </is>
      </c>
      <c r="E310" s="2" t="inlineStr"/>
      <c r="F310" s="2" t="n"/>
      <c r="G310" s="2" t="n">
        <v>262</v>
      </c>
      <c r="H310" s="2" t="inlineStr">
        <is>
          <t>Isopropylamine (CID 6363)</t>
        </is>
      </c>
      <c r="I310" s="2" t="inlineStr">
        <is>
          <t>Primary amine nucleophile (e.g., opens epoxides such as epichlorohydrin).</t>
        </is>
      </c>
      <c r="J310" s="2" t="inlineStr">
        <is>
          <t>named and classified by a chemist agent; reviewed by an independent agent</t>
        </is>
      </c>
    </row>
    <row r="311">
      <c r="A311" s="3" t="inlineStr">
        <is>
          <t>CCC[CH2][Sn](=[O])[CH2]CCC</t>
        </is>
      </c>
      <c r="B311" s="2" t="inlineStr">
        <is>
          <t>dibutyltin oxide</t>
        </is>
      </c>
      <c r="C311" s="2" t="inlineStr">
        <is>
          <t>Bu2SnO</t>
        </is>
      </c>
      <c r="D311" s="2" t="inlineStr">
        <is>
          <t>catalyst (metal)</t>
        </is>
      </c>
      <c r="E311" s="2" t="inlineStr"/>
      <c r="F311" s="2" t="n"/>
      <c r="G311" s="2" t="n">
        <v>262</v>
      </c>
      <c r="H311" s="2" t="inlineStr">
        <is>
          <t>Dibutyltin oxide (CID 61221)</t>
        </is>
      </c>
      <c r="I311" s="2" t="inlineStr">
        <is>
          <t>Forms a stannylene acetal with the 1,2-diol, which directs tosylation to the primary OH.</t>
        </is>
      </c>
      <c r="J311" s="2" t="inlineStr">
        <is>
          <t>named and classified by a chemist agent; reviewed by an independent agent</t>
        </is>
      </c>
    </row>
    <row r="312">
      <c r="A312" s="3" t="inlineStr">
        <is>
          <t>CC(C)(C)C(=O)Cl</t>
        </is>
      </c>
      <c r="B312" s="2" t="inlineStr">
        <is>
          <t>pivaloyl chloride</t>
        </is>
      </c>
      <c r="C312" s="2" t="inlineStr">
        <is>
          <t>PivCl</t>
        </is>
      </c>
      <c r="D312" s="2" t="inlineStr">
        <is>
          <t>coupling reagent (activates an acid)</t>
        </is>
      </c>
      <c r="E312" s="2" t="inlineStr">
        <is>
          <t>protecting-group reagent</t>
        </is>
      </c>
      <c r="F312" s="2" t="n"/>
      <c r="G312" s="2" t="n">
        <v>259</v>
      </c>
      <c r="H312" s="2" t="inlineStr">
        <is>
          <t>Pivaloyl chloride (CID 62493)</t>
        </is>
      </c>
      <c r="I312" s="2" t="inlineStr">
        <is>
          <t>Makes a mixed pivalic anhydride from the acid (with Et3N) for amide coupling; also puts on Piv esters.</t>
        </is>
      </c>
      <c r="J312" s="2" t="inlineStr">
        <is>
          <t>named and classified by a chemist agent; reviewed by an independent agent</t>
        </is>
      </c>
    </row>
    <row r="313">
      <c r="A313" s="3" t="inlineStr">
        <is>
          <t>NS(=O)(=O)O</t>
        </is>
      </c>
      <c r="B313" s="2" t="inlineStr">
        <is>
          <t>sulfamic acid</t>
        </is>
      </c>
      <c r="C313" s="2" t="inlineStr"/>
      <c r="D313" s="2" t="inlineStr">
        <is>
          <t>acid</t>
        </is>
      </c>
      <c r="E313" s="2" t="inlineStr"/>
      <c r="F313" s="2" t="n"/>
      <c r="G313" s="2" t="n">
        <v>256</v>
      </c>
      <c r="H313" s="2" t="inlineStr">
        <is>
          <t>Sulfamic Acid (CID 5987)</t>
        </is>
      </c>
      <c r="I313" s="2" t="inlineStr">
        <is>
          <t>Solid strong acid (pKa ~1); also traps HOCl in Pinnick oxidations. Its role here is unclear.</t>
        </is>
      </c>
      <c r="J313" s="2" t="inlineStr">
        <is>
          <t>named and classified by a chemist agent; reviewed by an independent agent</t>
        </is>
      </c>
    </row>
    <row r="314">
      <c r="A314" s="3" t="inlineStr">
        <is>
          <t>F[N+]12CC[N+](CCl)(CC1)CC2</t>
        </is>
      </c>
      <c r="B314" s="2" t="inlineStr">
        <is>
          <t>Selectfluor (F-TEDA dication)</t>
        </is>
      </c>
      <c r="C314" s="2" t="inlineStr">
        <is>
          <t>Selectfluor</t>
        </is>
      </c>
      <c r="D314" s="2" t="inlineStr">
        <is>
          <t>halogenating agent</t>
        </is>
      </c>
      <c r="E314" s="2" t="inlineStr">
        <is>
          <t>oxidant</t>
        </is>
      </c>
      <c r="F314" s="2" t="n"/>
      <c r="G314" s="2" t="n">
        <v>255</v>
      </c>
      <c r="H314" s="2" t="inlineStr">
        <is>
          <t>1-(Chloromethyl)-4-fluoro-1,4-diazoniabicyclo(2.2.2)octane (CID 2724934)</t>
        </is>
      </c>
      <c r="I314" s="2" t="inlineStr">
        <is>
          <t>Electrophilic fluorinating agent (BF4- salt); here it acts as an oxidant that activates I2 to iodinate the arene.</t>
        </is>
      </c>
      <c r="J314" s="2" t="inlineStr">
        <is>
          <t>named and classified by a chemist agent; reviewed by an independent agent</t>
        </is>
      </c>
    </row>
    <row r="315">
      <c r="A315" s="3" t="inlineStr">
        <is>
          <t>[N-]=C=O</t>
        </is>
      </c>
      <c r="B315" s="2" t="inlineStr">
        <is>
          <t>cyanate ion</t>
        </is>
      </c>
      <c r="C315" s="2" t="inlineStr">
        <is>
          <t>OCN-</t>
        </is>
      </c>
      <c r="D315" s="2" t="inlineStr">
        <is>
          <t>nucleophile</t>
        </is>
      </c>
      <c r="E315" s="2" t="inlineStr"/>
      <c r="F315" s="2" t="n"/>
      <c r="G315" s="2" t="n">
        <v>253</v>
      </c>
      <c r="H315" s="2" t="inlineStr">
        <is>
          <t>Isocyanate (CID 105034)</t>
        </is>
      </c>
      <c r="I315" s="2" t="inlineStr">
        <is>
          <t>From KOCN/NaOCN; adds to amines to give ureas. Its presence in this amide coupling is probably a recording error.</t>
        </is>
      </c>
      <c r="J315" s="2" t="inlineStr">
        <is>
          <t>named and classified by a chemist agent; reviewed by an independent agent</t>
        </is>
      </c>
    </row>
    <row r="316">
      <c r="A316" s="3" t="inlineStr">
        <is>
          <t>CC1(C)CCCC(C)(C)N1</t>
        </is>
      </c>
      <c r="B316" s="2" t="inlineStr">
        <is>
          <t>2,2,6,6-tetramethylpiperidine</t>
        </is>
      </c>
      <c r="C316" s="2" t="inlineStr">
        <is>
          <t>TMP</t>
        </is>
      </c>
      <c r="D316" s="2" t="inlineStr">
        <is>
          <t>base</t>
        </is>
      </c>
      <c r="E316" s="2" t="inlineStr"/>
      <c r="F316" s="2" t="n">
        <v>11.1</v>
      </c>
      <c r="G316" s="2" t="n">
        <v>249</v>
      </c>
      <c r="H316" s="2" t="inlineStr">
        <is>
          <t>2,2,6,6-Tetramethylpiperidine (CID 13035)</t>
        </is>
      </c>
      <c r="I316" s="2" t="inlineStr">
        <is>
          <t>Hindered non-nucleophilic amine base (pKa in water); precursor of LiTMP; here it mops up HCl in an SNAr.</t>
        </is>
      </c>
      <c r="J316" s="2" t="inlineStr">
        <is>
          <t>named and classified by a chemist agent; reviewed by an independent agent</t>
        </is>
      </c>
    </row>
    <row r="317">
      <c r="A317" s="3" t="inlineStr">
        <is>
          <t>C1N2CN3CN1CN(C2)C3</t>
        </is>
      </c>
      <c r="B317" s="2" t="inlineStr">
        <is>
          <t>hexamethylenetetramine</t>
        </is>
      </c>
      <c r="C317" s="2" t="inlineStr">
        <is>
          <t>HMTA</t>
        </is>
      </c>
      <c r="D317" s="2" t="inlineStr">
        <is>
          <t>oxidant</t>
        </is>
      </c>
      <c r="E317" s="2" t="inlineStr">
        <is>
          <t>electrophile / alkylating agent</t>
        </is>
      </c>
      <c r="F317" s="2" t="n"/>
      <c r="G317" s="2" t="n">
        <v>248</v>
      </c>
      <c r="H317" s="2" t="inlineStr">
        <is>
          <t>Hexamethylenetetramine (CID 4101)</t>
        </is>
      </c>
      <c r="I317" s="2" t="inlineStr">
        <is>
          <t>Sommelet/Duff reagent; here it turns a benzylic alcohol into the aldehyde.</t>
        </is>
      </c>
      <c r="J317" s="2" t="inlineStr">
        <is>
          <t>named and classified by a chemist agent; reviewed by an independent agent</t>
        </is>
      </c>
    </row>
    <row r="318">
      <c r="A318" s="3" t="inlineStr">
        <is>
          <t>CC1(C)CCCC(C)(C)N1[O]</t>
        </is>
      </c>
      <c r="B318" s="2" t="inlineStr">
        <is>
          <t>TEMPO</t>
        </is>
      </c>
      <c r="C318" s="2" t="inlineStr">
        <is>
          <t>TEMPO</t>
        </is>
      </c>
      <c r="D318" s="2" t="inlineStr">
        <is>
          <t>oxidizing catalyst</t>
        </is>
      </c>
      <c r="E318" s="2" t="inlineStr"/>
      <c r="F318" s="2" t="n"/>
      <c r="G318" s="2" t="n">
        <v>241</v>
      </c>
      <c r="H318" s="2" t="inlineStr"/>
      <c r="I318" s="2" t="inlineStr">
        <is>
          <t>Nitroxyl radical catalyst; with NaOCl/KBr (Anelli) it oxidizes primary alcohols to aldehydes.</t>
        </is>
      </c>
      <c r="J318" s="2" t="inlineStr">
        <is>
          <t>named and classified by a chemist agent; reviewed by an independent agent; PubChem's title for this SMILES was wrong (2,2,6,6-Tetramethylpiperidin-1-ol (CID 549976)): N-O radical, C9H18NO. The lookup added H and returned the hydroxylamine TEMPO-H, C9H19NO.</t>
        </is>
      </c>
    </row>
    <row r="319">
      <c r="A319" s="3" t="inlineStr">
        <is>
          <t>O=C1CCC(=O)N1O</t>
        </is>
      </c>
      <c r="B319" s="2" t="inlineStr">
        <is>
          <t>N-hydroxysuccinimide</t>
        </is>
      </c>
      <c r="C319" s="2" t="inlineStr">
        <is>
          <t>NHS</t>
        </is>
      </c>
      <c r="D319" s="2" t="inlineStr">
        <is>
          <t>additive</t>
        </is>
      </c>
      <c r="E319" s="2" t="inlineStr">
        <is>
          <t>coupling reagent (activates an acid)</t>
        </is>
      </c>
      <c r="F319" s="2" t="n"/>
      <c r="G319" s="2" t="n">
        <v>240</v>
      </c>
      <c r="H319" s="2" t="inlineStr">
        <is>
          <t>N-Hydroxysuccinimide (CID 80170)</t>
        </is>
      </c>
      <c r="I319" s="2" t="inlineStr">
        <is>
          <t>Forms NHS active esters with carbodiimides for amide coupling.</t>
        </is>
      </c>
      <c r="J319" s="2" t="inlineStr">
        <is>
          <t>named and classified by a chemist agent; reviewed by an independent agent</t>
        </is>
      </c>
    </row>
    <row r="320">
      <c r="A320" s="3" t="inlineStr">
        <is>
          <t>O=C(Cl)Cl</t>
        </is>
      </c>
      <c r="B320" s="2" t="inlineStr">
        <is>
          <t>phosgene</t>
        </is>
      </c>
      <c r="C320" s="2" t="inlineStr">
        <is>
          <t>COCl2</t>
        </is>
      </c>
      <c r="D320" s="2" t="inlineStr">
        <is>
          <t>dehydrating / activating agent</t>
        </is>
      </c>
      <c r="E320" s="2" t="inlineStr">
        <is>
          <t>electrophile / alkylating agent</t>
        </is>
      </c>
      <c r="F320" s="2" t="n"/>
      <c r="G320" s="2" t="n">
        <v>240</v>
      </c>
      <c r="H320" s="2" t="inlineStr">
        <is>
          <t>Phosgene (CID 6371)</t>
        </is>
      </c>
      <c r="I320" s="2" t="inlineStr">
        <is>
          <t>Carbonylating agent; turns phenols into chloroformates (as here) and amines into isocyanates.</t>
        </is>
      </c>
      <c r="J320" s="2" t="inlineStr">
        <is>
          <t>named and classified by a chemist agent; reviewed by an independent agent</t>
        </is>
      </c>
    </row>
    <row r="321">
      <c r="A321" s="3" t="inlineStr">
        <is>
          <t>[S-2]</t>
        </is>
      </c>
      <c r="B321" s="2" t="inlineStr">
        <is>
          <t>sulfide ion</t>
        </is>
      </c>
      <c r="C321" s="2" t="inlineStr">
        <is>
          <t>Na2S</t>
        </is>
      </c>
      <c r="D321" s="2" t="inlineStr">
        <is>
          <t>reductant</t>
        </is>
      </c>
      <c r="E321" s="2" t="inlineStr"/>
      <c r="F321" s="2" t="n"/>
      <c r="G321" s="2" t="n">
        <v>238</v>
      </c>
      <c r="H321" s="2" t="inlineStr">
        <is>
          <t>Sulfide ion (CID 29109)</t>
        </is>
      </c>
      <c r="I321" s="2" t="inlineStr">
        <is>
          <t>From Na2S; Zinin reduction, which reduces just one nitro group of a dinitroarene.</t>
        </is>
      </c>
      <c r="J321" s="2" t="inlineStr">
        <is>
          <t>named and classified by a chemist agent; reviewed by an independent agent</t>
        </is>
      </c>
    </row>
    <row r="322">
      <c r="A322" s="3" t="inlineStr">
        <is>
          <t>Ic1ccccc1</t>
        </is>
      </c>
      <c r="B322" s="2" t="inlineStr">
        <is>
          <t>iodobenzene</t>
        </is>
      </c>
      <c r="C322" s="2" t="inlineStr">
        <is>
          <t>PhI</t>
        </is>
      </c>
      <c r="D322" s="2" t="inlineStr">
        <is>
          <t>other</t>
        </is>
      </c>
      <c r="E322" s="2" t="inlineStr">
        <is>
          <t>oxidant</t>
        </is>
      </c>
      <c r="F322" s="2" t="n"/>
      <c r="G322" s="2" t="n">
        <v>238</v>
      </c>
      <c r="H322" s="2" t="inlineStr">
        <is>
          <t>Iodobenzene (CID 11575)</t>
        </is>
      </c>
      <c r="I322" s="2" t="inlineStr">
        <is>
          <t>Here what is left of PhI(OAc)2 (AcOH is also listed), used with TEMPO to oxidize the alcohol; elsewhere an aryl iodide coupling partner.</t>
        </is>
      </c>
      <c r="J322" s="2" t="inlineStr">
        <is>
          <t>named and classified by a chemist agent; reviewed by an independent agent</t>
        </is>
      </c>
    </row>
    <row r="323">
      <c r="A323" s="3" t="inlineStr">
        <is>
          <t>CCCCN(CCCC)CCCC</t>
        </is>
      </c>
      <c r="B323" s="2" t="inlineStr">
        <is>
          <t>tributylamine</t>
        </is>
      </c>
      <c r="C323" s="2" t="inlineStr">
        <is>
          <t>Bu3N</t>
        </is>
      </c>
      <c r="D323" s="2" t="inlineStr">
        <is>
          <t>base</t>
        </is>
      </c>
      <c r="E323" s="2" t="inlineStr"/>
      <c r="F323" s="2" t="n">
        <v>10.9</v>
      </c>
      <c r="G323" s="2" t="n">
        <v>237</v>
      </c>
      <c r="H323" s="2" t="inlineStr">
        <is>
          <t>Tributylamine (CID 7622)</t>
        </is>
      </c>
      <c r="I323" s="2" t="inlineStr">
        <is>
          <t>Tertiary amine base (pKa in water); used with HCl in this aryl methyl ether cleavage.</t>
        </is>
      </c>
      <c r="J323" s="2" t="inlineStr">
        <is>
          <t>named and classified by a chemist agent; reviewed by an independent agent</t>
        </is>
      </c>
    </row>
    <row r="324">
      <c r="A324" s="3" t="inlineStr">
        <is>
          <t>[Yb+3]</t>
        </is>
      </c>
      <c r="B324" s="2" t="inlineStr">
        <is>
          <t>ytterbium(III) ion</t>
        </is>
      </c>
      <c r="C324" s="2" t="inlineStr">
        <is>
          <t>Yb(OTf)3</t>
        </is>
      </c>
      <c r="D324" s="2" t="inlineStr">
        <is>
          <t>Lewis acid</t>
        </is>
      </c>
      <c r="E324" s="2" t="inlineStr"/>
      <c r="F324" s="2" t="n"/>
      <c r="G324" s="2" t="n">
        <v>237</v>
      </c>
      <c r="H324" s="2" t="inlineStr">
        <is>
          <t>Ytterbium(3+) (CID 105055)</t>
        </is>
      </c>
      <c r="I324" s="2" t="inlineStr">
        <is>
          <t>From Yb(OTf)3 (triflate counter-ion); Lewis acid catalyst for opening epoxides with amines.</t>
        </is>
      </c>
      <c r="J324" s="2" t="inlineStr">
        <is>
          <t>named and classified by a chemist agent; reviewed by an independent agent</t>
        </is>
      </c>
    </row>
    <row r="325">
      <c r="A325" s="3" t="inlineStr">
        <is>
          <t>O=S=O</t>
        </is>
      </c>
      <c r="B325" s="2" t="inlineStr">
        <is>
          <t>sulfur dioxide</t>
        </is>
      </c>
      <c r="C325" s="2" t="inlineStr">
        <is>
          <t>SO2</t>
        </is>
      </c>
      <c r="D325" s="2" t="inlineStr">
        <is>
          <t>reductant</t>
        </is>
      </c>
      <c r="E325" s="2" t="inlineStr">
        <is>
          <t>gas</t>
        </is>
      </c>
      <c r="F325" s="2" t="n"/>
      <c r="G325" s="2" t="n">
        <v>236</v>
      </c>
      <c r="H325" s="2" t="inlineStr">
        <is>
          <t>Sulfur Dioxide (CID 1119)</t>
        </is>
      </c>
      <c r="I325" s="2" t="inlineStr">
        <is>
          <t>Reducing gas; here it goes with sodium dithionite in a nitro reduction.</t>
        </is>
      </c>
      <c r="J325" s="2" t="inlineStr">
        <is>
          <t>named and classified by a chemist agent; reviewed by an independent agent</t>
        </is>
      </c>
    </row>
    <row r="326">
      <c r="A326" s="3" t="inlineStr">
        <is>
          <t>OCCOCCO</t>
        </is>
      </c>
      <c r="B326" s="2" t="inlineStr">
        <is>
          <t>diethylene glycol</t>
        </is>
      </c>
      <c r="C326" s="2" t="inlineStr">
        <is>
          <t>DEG</t>
        </is>
      </c>
      <c r="D326" s="2" t="inlineStr">
        <is>
          <t>solvent</t>
        </is>
      </c>
      <c r="E326" s="2" t="inlineStr"/>
      <c r="F326" s="2" t="n"/>
      <c r="G326" s="2" t="n">
        <v>236</v>
      </c>
      <c r="H326" s="2" t="inlineStr">
        <is>
          <t>Diethylene Glycol (CID 8117)</t>
        </is>
      </c>
      <c r="I326" s="2" t="inlineStr">
        <is>
          <t>High-boiling polar solvent (as in Wolff-Kishner); here for a partial nitro reduction.</t>
        </is>
      </c>
      <c r="J326" s="2" t="inlineStr">
        <is>
          <t>named and classified by a chemist agent; reviewed by an independent agent</t>
        </is>
      </c>
    </row>
    <row r="327">
      <c r="A327" s="3" t="inlineStr">
        <is>
          <t>CC[N+](CC)(CC)CC</t>
        </is>
      </c>
      <c r="B327" s="2" t="inlineStr">
        <is>
          <t>tetraethylammonium ion</t>
        </is>
      </c>
      <c r="C327" s="2" t="inlineStr">
        <is>
          <t>Et4N+</t>
        </is>
      </c>
      <c r="D327" s="2" t="inlineStr">
        <is>
          <t>counter-ion / spectator ion</t>
        </is>
      </c>
      <c r="E327" s="2" t="inlineStr">
        <is>
          <t>phase-transfer catalyst</t>
        </is>
      </c>
      <c r="F327" s="2" t="n"/>
      <c r="G327" s="2" t="n">
        <v>232</v>
      </c>
      <c r="H327" s="2" t="inlineStr">
        <is>
          <t>Tetraethylammonium (CID 5413)</t>
        </is>
      </c>
      <c r="I327" s="2" t="inlineStr">
        <is>
          <t>Quaternary ammonium cation, e.g., Et4N+ F- used to remove a TBS group.</t>
        </is>
      </c>
      <c r="J327" s="2" t="inlineStr">
        <is>
          <t>named and classified by a chemist agent; reviewed by an independent agent</t>
        </is>
      </c>
    </row>
    <row r="328">
      <c r="A328" s="3" t="inlineStr">
        <is>
          <t>CC(C)Oc1cccc(OC(C)C)c1-c1ccccc1P(C1CCCCC1)C1CCCCC1</t>
        </is>
      </c>
      <c r="B328" s="2" t="inlineStr">
        <is>
          <t>RuPhos</t>
        </is>
      </c>
      <c r="C328" s="2" t="inlineStr">
        <is>
          <t>RuPhos</t>
        </is>
      </c>
      <c r="D328" s="2" t="inlineStr">
        <is>
          <t>ligand</t>
        </is>
      </c>
      <c r="E328" s="2" t="inlineStr"/>
      <c r="F328" s="2" t="n"/>
      <c r="G328" s="2" t="n">
        <v>231</v>
      </c>
      <c r="H328" s="2" t="inlineStr">
        <is>
          <t>2-Dicyclohexylphosphino-2',6'-diisopropoxybiphenyl (CID 16217985)</t>
        </is>
      </c>
      <c r="I328" s="2" t="inlineStr">
        <is>
          <t>Dialkylbiaryl phosphine ligand for Pd-catalyzed C-N coupling.</t>
        </is>
      </c>
      <c r="J328" s="2" t="inlineStr">
        <is>
          <t>named and classified by a chemist agent; reviewed by an independent agent</t>
        </is>
      </c>
    </row>
    <row r="329">
      <c r="A329" s="3" t="inlineStr">
        <is>
          <t>CC=O</t>
        </is>
      </c>
      <c r="B329" s="2" t="inlineStr">
        <is>
          <t>acetaldehyde</t>
        </is>
      </c>
      <c r="C329" s="2" t="inlineStr">
        <is>
          <t>MeCHO</t>
        </is>
      </c>
      <c r="D329" s="2" t="inlineStr">
        <is>
          <t>electrophile / alkylating agent</t>
        </is>
      </c>
      <c r="E329" s="2" t="inlineStr"/>
      <c r="F329" s="2" t="n"/>
      <c r="G329" s="2" t="n">
        <v>231</v>
      </c>
      <c r="H329" s="2" t="inlineStr">
        <is>
          <t>Acetaldehyde (CID 177)</t>
        </is>
      </c>
      <c r="I329" s="2" t="inlineStr">
        <is>
          <t>Aldehyde for reductive amination (N-ethylation); here probably carried over from another step.</t>
        </is>
      </c>
      <c r="J329" s="2" t="inlineStr">
        <is>
          <t>named and classified by a chemist agent; reviewed by an independent agent</t>
        </is>
      </c>
    </row>
    <row r="330">
      <c r="A330" s="3" t="inlineStr">
        <is>
          <t>[Cl][Fe]([Cl])[Cl]</t>
        </is>
      </c>
      <c r="B330" s="2" t="inlineStr">
        <is>
          <t>iron(III) chloride</t>
        </is>
      </c>
      <c r="C330" s="2" t="inlineStr">
        <is>
          <t>FeCl3</t>
        </is>
      </c>
      <c r="D330" s="2" t="inlineStr">
        <is>
          <t>Lewis acid</t>
        </is>
      </c>
      <c r="E330" s="2" t="inlineStr">
        <is>
          <t>catalyst (metal)</t>
        </is>
      </c>
      <c r="F330" s="2" t="n"/>
      <c r="G330" s="2" t="n">
        <v>229</v>
      </c>
      <c r="H330" s="2" t="inlineStr">
        <is>
          <t>Iron chloride (FeCl3) (CID 24380)</t>
        </is>
      </c>
      <c r="I330" s="2" t="inlineStr">
        <is>
          <t>Lewis acid; with hydrazine or a metal it catalyzes nitro-to-amine reduction, as here.</t>
        </is>
      </c>
      <c r="J330" s="2" t="inlineStr">
        <is>
          <t>named and classified by a chemist agent; reviewed by an independent agent</t>
        </is>
      </c>
    </row>
    <row r="331">
      <c r="A331" s="3" t="inlineStr">
        <is>
          <t>CS(=O)(=O)[O-]</t>
        </is>
      </c>
      <c r="B331" s="2" t="inlineStr">
        <is>
          <t>methanesulfonate (mesylate) ion</t>
        </is>
      </c>
      <c r="C331" s="2" t="inlineStr">
        <is>
          <t>MsO-</t>
        </is>
      </c>
      <c r="D331" s="2" t="inlineStr">
        <is>
          <t>counter-ion / spectator ion</t>
        </is>
      </c>
      <c r="E331" s="2" t="inlineStr"/>
      <c r="F331" s="2" t="n"/>
      <c r="G331" s="2" t="n">
        <v>229</v>
      </c>
      <c r="H331" s="2" t="inlineStr">
        <is>
          <t>Methanesulfonate (CID 85257)</t>
        </is>
      </c>
      <c r="I331" s="2" t="inlineStr">
        <is>
          <t>Counter-anion of a mesylate salt.</t>
        </is>
      </c>
      <c r="J331" s="2" t="inlineStr">
        <is>
          <t>named and classified by a chemist agent; reviewed by an independent agent</t>
        </is>
      </c>
    </row>
    <row r="332">
      <c r="A332" s="3" t="inlineStr">
        <is>
          <t>CN(C)CC(=O)O</t>
        </is>
      </c>
      <c r="B332" s="2" t="inlineStr">
        <is>
          <t>N,N-dimethylglycine</t>
        </is>
      </c>
      <c r="C332" s="2" t="inlineStr">
        <is>
          <t>DMG</t>
        </is>
      </c>
      <c r="D332" s="2" t="inlineStr">
        <is>
          <t>ligand</t>
        </is>
      </c>
      <c r="E332" s="2" t="inlineStr"/>
      <c r="F332" s="2" t="n"/>
      <c r="G332" s="2" t="n">
        <v>227</v>
      </c>
      <c r="H332" s="2" t="inlineStr">
        <is>
          <t>N,N-Dimethylglycine (CID 673)</t>
        </is>
      </c>
      <c r="I332" s="2" t="inlineStr">
        <is>
          <t>Amino-acid ligand for CuI-catalyzed Ullmann C-N couplings (Ma conditions).</t>
        </is>
      </c>
      <c r="J332" s="2" t="inlineStr">
        <is>
          <t>named and classified by a chemist agent; reviewed by an independent agent</t>
        </is>
      </c>
    </row>
    <row r="333">
      <c r="A333" s="3" t="inlineStr">
        <is>
          <t>CCOC(=O)CBr</t>
        </is>
      </c>
      <c r="B333" s="2" t="inlineStr">
        <is>
          <t>ethyl bromoacetate</t>
        </is>
      </c>
      <c r="C333" s="2" t="inlineStr"/>
      <c r="D333" s="2" t="inlineStr">
        <is>
          <t>electrophile / alkylating agent</t>
        </is>
      </c>
      <c r="E333" s="2" t="inlineStr"/>
      <c r="F333" s="2" t="n"/>
      <c r="G333" s="2" t="n">
        <v>226</v>
      </c>
      <c r="H333" s="2" t="inlineStr">
        <is>
          <t>Ethyl bromoacetate (CID 7748)</t>
        </is>
      </c>
      <c r="I333" s="2" t="inlineStr">
        <is>
          <t>Puts a CH2CO2Et group on phenols or amines (O-alkylation with K2CO3).</t>
        </is>
      </c>
      <c r="J333" s="2" t="inlineStr">
        <is>
          <t>named and classified by a chemist agent; reviewed by an independent agent</t>
        </is>
      </c>
    </row>
    <row r="334">
      <c r="A334" s="3" t="inlineStr">
        <is>
          <t>CC(C)(C)[O][K]</t>
        </is>
      </c>
      <c r="B334" s="2" t="inlineStr">
        <is>
          <t>potassium tert-butoxide</t>
        </is>
      </c>
      <c r="C334" s="2" t="inlineStr">
        <is>
          <t>KOtBu</t>
        </is>
      </c>
      <c r="D334" s="2" t="inlineStr">
        <is>
          <t>base</t>
        </is>
      </c>
      <c r="E334" s="2" t="inlineStr"/>
      <c r="F334" s="2" t="n">
        <v>17</v>
      </c>
      <c r="G334" s="2" t="n">
        <v>223</v>
      </c>
      <c r="H334" s="2" t="inlineStr">
        <is>
          <t>Potassium tert-butoxide (CID 23665647)</t>
        </is>
      </c>
      <c r="I334" s="2" t="inlineStr">
        <is>
          <t>Strong, hindered alkoxide (tBuOH pKa ~17 in water, ~32 in DMSO); here in DMSO/water for ester hydrolysis.</t>
        </is>
      </c>
      <c r="J334" s="2" t="inlineStr">
        <is>
          <t>named and classified by a chemist agent; reviewed by an independent agent</t>
        </is>
      </c>
    </row>
    <row r="335">
      <c r="A335" s="3" t="inlineStr">
        <is>
          <t>[O]=[Ag]</t>
        </is>
      </c>
      <c r="B335" s="2" t="inlineStr">
        <is>
          <t>silver oxide, drawn as AgO (formally silver(II) oxide; probably Ag2O in the source)</t>
        </is>
      </c>
      <c r="C335" s="2" t="inlineStr">
        <is>
          <t>Ag2O</t>
        </is>
      </c>
      <c r="D335" s="2" t="inlineStr">
        <is>
          <t>additive</t>
        </is>
      </c>
      <c r="E335" s="2" t="inlineStr">
        <is>
          <t>oxidant</t>
        </is>
      </c>
      <c r="F335" s="2" t="n"/>
      <c r="G335" s="2" t="n">
        <v>223</v>
      </c>
      <c r="H335" s="2" t="inlineStr">
        <is>
          <t>Silver(II) oxide (CID 92152)</t>
        </is>
      </c>
      <c r="I335" s="2" t="inlineStr">
        <is>
          <t>Ag2O fragment; with MeI it drives O-methylation (traps halide, mild base); also a mild oxidant.</t>
        </is>
      </c>
      <c r="J335" s="2" t="inlineStr">
        <is>
          <t>named and classified by a chemist agent; reviewed by an independent agent; corrected name (The neutral [O]=[Ag] has formula AgO, which puts silver at +2. That does not match silver(I) oxide (Ag2O). In the same batch, Ag(I) oxide shows up as [O]=[Ag-] )</t>
        </is>
      </c>
    </row>
    <row r="336">
      <c r="A336" s="3" t="inlineStr">
        <is>
          <t>c1ccc(-c2ccccc2)cc1</t>
        </is>
      </c>
      <c r="B336" s="2" t="inlineStr">
        <is>
          <t>biphenyl</t>
        </is>
      </c>
      <c r="C336" s="2" t="inlineStr"/>
      <c r="D336" s="2" t="inlineStr">
        <is>
          <t>other</t>
        </is>
      </c>
      <c r="E336" s="2" t="inlineStr">
        <is>
          <t>solvent</t>
        </is>
      </c>
      <c r="F336" s="2" t="n"/>
      <c r="G336" s="2" t="n">
        <v>223</v>
      </c>
      <c r="H336" s="2" t="inlineStr">
        <is>
          <t>Biphenyl (CID 7095)</t>
        </is>
      </c>
      <c r="I336" s="2" t="inlineStr">
        <is>
          <t>Probably a piece of a biaryl phosphine ligand or of Dowtherm (biphenyl/diphenyl ether); not a real reagent.</t>
        </is>
      </c>
      <c r="J336" s="2" t="inlineStr">
        <is>
          <t>named and classified by a chemist agent; reviewed by an independent agent</t>
        </is>
      </c>
    </row>
    <row r="337">
      <c r="A337" s="3" t="inlineStr">
        <is>
          <t>O=S(=O)([O-])OOS(=O)(=O)[O-]</t>
        </is>
      </c>
      <c r="B337" s="2" t="inlineStr">
        <is>
          <t>peroxydisulfate (persulfate) ion</t>
        </is>
      </c>
      <c r="C337" s="2" t="inlineStr">
        <is>
          <t>S2O8(2-)</t>
        </is>
      </c>
      <c r="D337" s="2" t="inlineStr">
        <is>
          <t>oxidant</t>
        </is>
      </c>
      <c r="E337" s="2" t="inlineStr">
        <is>
          <t>radical initiator</t>
        </is>
      </c>
      <c r="F337" s="2" t="n"/>
      <c r="G337" s="2" t="n">
        <v>223</v>
      </c>
      <c r="H337" s="2" t="inlineStr">
        <is>
          <t>Peroxydisulfate (CID 107879)</t>
        </is>
      </c>
      <c r="I337" s="2" t="inlineStr">
        <is>
          <t>From ammonium, potassium or sodium persulfate; strong oxidant and radical initiator.</t>
        </is>
      </c>
      <c r="J337" s="2" t="inlineStr">
        <is>
          <t>named and classified by a chemist agent; reviewed by an independent agent</t>
        </is>
      </c>
    </row>
    <row r="338">
      <c r="A338" s="3" t="inlineStr">
        <is>
          <t>CC(C)(C)OO</t>
        </is>
      </c>
      <c r="B338" s="2" t="inlineStr">
        <is>
          <t>tert-butyl hydroperoxide</t>
        </is>
      </c>
      <c r="C338" s="2" t="inlineStr">
        <is>
          <t>TBHP</t>
        </is>
      </c>
      <c r="D338" s="2" t="inlineStr">
        <is>
          <t>oxidant</t>
        </is>
      </c>
      <c r="E338" s="2" t="inlineStr">
        <is>
          <t>radical initiator</t>
        </is>
      </c>
      <c r="F338" s="2" t="n"/>
      <c r="G338" s="2" t="n">
        <v>222</v>
      </c>
      <c r="H338" s="2" t="inlineStr">
        <is>
          <t>tert-Butyl hydroperoxide (CID 6410)</t>
        </is>
      </c>
      <c r="I338" s="2" t="inlineStr">
        <is>
          <t>Here it starts the radical benzylic bromination with NBS; more often a terminal oxidant.</t>
        </is>
      </c>
      <c r="J338" s="2" t="inlineStr">
        <is>
          <t>named and classified by a chemist agent; reviewed by an independent agent</t>
        </is>
      </c>
    </row>
    <row r="339">
      <c r="A339" s="3" t="inlineStr">
        <is>
          <t>CCc1ccccc1</t>
        </is>
      </c>
      <c r="B339" s="2" t="inlineStr">
        <is>
          <t>ethylbenzene</t>
        </is>
      </c>
      <c r="C339" s="2" t="inlineStr"/>
      <c r="D339" s="2" t="inlineStr">
        <is>
          <t>solvent</t>
        </is>
      </c>
      <c r="E339" s="2" t="inlineStr"/>
      <c r="F339" s="2" t="n"/>
      <c r="G339" s="2" t="n">
        <v>221</v>
      </c>
      <c r="H339" s="2" t="inlineStr">
        <is>
          <t>Ethylbenzene (CID 7500)</t>
        </is>
      </c>
      <c r="I339" s="2" t="inlineStr">
        <is>
          <t>Co-solvent of commercial LiHMDS solutions (THF/ethylbenzene).</t>
        </is>
      </c>
      <c r="J339" s="2" t="inlineStr">
        <is>
          <t>named and classified by a chemist agent; reviewed by an independent agent</t>
        </is>
      </c>
    </row>
    <row r="340">
      <c r="A340" s="3" t="inlineStr">
        <is>
          <t>[Pb+2]</t>
        </is>
      </c>
      <c r="B340" s="2" t="inlineStr">
        <is>
          <t>lead(II) ion</t>
        </is>
      </c>
      <c r="C340" s="2" t="inlineStr">
        <is>
          <t>Pb(OAc)2</t>
        </is>
      </c>
      <c r="D340" s="2" t="inlineStr">
        <is>
          <t>additive</t>
        </is>
      </c>
      <c r="E340" s="2" t="inlineStr"/>
      <c r="F340" s="2" t="n"/>
      <c r="G340" s="2" t="n">
        <v>218</v>
      </c>
      <c r="H340" s="2" t="inlineStr"/>
      <c r="I340" s="2" t="inlineStr">
        <is>
          <t>From Pb(OAc)2; poisons Pd (Lindlar-type) so hydrogenation does not over-reduce or strip halogens.</t>
        </is>
      </c>
      <c r="J340" s="2" t="inlineStr">
        <is>
          <t>named and classified by a chemist agent; reviewed by an independent agent; PubChem's title for this SMILES was wrong (Lead, elemental (CID 73212)): The CID 73212 record is Pb2+, but its title says 'Lead, elemental'.</t>
        </is>
      </c>
    </row>
    <row r="341">
      <c r="A341" s="3" t="inlineStr">
        <is>
          <t>CCC(C)(C)O</t>
        </is>
      </c>
      <c r="B341" s="2" t="inlineStr">
        <is>
          <t>tert-amyl alcohol (2-methyl-2-butanol)</t>
        </is>
      </c>
      <c r="C341" s="2" t="inlineStr">
        <is>
          <t>t-AmOH</t>
        </is>
      </c>
      <c r="D341" s="2" t="inlineStr">
        <is>
          <t>solvent</t>
        </is>
      </c>
      <c r="E341" s="2" t="inlineStr"/>
      <c r="F341" s="2" t="n"/>
      <c r="G341" s="2" t="n">
        <v>217</v>
      </c>
      <c r="H341" s="2" t="inlineStr">
        <is>
          <t>2-Methyl-2-butanol (CID 6405)</t>
        </is>
      </c>
      <c r="I341" s="2" t="inlineStr">
        <is>
          <t>Common solvent for Pd-catalyzed Buchwald-Hartwig amination.</t>
        </is>
      </c>
      <c r="J341" s="2" t="inlineStr">
        <is>
          <t>named and classified by a chemist agent; reviewed by an independent agent</t>
        </is>
      </c>
    </row>
    <row r="342">
      <c r="A342" s="3" t="inlineStr">
        <is>
          <t>O=S(=O)=O</t>
        </is>
      </c>
      <c r="B342" s="2" t="inlineStr">
        <is>
          <t>sulfur trioxide</t>
        </is>
      </c>
      <c r="C342" s="2" t="inlineStr">
        <is>
          <t>SO3-py</t>
        </is>
      </c>
      <c r="D342" s="2" t="inlineStr">
        <is>
          <t>dehydrating / activating agent</t>
        </is>
      </c>
      <c r="E342" s="2" t="inlineStr">
        <is>
          <t>oxidant</t>
        </is>
      </c>
      <c r="F342" s="2" t="n"/>
      <c r="G342" s="2" t="n">
        <v>217</v>
      </c>
      <c r="H342" s="2" t="inlineStr">
        <is>
          <t>Sulfur trioxide (CID 24682)</t>
        </is>
      </c>
      <c r="I342" s="2" t="inlineStr">
        <is>
          <t>As SO3-pyridine it activates DMSO (Parikh-Doering) to oxidize a primary alcohol to the aldehyde.</t>
        </is>
      </c>
      <c r="J342" s="2" t="inlineStr">
        <is>
          <t>named and classified by a chemist agent; reviewed by an independent agent</t>
        </is>
      </c>
    </row>
    <row r="343">
      <c r="A343" s="3" t="inlineStr">
        <is>
          <t>CCCP(=O)=O</t>
        </is>
      </c>
      <c r="B343" s="2" t="inlineStr">
        <is>
          <t>propylphosphonic anhydride (monomer unit)</t>
        </is>
      </c>
      <c r="C343" s="2" t="inlineStr">
        <is>
          <t>T3P</t>
        </is>
      </c>
      <c r="D343" s="2" t="inlineStr">
        <is>
          <t>coupling reagent (activates an acid)</t>
        </is>
      </c>
      <c r="E343" s="2" t="inlineStr"/>
      <c r="F343" s="2" t="n"/>
      <c r="G343" s="2" t="n">
        <v>216</v>
      </c>
      <c r="H343" s="2" t="inlineStr">
        <is>
          <t>Propylphosphoric anhydride (CID 16167369)</t>
        </is>
      </c>
      <c r="I343" s="2" t="inlineStr">
        <is>
          <t>The cyclic trimer drawn as one unit; activates acids for amide coupling with little epimerization.</t>
        </is>
      </c>
      <c r="J343" s="2" t="inlineStr">
        <is>
          <t>named and classified by a chemist agent; reviewed by an independent agent</t>
        </is>
      </c>
    </row>
    <row r="344">
      <c r="A344" s="3" t="inlineStr">
        <is>
          <t>COc1ccc(OC)c(P(C2CCCCC2)C2CCCCC2)c1-c1c(C(C)C)cc(C(C)C)cc1C(C)C</t>
        </is>
      </c>
      <c r="B344" s="2" t="inlineStr">
        <is>
          <t>BrettPhos</t>
        </is>
      </c>
      <c r="C344" s="2" t="inlineStr">
        <is>
          <t>BrettPhos</t>
        </is>
      </c>
      <c r="D344" s="2" t="inlineStr">
        <is>
          <t>ligand</t>
        </is>
      </c>
      <c r="E344" s="2" t="inlineStr"/>
      <c r="F344" s="2" t="n"/>
      <c r="G344" s="2" t="n">
        <v>216</v>
      </c>
      <c r="H344" s="2" t="inlineStr">
        <is>
          <t>Brettphos (CID 25112535)</t>
        </is>
      </c>
      <c r="I344" s="2" t="inlineStr">
        <is>
          <t>Bulky biaryl phosphine for Pd-catalyzed amination with primary amines and anilines.</t>
        </is>
      </c>
      <c r="J344" s="2" t="inlineStr">
        <is>
          <t>named and classified by a chemist agent; reviewed by an independent agent</t>
        </is>
      </c>
    </row>
    <row r="345">
      <c r="A345" s="3" t="inlineStr">
        <is>
          <t>[Ce+3]</t>
        </is>
      </c>
      <c r="B345" s="2" t="inlineStr">
        <is>
          <t>cerium(III) ion</t>
        </is>
      </c>
      <c r="C345" s="2" t="inlineStr">
        <is>
          <t>CeCl3</t>
        </is>
      </c>
      <c r="D345" s="2" t="inlineStr">
        <is>
          <t>Lewis acid</t>
        </is>
      </c>
      <c r="E345" s="2" t="inlineStr"/>
      <c r="F345" s="2" t="n"/>
      <c r="G345" s="2" t="n">
        <v>215</v>
      </c>
      <c r="H345" s="2" t="inlineStr">
        <is>
          <t>Cerium(3+) (CID 114853)</t>
        </is>
      </c>
      <c r="I345" s="2" t="inlineStr">
        <is>
          <t>From CeCl3-7H2O with NaI; cleaves an aryl methyl ether next to a ketone.</t>
        </is>
      </c>
      <c r="J345" s="2" t="inlineStr">
        <is>
          <t>named and classified by a chemist agent; reviewed by an independent agent</t>
        </is>
      </c>
    </row>
    <row r="346">
      <c r="A346" s="3" t="inlineStr">
        <is>
          <t>CC(C)(C)P([c-]1cccc1)C(C)(C)C</t>
        </is>
      </c>
      <c r="B346" s="2" t="inlineStr">
        <is>
          <t>(di-tert-butylphosphino)cyclopentadienide</t>
        </is>
      </c>
      <c r="C346" s="2" t="inlineStr">
        <is>
          <t>dtbpf</t>
        </is>
      </c>
      <c r="D346" s="2" t="inlineStr">
        <is>
          <t>ligand</t>
        </is>
      </c>
      <c r="E346" s="2" t="inlineStr"/>
      <c r="F346" s="2" t="n"/>
      <c r="G346" s="2" t="n">
        <v>215</v>
      </c>
      <c r="H346" s="2" t="inlineStr"/>
      <c r="I346" s="2" t="inlineStr">
        <is>
          <t>One half of the ferrocene ligand dtbpf, as in Pd(dtbpf)Cl2 for Suzuki coupling.</t>
        </is>
      </c>
      <c r="J346" s="2" t="inlineStr">
        <is>
          <t>named and classified by a chemist agent; reviewed by an independent agent; PubChem's title for this SMILES was wrong (Ditert-butyl(cyclopenta-1,3-dien-1-yl)phosphane (CID 11984908)): An aromatic Cp anion, C13H22P-. The PubChem title names the neutral cyclopentadiene phosphane.</t>
        </is>
      </c>
    </row>
    <row r="347">
      <c r="A347" s="3" t="inlineStr">
        <is>
          <t>CN1CCN(C)C1=O</t>
        </is>
      </c>
      <c r="B347" s="2" t="inlineStr">
        <is>
          <t>1,3-dimethyl-2-imidazolidinone</t>
        </is>
      </c>
      <c r="C347" s="2" t="inlineStr">
        <is>
          <t>DMI</t>
        </is>
      </c>
      <c r="D347" s="2" t="inlineStr">
        <is>
          <t>solvent</t>
        </is>
      </c>
      <c r="E347" s="2" t="inlineStr"/>
      <c r="F347" s="2" t="n"/>
      <c r="G347" s="2" t="n">
        <v>214</v>
      </c>
      <c r="H347" s="2" t="inlineStr">
        <is>
          <t>1,3-Dimethyl-2-imidazolidinone (CID 6661)</t>
        </is>
      </c>
      <c r="I347" s="2" t="inlineStr">
        <is>
          <t>Polar aprotic solvent (replacement for HMPA).</t>
        </is>
      </c>
      <c r="J347" s="2" t="inlineStr">
        <is>
          <t>named and classified by a chemist agent; reviewed by an independent agent</t>
        </is>
      </c>
    </row>
    <row r="348">
      <c r="A348" s="3" t="inlineStr">
        <is>
          <t>O=C(OC(Cl)(Cl)Cl)OC(Cl)(Cl)Cl</t>
        </is>
      </c>
      <c r="B348" s="2" t="inlineStr">
        <is>
          <t>triphosgene</t>
        </is>
      </c>
      <c r="C348" s="2" t="inlineStr">
        <is>
          <t>BTC</t>
        </is>
      </c>
      <c r="D348" s="2" t="inlineStr">
        <is>
          <t>dehydrating / activating agent</t>
        </is>
      </c>
      <c r="E348" s="2" t="inlineStr">
        <is>
          <t>electrophile / alkylating agent</t>
        </is>
      </c>
      <c r="F348" s="2" t="n"/>
      <c r="G348" s="2" t="n">
        <v>214</v>
      </c>
      <c r="H348" s="2" t="inlineStr">
        <is>
          <t>Triphosgene (CID 94429)</t>
        </is>
      </c>
      <c r="I348" s="2" t="inlineStr">
        <is>
          <t>Solid stand-in for phosgene; makes isocyanates, ureas, carbamates and chloroformates.</t>
        </is>
      </c>
      <c r="J348" s="2" t="inlineStr">
        <is>
          <t>named and classified by a chemist agent; reviewed by an independent agent</t>
        </is>
      </c>
    </row>
    <row r="349">
      <c r="A349" s="3" t="inlineStr">
        <is>
          <t>Sc1ccccc1</t>
        </is>
      </c>
      <c r="B349" s="2" t="inlineStr">
        <is>
          <t>thiophenol</t>
        </is>
      </c>
      <c r="C349" s="2" t="inlineStr">
        <is>
          <t>PhSH</t>
        </is>
      </c>
      <c r="D349" s="2" t="inlineStr">
        <is>
          <t>nucleophile</t>
        </is>
      </c>
      <c r="E349" s="2" t="inlineStr">
        <is>
          <t>deprotecting agent</t>
        </is>
      </c>
      <c r="F349" s="2" t="n"/>
      <c r="G349" s="2" t="n">
        <v>213</v>
      </c>
      <c r="H349" s="2" t="inlineStr">
        <is>
          <t>Thiophenol (CID 7969)</t>
        </is>
      </c>
      <c r="I349" s="2" t="inlineStr">
        <is>
          <t>Soft thiolate nucleophile; with K2CO3 in NMP it cleaves the methyl ester by SN2 demethylation.</t>
        </is>
      </c>
      <c r="J349" s="2" t="inlineStr">
        <is>
          <t>named and classified by a chemist agent; reviewed by an independent agent</t>
        </is>
      </c>
    </row>
    <row r="350">
      <c r="A350" s="3" t="inlineStr">
        <is>
          <t>C[n+]1ccccc1Cl</t>
        </is>
      </c>
      <c r="B350" s="2" t="inlineStr">
        <is>
          <t>2-chloro-1-methylpyridinium ion</t>
        </is>
      </c>
      <c r="C350" s="2" t="inlineStr">
        <is>
          <t>CMPI</t>
        </is>
      </c>
      <c r="D350" s="2" t="inlineStr">
        <is>
          <t>coupling reagent (activates an acid)</t>
        </is>
      </c>
      <c r="E350" s="2" t="inlineStr"/>
      <c r="F350" s="2" t="n"/>
      <c r="G350" s="2" t="n">
        <v>210</v>
      </c>
      <c r="H350" s="2" t="inlineStr">
        <is>
          <t>2-Chloro-1-methylpyridinium (CID 167070)</t>
        </is>
      </c>
      <c r="I350" s="2" t="inlineStr">
        <is>
          <t>Mukaiyama reagent (iodide salt); activates acids for amide or ester formation.</t>
        </is>
      </c>
      <c r="J350" s="2" t="inlineStr">
        <is>
          <t>named and classified by a chemist agent; reviewed by an independent agent</t>
        </is>
      </c>
    </row>
    <row r="351">
      <c r="A351" s="3" t="inlineStr">
        <is>
          <t>CN(C)C(N(C)C)=[N+]1N=[N+]([O-])c2ncccc21</t>
        </is>
      </c>
      <c r="B351" s="2" t="inlineStr">
        <is>
          <t>HATU (cation)</t>
        </is>
      </c>
      <c r="C351" s="2" t="inlineStr">
        <is>
          <t>HATU</t>
        </is>
      </c>
      <c r="D351" s="2" t="inlineStr">
        <is>
          <t>coupling reagent (activates an acid)</t>
        </is>
      </c>
      <c r="E351" s="2" t="inlineStr"/>
      <c r="F351" s="2" t="n"/>
      <c r="G351" s="2" t="n">
        <v>210</v>
      </c>
      <c r="H351" s="2" t="inlineStr">
        <is>
          <t>N,N,N',N'-Tetramethyl-1-(3-oxidotriazolo[4,5-b]pyridine-1,3-diium-1-ylidene)methanediamine (CID 6409674)</t>
        </is>
      </c>
      <c r="I351" s="2" t="inlineStr">
        <is>
          <t>With PF6- and DIPEA it forms OAt active esters for fast amide coupling.</t>
        </is>
      </c>
      <c r="J351" s="2" t="inlineStr">
        <is>
          <t>named and classified by a chemist agent; reviewed by an independent agent</t>
        </is>
      </c>
    </row>
    <row r="352">
      <c r="A352" s="3" t="inlineStr">
        <is>
          <t>NCCO</t>
        </is>
      </c>
      <c r="B352" s="2" t="inlineStr">
        <is>
          <t>ethanolamine</t>
        </is>
      </c>
      <c r="C352" s="2" t="inlineStr"/>
      <c r="D352" s="2" t="inlineStr">
        <is>
          <t>base</t>
        </is>
      </c>
      <c r="E352" s="2" t="inlineStr">
        <is>
          <t>nucleophile</t>
        </is>
      </c>
      <c r="F352" s="2" t="n">
        <v>9.5</v>
      </c>
      <c r="G352" s="2" t="n">
        <v>209</v>
      </c>
      <c r="H352" s="2" t="inlineStr">
        <is>
          <t>Ethanolamine (CID 700)</t>
        </is>
      </c>
      <c r="I352" s="2" t="inlineStr">
        <is>
          <t>2-Aminoethanol (pKa in water); a base, solvent or nucleophile. Its role here (with HI) is unclear.</t>
        </is>
      </c>
      <c r="J352" s="2" t="inlineStr">
        <is>
          <t>named and classified by a chemist agent; reviewed by an independent agent</t>
        </is>
      </c>
    </row>
    <row r="353">
      <c r="A353" s="3" t="inlineStr">
        <is>
          <t>CCC(C)[BH-](C(C)CC)C(C)CC</t>
        </is>
      </c>
      <c r="B353" s="2" t="inlineStr">
        <is>
          <t>tri-sec-butylborohydride ion</t>
        </is>
      </c>
      <c r="C353" s="2" t="inlineStr">
        <is>
          <t>L-Selectride</t>
        </is>
      </c>
      <c r="D353" s="2" t="inlineStr">
        <is>
          <t>reductant</t>
        </is>
      </c>
      <c r="E353" s="2" t="inlineStr">
        <is>
          <t>deprotecting agent</t>
        </is>
      </c>
      <c r="F353" s="2" t="n"/>
      <c r="G353" s="2" t="n">
        <v>208</v>
      </c>
      <c r="H353" s="2" t="inlineStr">
        <is>
          <t>Tri(butan-2-yl)boranuide (CID 2723990)</t>
        </is>
      </c>
      <c r="I353" s="2" t="inlineStr">
        <is>
          <t>From L-Selectride (Li+); bulky hydride that here cleaves an aryl methyl ether.</t>
        </is>
      </c>
      <c r="J353" s="2" t="inlineStr">
        <is>
          <t>named and classified by a chemist agent; reviewed by an independent agent</t>
        </is>
      </c>
    </row>
    <row r="354">
      <c r="A354" s="3" t="inlineStr">
        <is>
          <t>Oc1cccc2cccnc12</t>
        </is>
      </c>
      <c r="B354" s="2" t="inlineStr">
        <is>
          <t>8-hydroxyquinoline</t>
        </is>
      </c>
      <c r="C354" s="2" t="inlineStr">
        <is>
          <t>8-HQ</t>
        </is>
      </c>
      <c r="D354" s="2" t="inlineStr">
        <is>
          <t>ligand</t>
        </is>
      </c>
      <c r="E354" s="2" t="inlineStr"/>
      <c r="F354" s="2" t="n"/>
      <c r="G354" s="2" t="n">
        <v>206</v>
      </c>
      <c r="H354" s="2" t="inlineStr">
        <is>
          <t>8-Hydroxyquinoline (CID 1923)</t>
        </is>
      </c>
      <c r="I354" s="2" t="inlineStr">
        <is>
          <t>N,O-ligand for Cu-catalyzed N-arylation of azoles.</t>
        </is>
      </c>
      <c r="J354" s="2" t="inlineStr">
        <is>
          <t>named and classified by a chemist agent; reviewed by an independent agent</t>
        </is>
      </c>
    </row>
    <row r="355">
      <c r="A355" s="3" t="inlineStr">
        <is>
          <t>NS(=O)(=O)Cl</t>
        </is>
      </c>
      <c r="B355" s="2" t="inlineStr">
        <is>
          <t>sulfamoyl chloride</t>
        </is>
      </c>
      <c r="C355" s="2" t="inlineStr"/>
      <c r="D355" s="2" t="inlineStr">
        <is>
          <t>electrophile / alkylating agent</t>
        </is>
      </c>
      <c r="E355" s="2" t="inlineStr"/>
      <c r="F355" s="2" t="n"/>
      <c r="G355" s="2" t="n">
        <v>205</v>
      </c>
      <c r="H355" s="2" t="inlineStr">
        <is>
          <t>Chlorosulfamic acid (CID 24499)</t>
        </is>
      </c>
      <c r="I355" s="2" t="inlineStr">
        <is>
          <t>Sulfamoylates alcohols (with NaH) to give sulfamates ROSO2NH2.</t>
        </is>
      </c>
      <c r="J355" s="2" t="inlineStr">
        <is>
          <t>named and classified by a chemist agent; reviewed by an independent agent</t>
        </is>
      </c>
    </row>
    <row r="356">
      <c r="A356" s="3" t="inlineStr">
        <is>
          <t>CN(C)C(=N)N(C)C</t>
        </is>
      </c>
      <c r="B356" s="2" t="inlineStr">
        <is>
          <t>1,1,3,3-tetramethylguanidine</t>
        </is>
      </c>
      <c r="C356" s="2" t="inlineStr">
        <is>
          <t>TMG</t>
        </is>
      </c>
      <c r="D356" s="2" t="inlineStr">
        <is>
          <t>base</t>
        </is>
      </c>
      <c r="E356" s="2" t="inlineStr"/>
      <c r="F356" s="2" t="n">
        <v>13.6</v>
      </c>
      <c r="G356" s="2" t="n">
        <v>204</v>
      </c>
      <c r="H356" s="2" t="inlineStr">
        <is>
          <t>1,1,3,3-Tetramethylguanidine (CID 66460)</t>
        </is>
      </c>
      <c r="I356" s="2" t="inlineStr">
        <is>
          <t>Strong neutral guanidine base (pKa in water).</t>
        </is>
      </c>
      <c r="J356" s="2" t="inlineStr">
        <is>
          <t>named and classified by a chemist agent; reviewed by an independent agent</t>
        </is>
      </c>
    </row>
    <row r="357">
      <c r="A357" s="3" t="inlineStr">
        <is>
          <t>NCCc1[c-]cccc1</t>
        </is>
      </c>
      <c r="B357" s="2" t="inlineStr">
        <is>
          <t>2-(2-aminoethyl)phenyl anion</t>
        </is>
      </c>
      <c r="C357" s="2" t="inlineStr"/>
      <c r="D357" s="2" t="inlineStr">
        <is>
          <t>ligand</t>
        </is>
      </c>
      <c r="E357" s="2" t="inlineStr">
        <is>
          <t>catalyst (metal)</t>
        </is>
      </c>
      <c r="F357" s="2" t="n"/>
      <c r="G357" s="2" t="n">
        <v>203</v>
      </c>
      <c r="H357" s="2" t="inlineStr"/>
      <c r="I357" s="2" t="inlineStr">
        <is>
          <t>Phenethylamine palladacycle fragment of first-generation Buchwald precatalysts (e.g., XPhos Pd G1).</t>
        </is>
      </c>
      <c r="J357" s="2" t="inlineStr">
        <is>
          <t>named and classified by a chemist agent; reviewed by an independent agent</t>
        </is>
      </c>
    </row>
    <row r="358">
      <c r="A358" s="3" t="inlineStr">
        <is>
          <t>CC(C)(C)[PH+](C(C)(C)C)C(C)(C)C</t>
        </is>
      </c>
      <c r="B358" s="2" t="inlineStr">
        <is>
          <t>tri-tert-butylphosphonium ion</t>
        </is>
      </c>
      <c r="C358" s="2" t="inlineStr">
        <is>
          <t>[HP(tBu)3]BF4</t>
        </is>
      </c>
      <c r="D358" s="2" t="inlineStr">
        <is>
          <t>ligand</t>
        </is>
      </c>
      <c r="E358" s="2" t="inlineStr"/>
      <c r="F358" s="2" t="n"/>
      <c r="G358" s="2" t="n">
        <v>202</v>
      </c>
      <c r="H358" s="2" t="inlineStr">
        <is>
          <t>Tri-t-butylphosphonium (CID 4060964)</t>
        </is>
      </c>
      <c r="I358" s="2" t="inlineStr">
        <is>
          <t>Air-stable salt that releases the P(tBu)3 ligand when base is added.</t>
        </is>
      </c>
      <c r="J358" s="2" t="inlineStr">
        <is>
          <t>named and classified by a chemist agent; reviewed by an independent agent</t>
        </is>
      </c>
    </row>
    <row r="359">
      <c r="A359" s="3" t="inlineStr">
        <is>
          <t>CN1CCCC1</t>
        </is>
      </c>
      <c r="B359" s="2" t="inlineStr">
        <is>
          <t>N-methylpyrrolidine</t>
        </is>
      </c>
      <c r="C359" s="2" t="inlineStr"/>
      <c r="D359" s="2" t="inlineStr">
        <is>
          <t>base</t>
        </is>
      </c>
      <c r="E359" s="2" t="inlineStr"/>
      <c r="F359" s="2" t="n">
        <v>10.3</v>
      </c>
      <c r="G359" s="2" t="n">
        <v>200</v>
      </c>
      <c r="H359" s="2" t="inlineStr">
        <is>
          <t>1-Methylpyrrolidine (CID 8454)</t>
        </is>
      </c>
      <c r="I359" s="2" t="inlineStr">
        <is>
          <t>Tertiary amine base (pKa in water).</t>
        </is>
      </c>
      <c r="J359" s="2" t="inlineStr">
        <is>
          <t>named and classified by a chemist agent; reviewed by an independent agent</t>
        </is>
      </c>
    </row>
    <row r="360">
      <c r="A360" s="3" t="inlineStr">
        <is>
          <t>Oc1ccc(O)cc1</t>
        </is>
      </c>
      <c r="B360" s="2" t="inlineStr">
        <is>
          <t>hydroquinone</t>
        </is>
      </c>
      <c r="C360" s="2" t="inlineStr"/>
      <c r="D360" s="2" t="inlineStr">
        <is>
          <t>additive</t>
        </is>
      </c>
      <c r="E360" s="2" t="inlineStr"/>
      <c r="F360" s="2" t="n"/>
      <c r="G360" s="2" t="n">
        <v>199</v>
      </c>
      <c r="H360" s="2" t="inlineStr">
        <is>
          <t>Hydroquinone (CID 785)</t>
        </is>
      </c>
      <c r="I360" s="2" t="inlineStr">
        <is>
          <t>Antioxidant / radical inhibitor; incidental in this SNAr diaryl-ether example.</t>
        </is>
      </c>
      <c r="J360" s="2" t="inlineStr">
        <is>
          <t>named and classified by a chemist agent; reviewed by an independent agent</t>
        </is>
      </c>
    </row>
    <row r="361">
      <c r="A361" s="3" t="inlineStr">
        <is>
          <t>CCN(CC)c1ccccc1</t>
        </is>
      </c>
      <c r="B361" s="2" t="inlineStr">
        <is>
          <t>N,N-diethylaniline</t>
        </is>
      </c>
      <c r="C361" s="2" t="inlineStr"/>
      <c r="D361" s="2" t="inlineStr">
        <is>
          <t>base</t>
        </is>
      </c>
      <c r="E361" s="2" t="inlineStr"/>
      <c r="F361" s="2" t="n">
        <v>6.6</v>
      </c>
      <c r="G361" s="2" t="n">
        <v>198</v>
      </c>
      <c r="H361" s="2" t="inlineStr">
        <is>
          <t>N,N-Diethylaniline (CID 7061)</t>
        </is>
      </c>
      <c r="I361" s="2" t="inlineStr">
        <is>
          <t>Weak aromatic amine base (pKa in water); mops up acid in acyl chloride reactions.</t>
        </is>
      </c>
      <c r="J361" s="2" t="inlineStr">
        <is>
          <t>named and classified by a chemist agent; reviewed by an independent agent</t>
        </is>
      </c>
    </row>
    <row r="362">
      <c r="A362" s="3" t="inlineStr">
        <is>
          <t>Cn1ccnc1</t>
        </is>
      </c>
      <c r="B362" s="2" t="inlineStr">
        <is>
          <t>1-methylimidazole</t>
        </is>
      </c>
      <c r="C362" s="2" t="inlineStr">
        <is>
          <t>NMI</t>
        </is>
      </c>
      <c r="D362" s="2" t="inlineStr">
        <is>
          <t>base</t>
        </is>
      </c>
      <c r="E362" s="2" t="inlineStr">
        <is>
          <t>additive</t>
        </is>
      </c>
      <c r="F362" s="2" t="n">
        <v>7</v>
      </c>
      <c r="G362" s="2" t="n">
        <v>197</v>
      </c>
      <c r="H362" s="2" t="inlineStr">
        <is>
          <t>1-Methylimidazole (CID 1390)</t>
        </is>
      </c>
      <c r="I362" s="2" t="inlineStr">
        <is>
          <t>Base and nucleophilic acylation catalyst (pKa in water); probably from an earlier acylation step.</t>
        </is>
      </c>
      <c r="J362" s="2" t="inlineStr">
        <is>
          <t>named and classified by a chemist agent; reviewed by an independent agent</t>
        </is>
      </c>
    </row>
    <row r="363">
      <c r="A363" s="3" t="inlineStr">
        <is>
          <t>COC(=O)Cl</t>
        </is>
      </c>
      <c r="B363" s="2" t="inlineStr">
        <is>
          <t>methyl chloroformate</t>
        </is>
      </c>
      <c r="C363" s="2" t="inlineStr">
        <is>
          <t>ClCO2Me</t>
        </is>
      </c>
      <c r="D363" s="2" t="inlineStr">
        <is>
          <t>coupling reagent (activates an acid)</t>
        </is>
      </c>
      <c r="E363" s="2" t="inlineStr">
        <is>
          <t>protecting-group reagent</t>
        </is>
      </c>
      <c r="F363" s="2" t="n"/>
      <c r="G363" s="2" t="n">
        <v>197</v>
      </c>
      <c r="H363" s="2" t="inlineStr">
        <is>
          <t>Methyl chloroformate (CID 6586)</t>
        </is>
      </c>
      <c r="I363" s="2" t="inlineStr">
        <is>
          <t>Makes a mixed carbonic anhydride from the acid (with Et3N) for amide coupling.</t>
        </is>
      </c>
      <c r="J363" s="2" t="inlineStr">
        <is>
          <t>named and classified by a chemist agent; reviewed by an independent agent</t>
        </is>
      </c>
    </row>
    <row r="364">
      <c r="A364" s="3" t="inlineStr">
        <is>
          <t>ICI</t>
        </is>
      </c>
      <c r="B364" s="2" t="inlineStr">
        <is>
          <t>diiodomethane</t>
        </is>
      </c>
      <c r="C364" s="2" t="inlineStr">
        <is>
          <t>CH2I2</t>
        </is>
      </c>
      <c r="D364" s="2" t="inlineStr">
        <is>
          <t>electrophile / alkylating agent</t>
        </is>
      </c>
      <c r="E364" s="2" t="inlineStr"/>
      <c r="F364" s="2" t="n"/>
      <c r="G364" s="2" t="n">
        <v>197</v>
      </c>
      <c r="H364" s="2" t="inlineStr">
        <is>
          <t>Diiodomethane (CID 6346)</t>
        </is>
      </c>
      <c r="I364" s="2" t="inlineStr">
        <is>
          <t>Carbenoid source with Et2Zn or Zn-Cu for Simmons-Smith cyclopropanation.</t>
        </is>
      </c>
      <c r="J364" s="2" t="inlineStr">
        <is>
          <t>named and classified by a chemist agent; reviewed by an independent agent</t>
        </is>
      </c>
    </row>
    <row r="365">
      <c r="A365" s="3" t="inlineStr">
        <is>
          <t>CCBr</t>
        </is>
      </c>
      <c r="B365" s="2" t="inlineStr">
        <is>
          <t>bromoethane</t>
        </is>
      </c>
      <c r="C365" s="2" t="inlineStr">
        <is>
          <t>EtBr</t>
        </is>
      </c>
      <c r="D365" s="2" t="inlineStr">
        <is>
          <t>electrophile / alkylating agent</t>
        </is>
      </c>
      <c r="E365" s="2" t="inlineStr"/>
      <c r="F365" s="2" t="n"/>
      <c r="G365" s="2" t="n">
        <v>196</v>
      </c>
      <c r="H365" s="2" t="inlineStr">
        <is>
          <t>Ethyl Bromide (CID 6332)</t>
        </is>
      </c>
      <c r="I365" s="2" t="inlineStr">
        <is>
          <t>Ethylating agent; its role in this demethylation record is unclear.</t>
        </is>
      </c>
      <c r="J365" s="2" t="inlineStr">
        <is>
          <t>named and classified by a chemist agent; reviewed by an independent agent</t>
        </is>
      </c>
    </row>
    <row r="366">
      <c r="A366" s="3" t="inlineStr">
        <is>
          <t>CCCCN</t>
        </is>
      </c>
      <c r="B366" s="2" t="inlineStr">
        <is>
          <t>n-butylamine</t>
        </is>
      </c>
      <c r="C366" s="2" t="inlineStr">
        <is>
          <t>nBuNH2</t>
        </is>
      </c>
      <c r="D366" s="2" t="inlineStr">
        <is>
          <t>base</t>
        </is>
      </c>
      <c r="E366" s="2" t="inlineStr">
        <is>
          <t>nucleophile</t>
        </is>
      </c>
      <c r="F366" s="2" t="n">
        <v>10.6</v>
      </c>
      <c r="G366" s="2" t="n">
        <v>196</v>
      </c>
      <c r="H366" s="2" t="inlineStr">
        <is>
          <t>Butylamine (CID 8007)</t>
        </is>
      </c>
      <c r="I366" s="2" t="inlineStr">
        <is>
          <t>Amine base in Sonogashira coupling (pKa in water).</t>
        </is>
      </c>
      <c r="J366" s="2" t="inlineStr">
        <is>
          <t>named and classified by a chemist agent; reviewed by an independent agent</t>
        </is>
      </c>
    </row>
    <row r="367">
      <c r="A367" s="3" t="inlineStr">
        <is>
          <t>[O]=[Cu-]</t>
        </is>
      </c>
      <c r="B367" s="2" t="inlineStr">
        <is>
          <t>copper(I) oxide</t>
        </is>
      </c>
      <c r="C367" s="2" t="inlineStr">
        <is>
          <t>Cu2O</t>
        </is>
      </c>
      <c r="D367" s="2" t="inlineStr">
        <is>
          <t>catalyst (metal)</t>
        </is>
      </c>
      <c r="E367" s="2" t="inlineStr"/>
      <c r="F367" s="2" t="n"/>
      <c r="G367" s="2" t="n">
        <v>196</v>
      </c>
      <c r="H367" s="2" t="inlineStr"/>
      <c r="I367" s="2" t="inlineStr">
        <is>
          <t>Cu2O fragment; Ullmann diaryl ether formation with a salicylaldoxime ligand and Cs2CO3.</t>
        </is>
      </c>
      <c r="J367" s="2" t="inlineStr">
        <is>
          <t>named and classified by a chemist agent; reviewed by an independent agent</t>
        </is>
      </c>
    </row>
    <row r="368">
      <c r="A368" s="3" t="inlineStr">
        <is>
          <t>CC[NH+](CC)CC</t>
        </is>
      </c>
      <c r="B368" s="2" t="inlineStr">
        <is>
          <t>triethylammonium ion</t>
        </is>
      </c>
      <c r="C368" s="2" t="inlineStr">
        <is>
          <t>Et3NH+</t>
        </is>
      </c>
      <c r="D368" s="2" t="inlineStr">
        <is>
          <t>counter-ion / spectator ion</t>
        </is>
      </c>
      <c r="E368" s="2" t="inlineStr"/>
      <c r="F368" s="2" t="n"/>
      <c r="G368" s="2" t="n">
        <v>194</v>
      </c>
      <c r="H368" s="2" t="inlineStr">
        <is>
          <t>Triethylammonium (CID 1385867)</t>
        </is>
      </c>
      <c r="I368" s="2" t="inlineStr">
        <is>
          <t>Protonated Et3N, the cation of triethylammonium salts.</t>
        </is>
      </c>
      <c r="J368" s="2" t="inlineStr">
        <is>
          <t>named and classified by a chemist agent; reviewed by an independent agent</t>
        </is>
      </c>
    </row>
    <row r="369">
      <c r="A369" s="3" t="inlineStr">
        <is>
          <t>CCC(=O)O</t>
        </is>
      </c>
      <c r="B369" s="2" t="inlineStr">
        <is>
          <t>propanoic acid</t>
        </is>
      </c>
      <c r="C369" s="2" t="inlineStr">
        <is>
          <t>EtCO2H</t>
        </is>
      </c>
      <c r="D369" s="2" t="inlineStr">
        <is>
          <t>solvent</t>
        </is>
      </c>
      <c r="E369" s="2" t="inlineStr">
        <is>
          <t>acid</t>
        </is>
      </c>
      <c r="F369" s="2" t="n"/>
      <c r="G369" s="2" t="n">
        <v>192</v>
      </c>
      <c r="H369" s="2" t="inlineStr">
        <is>
          <t>Propionic Acid (CID 1032)</t>
        </is>
      </c>
      <c r="I369" s="2" t="inlineStr">
        <is>
          <t>Acidic co-solvent with HBr for aryl methyl ether cleavage.</t>
        </is>
      </c>
      <c r="J369" s="2" t="inlineStr">
        <is>
          <t>named and classified by a chemist agent; reviewed by an independent agent</t>
        </is>
      </c>
    </row>
    <row r="370">
      <c r="A370" s="3" t="inlineStr">
        <is>
          <t>CC[N+](CC)(CC)S(=O)(=O)N=C([O-])OC</t>
        </is>
      </c>
      <c r="B370" s="2" t="inlineStr">
        <is>
          <t>Burgess reagent</t>
        </is>
      </c>
      <c r="C370" s="2" t="inlineStr"/>
      <c r="D370" s="2" t="inlineStr">
        <is>
          <t>dehydrating / activating agent</t>
        </is>
      </c>
      <c r="E370" s="2" t="inlineStr"/>
      <c r="F370" s="2" t="n"/>
      <c r="G370" s="2" t="n">
        <v>189</v>
      </c>
      <c r="H370" s="2" t="inlineStr">
        <is>
          <t>Methyl N-(triethylammoniosulfonyl)carbamate (CID 2724994)</t>
        </is>
      </c>
      <c r="I370" s="2" t="inlineStr">
        <is>
          <t>Methyl N-(triethylammoniosulfonyl)carbamate; dehydrates the primary amide to a nitrile.</t>
        </is>
      </c>
      <c r="J370" s="2" t="inlineStr">
        <is>
          <t>named and classified by a chemist agent; reviewed by an independent agent</t>
        </is>
      </c>
    </row>
    <row r="371">
      <c r="A371" s="3" t="inlineStr">
        <is>
          <t>C[N+](C)(C)C</t>
        </is>
      </c>
      <c r="B371" s="2" t="inlineStr">
        <is>
          <t>tetramethylammonium ion</t>
        </is>
      </c>
      <c r="C371" s="2" t="inlineStr">
        <is>
          <t>Me4N+</t>
        </is>
      </c>
      <c r="D371" s="2" t="inlineStr">
        <is>
          <t>counter-ion / spectator ion</t>
        </is>
      </c>
      <c r="E371" s="2" t="inlineStr">
        <is>
          <t>phase-transfer catalyst</t>
        </is>
      </c>
      <c r="F371" s="2" t="n"/>
      <c r="G371" s="2" t="n">
        <v>186</v>
      </c>
      <c r="H371" s="2" t="inlineStr">
        <is>
          <t>Tetramethylammonium (CID 6380)</t>
        </is>
      </c>
      <c r="I371" s="2" t="inlineStr">
        <is>
          <t>From Me4NOH; spectator cation of the hydroxide base.</t>
        </is>
      </c>
      <c r="J371" s="2" t="inlineStr">
        <is>
          <t>named and classified by a chemist agent; reviewed by an independent agent</t>
        </is>
      </c>
    </row>
    <row r="372">
      <c r="A372" s="3" t="inlineStr">
        <is>
          <t>CC(C)=C(Cl)N(C)C</t>
        </is>
      </c>
      <c r="B372" s="2" t="inlineStr">
        <is>
          <t>1-chloro-N,N,2-trimethyl-1-propenylamine</t>
        </is>
      </c>
      <c r="C372" s="2" t="inlineStr">
        <is>
          <t>Ghosez reagent</t>
        </is>
      </c>
      <c r="D372" s="2" t="inlineStr">
        <is>
          <t>halogenating agent</t>
        </is>
      </c>
      <c r="E372" s="2" t="inlineStr">
        <is>
          <t>coupling reagent (activates an acid)</t>
        </is>
      </c>
      <c r="F372" s="2" t="n"/>
      <c r="G372" s="2" t="n">
        <v>186</v>
      </c>
      <c r="H372" s="2" t="inlineStr">
        <is>
          <t>1-Chloro-N,N-2-trimethylpropenylamine (CID 640792)</t>
        </is>
      </c>
      <c r="I372" s="2" t="inlineStr">
        <is>
          <t>Turns acids into acid chlorides under neutral conditions for amide coupling.</t>
        </is>
      </c>
      <c r="J372" s="2" t="inlineStr">
        <is>
          <t>named and classified by a chemist agent; reviewed by an independent agent</t>
        </is>
      </c>
    </row>
    <row r="373">
      <c r="A373" s="3" t="inlineStr">
        <is>
          <t>NOS(=O)(=O)O</t>
        </is>
      </c>
      <c r="B373" s="2" t="inlineStr">
        <is>
          <t>hydroxylamine-O-sulfonic acid</t>
        </is>
      </c>
      <c r="C373" s="2" t="inlineStr">
        <is>
          <t>HOSA</t>
        </is>
      </c>
      <c r="D373" s="2" t="inlineStr">
        <is>
          <t>reductant</t>
        </is>
      </c>
      <c r="E373" s="2" t="inlineStr"/>
      <c r="F373" s="2" t="n"/>
      <c r="G373" s="2" t="n">
        <v>185</v>
      </c>
      <c r="H373" s="2" t="inlineStr">
        <is>
          <t>hydroxylamine-O-sulfonic acid (CID 76284)</t>
        </is>
      </c>
      <c r="I373" s="2" t="inlineStr">
        <is>
          <t>With NH2OH/NaOH it makes diimide, which reduces the C=C here; also an electrophilic aminating agent.</t>
        </is>
      </c>
      <c r="J373" s="2" t="inlineStr">
        <is>
          <t>named and classified by a chemist agent; reviewed by an independent agent</t>
        </is>
      </c>
    </row>
    <row r="374">
      <c r="A374" s="3" t="inlineStr">
        <is>
          <t>CCS</t>
        </is>
      </c>
      <c r="B374" s="2" t="inlineStr">
        <is>
          <t>ethanethiol</t>
        </is>
      </c>
      <c r="C374" s="2" t="inlineStr">
        <is>
          <t>EtSH</t>
        </is>
      </c>
      <c r="D374" s="2" t="inlineStr">
        <is>
          <t>nucleophile</t>
        </is>
      </c>
      <c r="E374" s="2" t="inlineStr">
        <is>
          <t>deprotecting agent</t>
        </is>
      </c>
      <c r="F374" s="2" t="n"/>
      <c r="G374" s="2" t="n">
        <v>181</v>
      </c>
      <c r="H374" s="2" t="inlineStr">
        <is>
          <t>Ethanethiol (CID 6343)</t>
        </is>
      </c>
      <c r="I374" s="2" t="inlineStr">
        <is>
          <t>With NaH it gives NaSEt, which demethylates aryl methyl ethers in DMF.</t>
        </is>
      </c>
      <c r="J374" s="2" t="inlineStr">
        <is>
          <t>named and classified by a chemist agent; reviewed by an independent agent</t>
        </is>
      </c>
    </row>
    <row r="375">
      <c r="A375" s="3" t="inlineStr">
        <is>
          <t>CP(C)C</t>
        </is>
      </c>
      <c r="B375" s="2" t="inlineStr">
        <is>
          <t>trimethylphosphine</t>
        </is>
      </c>
      <c r="C375" s="2" t="inlineStr">
        <is>
          <t>PMe3</t>
        </is>
      </c>
      <c r="D375" s="2" t="inlineStr">
        <is>
          <t>reductant</t>
        </is>
      </c>
      <c r="E375" s="2" t="inlineStr"/>
      <c r="F375" s="2" t="n"/>
      <c r="G375" s="2" t="n">
        <v>181</v>
      </c>
      <c r="H375" s="2" t="inlineStr">
        <is>
          <t>Trimethylphosphine (CID 68983)</t>
        </is>
      </c>
      <c r="I375" s="2" t="inlineStr">
        <is>
          <t>Staudinger reduction of an azide to the amine.</t>
        </is>
      </c>
      <c r="J375" s="2" t="inlineStr">
        <is>
          <t>named and classified by a chemist agent; reviewed by an independent agent</t>
        </is>
      </c>
    </row>
    <row r="376">
      <c r="A376" s="3" t="inlineStr">
        <is>
          <t>NCc1ccccc1</t>
        </is>
      </c>
      <c r="B376" s="2" t="inlineStr">
        <is>
          <t>benzylamine</t>
        </is>
      </c>
      <c r="C376" s="2" t="inlineStr">
        <is>
          <t>BnNH2</t>
        </is>
      </c>
      <c r="D376" s="2" t="inlineStr">
        <is>
          <t>nucleophile</t>
        </is>
      </c>
      <c r="E376" s="2" t="inlineStr"/>
      <c r="F376" s="2" t="n"/>
      <c r="G376" s="2" t="n">
        <v>177</v>
      </c>
      <c r="H376" s="2" t="inlineStr">
        <is>
          <t>Benzylamine (CID 7504)</t>
        </is>
      </c>
      <c r="I376" s="2" t="inlineStr">
        <is>
          <t>Primary amine nucleophile; its role in this ester-hydrolysis record is unclear.</t>
        </is>
      </c>
      <c r="J376" s="2" t="inlineStr">
        <is>
          <t>named and classified by a chemist agent; reviewed by an independent agent</t>
        </is>
      </c>
    </row>
    <row r="377">
      <c r="A377" s="3" t="inlineStr">
        <is>
          <t>N#[C][Cu]</t>
        </is>
      </c>
      <c r="B377" s="2" t="inlineStr">
        <is>
          <t>copper(I) cyanide</t>
        </is>
      </c>
      <c r="C377" s="2" t="inlineStr">
        <is>
          <t>CuCN</t>
        </is>
      </c>
      <c r="D377" s="2" t="inlineStr">
        <is>
          <t>nucleophile</t>
        </is>
      </c>
      <c r="E377" s="2" t="inlineStr">
        <is>
          <t>catalyst (metal)</t>
        </is>
      </c>
      <c r="F377" s="2" t="n"/>
      <c r="G377" s="2" t="n">
        <v>177</v>
      </c>
      <c r="H377" s="2" t="inlineStr">
        <is>
          <t>Copper cyanide (CID 11009)</t>
        </is>
      </c>
      <c r="I377" s="2" t="inlineStr">
        <is>
          <t>Cyanide source for Rosenmund-von Braun cyanation of aryl bromides.</t>
        </is>
      </c>
      <c r="J377" s="2" t="inlineStr">
        <is>
          <t>named and classified by a chemist agent; reviewed by an independent agent</t>
        </is>
      </c>
    </row>
    <row r="378">
      <c r="A378" s="3" t="inlineStr">
        <is>
          <t>CC(C)c1cc(C(C)C)c(-c2ccccc2P(C(C)(C)C)C(C)(C)C)c(C(C)C)c1</t>
        </is>
      </c>
      <c r="B378" s="2" t="inlineStr">
        <is>
          <t>tBuXPhos</t>
        </is>
      </c>
      <c r="C378" s="2" t="inlineStr">
        <is>
          <t>tBuXPhos</t>
        </is>
      </c>
      <c r="D378" s="2" t="inlineStr">
        <is>
          <t>ligand</t>
        </is>
      </c>
      <c r="E378" s="2" t="inlineStr"/>
      <c r="F378" s="2" t="n"/>
      <c r="G378" s="2" t="n">
        <v>177</v>
      </c>
      <c r="H378" s="2" t="inlineStr">
        <is>
          <t>Di-tert-butyl(2',4',6'-tris(propan-2-yl)-(1,1'-biphenyl)-2-yl)phosphane (CID 11618717)</t>
        </is>
      </c>
      <c r="I378" s="2" t="inlineStr">
        <is>
          <t>Bulky biaryl di-tert-butylphosphine for Pd C-N and C-O coupling.</t>
        </is>
      </c>
      <c r="J378" s="2" t="inlineStr">
        <is>
          <t>named and classified by a chemist agent; reviewed by an independent agent</t>
        </is>
      </c>
    </row>
    <row r="379">
      <c r="A379" s="3" t="inlineStr">
        <is>
          <t>c1coc(P(c2ccco2)c2ccco2)c1</t>
        </is>
      </c>
      <c r="B379" s="2" t="inlineStr">
        <is>
          <t>tri(2-furyl)phosphine</t>
        </is>
      </c>
      <c r="C379" s="2" t="inlineStr">
        <is>
          <t>TFP</t>
        </is>
      </c>
      <c r="D379" s="2" t="inlineStr">
        <is>
          <t>ligand</t>
        </is>
      </c>
      <c r="E379" s="2" t="inlineStr"/>
      <c r="F379" s="2" t="n"/>
      <c r="G379" s="2" t="n">
        <v>176</v>
      </c>
      <c r="H379" s="2" t="inlineStr">
        <is>
          <t>Tris(furan-2-yl)phosphane (CID 521585)</t>
        </is>
      </c>
      <c r="I379" s="2" t="inlineStr">
        <is>
          <t>Weakly donating phosphine for Pd couplings (Stille, Negishi).</t>
        </is>
      </c>
      <c r="J379" s="2" t="inlineStr">
        <is>
          <t>named and classified by a chemist agent; reviewed by an independent agent</t>
        </is>
      </c>
    </row>
    <row r="380">
      <c r="A380" s="3" t="inlineStr">
        <is>
          <t>CCCCCCCC[N+](C)(CCCCCCCC)CCCCCCCC</t>
        </is>
      </c>
      <c r="B380" s="2" t="inlineStr">
        <is>
          <t>methyltrioctylammonium ion</t>
        </is>
      </c>
      <c r="C380" s="2" t="inlineStr">
        <is>
          <t>Aliquat 336</t>
        </is>
      </c>
      <c r="D380" s="2" t="inlineStr">
        <is>
          <t>phase-transfer catalyst</t>
        </is>
      </c>
      <c r="E380" s="2" t="inlineStr"/>
      <c r="F380" s="2" t="n"/>
      <c r="G380" s="2" t="n">
        <v>175</v>
      </c>
      <c r="H380" s="2" t="inlineStr">
        <is>
          <t>Methyltricaprylylammonium (CID 21219)</t>
        </is>
      </c>
      <c r="I380" s="2" t="inlineStr">
        <is>
          <t>Oil-soluble quaternary ammonium (Cl- salt); here helps a two-phase NaBH4 reduction.</t>
        </is>
      </c>
      <c r="J380" s="2" t="inlineStr">
        <is>
          <t>named and classified by a chemist agent; reviewed by an independent agent</t>
        </is>
      </c>
    </row>
    <row r="381">
      <c r="A381" s="3" t="inlineStr">
        <is>
          <t>C[Si](C)(C)[O-]</t>
        </is>
      </c>
      <c r="B381" s="2" t="inlineStr">
        <is>
          <t>trimethylsilanolate ion</t>
        </is>
      </c>
      <c r="C381" s="2" t="inlineStr">
        <is>
          <t>TMSOK</t>
        </is>
      </c>
      <c r="D381" s="2" t="inlineStr">
        <is>
          <t>nucleophile</t>
        </is>
      </c>
      <c r="E381" s="2" t="inlineStr">
        <is>
          <t>deprotecting agent</t>
        </is>
      </c>
      <c r="F381" s="2" t="n"/>
      <c r="G381" s="2" t="n">
        <v>174</v>
      </c>
      <c r="H381" s="2" t="inlineStr">
        <is>
          <t>[SIMe3O]- (CID 3588738)</t>
        </is>
      </c>
      <c r="I381" s="2" t="inlineStr">
        <is>
          <t>From KOSiMe3; cleaves esters to carboxylates without water.</t>
        </is>
      </c>
      <c r="J381" s="2" t="inlineStr">
        <is>
          <t>named and classified by a chemist agent; reviewed by an independent agent</t>
        </is>
      </c>
    </row>
    <row r="382">
      <c r="A382" s="3" t="inlineStr">
        <is>
          <t>N=C=N</t>
        </is>
      </c>
      <c r="B382" s="2" t="inlineStr">
        <is>
          <t>carbodiimide (parent)</t>
        </is>
      </c>
      <c r="C382" s="2" t="inlineStr"/>
      <c r="D382" s="2" t="inlineStr">
        <is>
          <t>coupling reagent (activates an acid)</t>
        </is>
      </c>
      <c r="E382" s="2" t="inlineStr"/>
      <c r="F382" s="2" t="n"/>
      <c r="G382" s="2" t="n">
        <v>172</v>
      </c>
      <c r="H382" s="2" t="inlineStr">
        <is>
          <t>Carbodiimide (CID 160435)</t>
        </is>
      </c>
      <c r="I382" s="2" t="inlineStr">
        <is>
          <t>Parent HN=C=NH; a cut-off record of EDC, which activates acids for amide coupling.</t>
        </is>
      </c>
      <c r="J382" s="2" t="inlineStr">
        <is>
          <t>named and classified by a chemist agent; reviewed by an independent agent</t>
        </is>
      </c>
    </row>
    <row r="383">
      <c r="A383" s="3" t="inlineStr">
        <is>
          <t>[Sn]</t>
        </is>
      </c>
      <c r="B383" s="2" t="inlineStr">
        <is>
          <t>tin</t>
        </is>
      </c>
      <c r="C383" s="2" t="inlineStr">
        <is>
          <t>Sn</t>
        </is>
      </c>
      <c r="D383" s="2" t="inlineStr">
        <is>
          <t>reductant</t>
        </is>
      </c>
      <c r="E383" s="2" t="inlineStr"/>
      <c r="F383" s="2" t="n"/>
      <c r="G383" s="2" t="n">
        <v>169</v>
      </c>
      <c r="H383" s="2" t="inlineStr">
        <is>
          <t>Tin atom (CID 5352426)</t>
        </is>
      </c>
      <c r="I383" s="2" t="inlineStr">
        <is>
          <t>Tin metal with HCl reduces nitroarenes to anilines.</t>
        </is>
      </c>
      <c r="J383" s="2" t="inlineStr">
        <is>
          <t>named and classified by a chemist agent; reviewed by an independent agent</t>
        </is>
      </c>
    </row>
    <row r="384">
      <c r="A384" s="3" t="inlineStr">
        <is>
          <t>Cc1ccccc1S(=O)(=O)O</t>
        </is>
      </c>
      <c r="B384" s="2" t="inlineStr">
        <is>
          <t>2-toluenesulfonic acid</t>
        </is>
      </c>
      <c r="C384" s="2" t="inlineStr">
        <is>
          <t>TsOH</t>
        </is>
      </c>
      <c r="D384" s="2" t="inlineStr">
        <is>
          <t>acid</t>
        </is>
      </c>
      <c r="E384" s="2" t="inlineStr"/>
      <c r="F384" s="2" t="n"/>
      <c r="G384" s="2" t="n">
        <v>169</v>
      </c>
      <c r="H384" s="2" t="inlineStr">
        <is>
          <t>2-Methylbenzenesulfonic acid (CID 6925)</t>
        </is>
      </c>
      <c r="I384" s="2" t="inlineStr">
        <is>
          <t>Strong sulfonic acid (probably p-TsOH drawn as the wrong isomer); here it removes a Boc group.</t>
        </is>
      </c>
      <c r="J384" s="2" t="inlineStr">
        <is>
          <t>named and classified by a chemist agent; reviewed by an independent agent</t>
        </is>
      </c>
    </row>
    <row r="385">
      <c r="A385" s="3" t="inlineStr">
        <is>
          <t>CC(=O)C#N</t>
        </is>
      </c>
      <c r="B385" s="2" t="inlineStr">
        <is>
          <t>acetyl cyanide (pyruvonitrile)</t>
        </is>
      </c>
      <c r="C385" s="2" t="inlineStr"/>
      <c r="D385" s="2" t="inlineStr">
        <is>
          <t>electrophile / alkylating agent</t>
        </is>
      </c>
      <c r="E385" s="2" t="inlineStr"/>
      <c r="F385" s="2" t="n"/>
      <c r="G385" s="2" t="n">
        <v>167</v>
      </c>
      <c r="H385" s="2" t="inlineStr">
        <is>
          <t>2-Oxopropiononitrile (CID 69430)</t>
        </is>
      </c>
      <c r="I385" s="2" t="inlineStr">
        <is>
          <t>Acylating or cyanating agent; its role in this hydrolysis record is unclear.</t>
        </is>
      </c>
      <c r="J385" s="2" t="inlineStr">
        <is>
          <t>named and classified by a chemist agent; reviewed by an independent agent</t>
        </is>
      </c>
    </row>
    <row r="386">
      <c r="A386" s="3" t="inlineStr">
        <is>
          <t>O=[PH2]O</t>
        </is>
      </c>
      <c r="B386" s="2" t="inlineStr">
        <is>
          <t>hypophosphorous acid</t>
        </is>
      </c>
      <c r="C386" s="2" t="inlineStr">
        <is>
          <t>H3PO2</t>
        </is>
      </c>
      <c r="D386" s="2" t="inlineStr">
        <is>
          <t>reductant</t>
        </is>
      </c>
      <c r="E386" s="2" t="inlineStr">
        <is>
          <t>additive</t>
        </is>
      </c>
      <c r="F386" s="2" t="n"/>
      <c r="G386" s="2" t="n">
        <v>167</v>
      </c>
      <c r="H386" s="2" t="inlineStr"/>
      <c r="I386" s="2" t="inlineStr">
        <is>
          <t>Reductant (e.g., removes diazonium groups); here an antioxidant additive in an MsOH-catalyzed esterification.</t>
        </is>
      </c>
      <c r="J386" s="2" t="inlineStr">
        <is>
          <t>named and classified by a chemist agent; reviewed by an independent agent; PubChem's title for this SMILES was wrong (Hydroxy(oxo)phosphanium (CID 6326996)): Neutral H3PO2. The lookup returned CID 6326996, the cation H2O2P+ (hydroxy(oxo)phosphanium).</t>
        </is>
      </c>
    </row>
    <row r="387">
      <c r="A387" s="3" t="inlineStr">
        <is>
          <t>c1ccc([P]([Pd][P](c2ccccc2)(c2ccccc2)c2ccccc2)(c2ccccc2)c2ccccc2)cc1</t>
        </is>
      </c>
      <c r="B387" s="2" t="inlineStr">
        <is>
          <t>bis(triphenylphosphine)palladium(0)</t>
        </is>
      </c>
      <c r="C387" s="2" t="inlineStr">
        <is>
          <t>Pd(PPh3)2</t>
        </is>
      </c>
      <c r="D387" s="2" t="inlineStr">
        <is>
          <t>catalyst (metal)</t>
        </is>
      </c>
      <c r="E387" s="2" t="inlineStr"/>
      <c r="F387" s="2" t="n"/>
      <c r="G387" s="2" t="n">
        <v>165</v>
      </c>
      <c r="H387" s="2" t="inlineStr">
        <is>
          <t>Bis(triphenylphosphino)palladium (CID 57417660)</t>
        </is>
      </c>
      <c r="I387" s="2" t="inlineStr">
        <is>
          <t>Cut-off record of Pd(PPh3)4 or PdCl2(PPh3)2; Suzuki coupling catalyst.</t>
        </is>
      </c>
      <c r="J387" s="2" t="inlineStr">
        <is>
          <t>named and classified by a chemist agent; reviewed by an independent agent</t>
        </is>
      </c>
    </row>
    <row r="388">
      <c r="A388" s="3" t="inlineStr">
        <is>
          <t>[CH]1[CH][CH][C]([PH+](c2ccccc2)c2ccccc2)[CH]1</t>
        </is>
      </c>
      <c r="B388" s="2" t="inlineStr">
        <is>
          <t>(diphenylphosphonio)cyclopentadienyl fragment (P-protonated Ph2P-C5H4 ring, C17H15P+)</t>
        </is>
      </c>
      <c r="C388" s="2" t="inlineStr">
        <is>
          <t>dppf</t>
        </is>
      </c>
      <c r="D388" s="2" t="inlineStr">
        <is>
          <t>ligand</t>
        </is>
      </c>
      <c r="E388" s="2" t="inlineStr"/>
      <c r="F388" s="2" t="n"/>
      <c r="G388" s="2" t="n">
        <v>164</v>
      </c>
      <c r="H388" s="2" t="inlineStr"/>
      <c r="I388" s="2" t="inlineStr">
        <is>
          <t>One half of the ferrocene ligand dppf, from Pd(dppf)Cl2 used in Suzuki coupling.</t>
        </is>
      </c>
      <c r="J388" s="2" t="inlineStr">
        <is>
          <t>named and classified by a chemist agent; reviewed by an independent agent; name corrected after comparing with PubChem (was: (diphenylphosphino)cyclopentadienyl fragment); PubChem's title for this SMILES was wrong (Cyclopentyl(diphenyl)phosphanium (CID 157451929)): P carries H+, so the species is a phosphonium; the agent's neutral 'diphenylphosphino' misses that. PubChem saturated th</t>
        </is>
      </c>
    </row>
    <row r="389">
      <c r="A389" s="3" t="inlineStr">
        <is>
          <t>CCOC(=O)C(C#N)=NOC(N1CCOCC1)=[N+](C)C</t>
        </is>
      </c>
      <c r="B389" s="2" t="inlineStr">
        <is>
          <t>COMU (cation)</t>
        </is>
      </c>
      <c r="C389" s="2" t="inlineStr">
        <is>
          <t>COMU</t>
        </is>
      </c>
      <c r="D389" s="2" t="inlineStr">
        <is>
          <t>coupling reagent (activates an acid)</t>
        </is>
      </c>
      <c r="E389" s="2" t="inlineStr"/>
      <c r="F389" s="2" t="n"/>
      <c r="G389" s="2" t="n">
        <v>163</v>
      </c>
      <c r="H389" s="2" t="inlineStr">
        <is>
          <t>[[(1-Cyano-2-ethoxy-2-oxoethylidene)amino]oxy-morpholin-4-ylmethylidene]-dimethylazanium (CID 75951469)</t>
        </is>
      </c>
      <c r="I389" s="2" t="inlineStr">
        <is>
          <t>Oxyma-based uronium (PF6- salt) for amide coupling with DIPEA.</t>
        </is>
      </c>
      <c r="J389" s="2" t="inlineStr">
        <is>
          <t>named and classified by a chemist agent; reviewed by an independent agent</t>
        </is>
      </c>
    </row>
    <row r="390">
      <c r="A390" s="3" t="inlineStr">
        <is>
          <t>CNOC</t>
        </is>
      </c>
      <c r="B390" s="2" t="inlineStr">
        <is>
          <t>N,O-dimethylhydroxylamine</t>
        </is>
      </c>
      <c r="C390" s="2" t="inlineStr">
        <is>
          <t>MeNHOMe</t>
        </is>
      </c>
      <c r="D390" s="2" t="inlineStr">
        <is>
          <t>nucleophile</t>
        </is>
      </c>
      <c r="E390" s="2" t="inlineStr"/>
      <c r="F390" s="2" t="n"/>
      <c r="G390" s="2" t="n">
        <v>160</v>
      </c>
      <c r="H390" s="2" t="inlineStr">
        <is>
          <t>N,O-Dimethylhydroxylamine (CID 14232)</t>
        </is>
      </c>
      <c r="I390" s="2" t="inlineStr">
        <is>
          <t>Forms Weinreb amides from acids or acyl chlorides.</t>
        </is>
      </c>
      <c r="J390" s="2" t="inlineStr">
        <is>
          <t>named and classified by a chemist agent; reviewed by an independent agent</t>
        </is>
      </c>
    </row>
    <row r="391">
      <c r="A391" s="3" t="inlineStr">
        <is>
          <t>[Cl][Ru]([Cl])[Cl]</t>
        </is>
      </c>
      <c r="B391" s="2" t="inlineStr">
        <is>
          <t>ruthenium(III) chloride</t>
        </is>
      </c>
      <c r="C391" s="2" t="inlineStr">
        <is>
          <t>RuCl3</t>
        </is>
      </c>
      <c r="D391" s="2" t="inlineStr">
        <is>
          <t>oxidizing catalyst</t>
        </is>
      </c>
      <c r="E391" s="2" t="inlineStr">
        <is>
          <t>catalyst (metal)</t>
        </is>
      </c>
      <c r="F391" s="2" t="n"/>
      <c r="G391" s="2" t="n">
        <v>159</v>
      </c>
      <c r="H391" s="2" t="inlineStr">
        <is>
          <t>Ruthenium trichloride (CID 61850)</t>
        </is>
      </c>
      <c r="I391" s="2" t="inlineStr">
        <is>
          <t>With NaIO4 (here KIO4-type periodate) it makes RuO4 in situ, which oxidizes the alcohol.</t>
        </is>
      </c>
      <c r="J391" s="2" t="inlineStr">
        <is>
          <t>named and classified by a chemist agent; reviewed by an independent agent</t>
        </is>
      </c>
    </row>
    <row r="392">
      <c r="A392" s="3" t="inlineStr">
        <is>
          <t>CS(N)(=O)=O</t>
        </is>
      </c>
      <c r="B392" s="2" t="inlineStr">
        <is>
          <t>methanesulfonamide</t>
        </is>
      </c>
      <c r="C392" s="2" t="inlineStr">
        <is>
          <t>MsNH2</t>
        </is>
      </c>
      <c r="D392" s="2" t="inlineStr">
        <is>
          <t>nucleophile</t>
        </is>
      </c>
      <c r="E392" s="2" t="inlineStr">
        <is>
          <t>additive</t>
        </is>
      </c>
      <c r="F392" s="2" t="n"/>
      <c r="G392" s="2" t="n">
        <v>159</v>
      </c>
      <c r="H392" s="2" t="inlineStr">
        <is>
          <t>Methanesulfonamide (CID 72879)</t>
        </is>
      </c>
      <c r="I392" s="2" t="inlineStr">
        <is>
          <t>Forms N-acylsulfonamides with activated acids; also an additive in Sharpless dihydroxylation.</t>
        </is>
      </c>
      <c r="J392" s="2" t="inlineStr">
        <is>
          <t>named and classified by a chemist agent; reviewed by an independent agent</t>
        </is>
      </c>
    </row>
    <row r="393">
      <c r="A393" s="3" t="inlineStr">
        <is>
          <t>[Ti+3]</t>
        </is>
      </c>
      <c r="B393" s="2" t="inlineStr">
        <is>
          <t>titanium(III) ion</t>
        </is>
      </c>
      <c r="C393" s="2" t="inlineStr">
        <is>
          <t>TiCl3</t>
        </is>
      </c>
      <c r="D393" s="2" t="inlineStr">
        <is>
          <t>reductant</t>
        </is>
      </c>
      <c r="E393" s="2" t="inlineStr"/>
      <c r="F393" s="2" t="n"/>
      <c r="G393" s="2" t="n">
        <v>157</v>
      </c>
      <c r="H393" s="2" t="inlineStr">
        <is>
          <t>TiIII (CID 5153393)</t>
        </is>
      </c>
      <c r="I393" s="2" t="inlineStr">
        <is>
          <t>From TiCl3; one-electron reductant for nitro-to-amine reduction.</t>
        </is>
      </c>
      <c r="J393" s="2" t="inlineStr">
        <is>
          <t>named and classified by a chemist agent; reviewed by an independent agent</t>
        </is>
      </c>
    </row>
    <row r="394">
      <c r="A394" s="3" t="inlineStr">
        <is>
          <t>O=P(Cl)(c1ccccc1)c1ccccc1</t>
        </is>
      </c>
      <c r="B394" s="2" t="inlineStr">
        <is>
          <t>diphenylphosphinic chloride</t>
        </is>
      </c>
      <c r="C394" s="2" t="inlineStr">
        <is>
          <t>Ph2P(O)Cl</t>
        </is>
      </c>
      <c r="D394" s="2" t="inlineStr">
        <is>
          <t>coupling reagent (activates an acid)</t>
        </is>
      </c>
      <c r="E394" s="2" t="inlineStr"/>
      <c r="F394" s="2" t="n"/>
      <c r="G394" s="2" t="n">
        <v>156</v>
      </c>
      <c r="H394" s="2" t="inlineStr">
        <is>
          <t>Diphenylphosphinic chloride (CID 73910)</t>
        </is>
      </c>
      <c r="I394" s="2" t="inlineStr">
        <is>
          <t>Makes a mixed phosphinic anhydride from the acid for amide coupling.</t>
        </is>
      </c>
      <c r="J394" s="2" t="inlineStr">
        <is>
          <t>named and classified by a chemist agent; reviewed by an independent agent</t>
        </is>
      </c>
    </row>
    <row r="395">
      <c r="A395" s="3" t="inlineStr">
        <is>
          <t>CN(C)C</t>
        </is>
      </c>
      <c r="B395" s="2" t="inlineStr">
        <is>
          <t>trimethylamine</t>
        </is>
      </c>
      <c r="C395" s="2" t="inlineStr">
        <is>
          <t>Me3N</t>
        </is>
      </c>
      <c r="D395" s="2" t="inlineStr">
        <is>
          <t>base</t>
        </is>
      </c>
      <c r="E395" s="2" t="inlineStr"/>
      <c r="F395" s="2" t="n">
        <v>9.800000000000001</v>
      </c>
      <c r="G395" s="2" t="n">
        <v>155</v>
      </c>
      <c r="H395" s="2" t="inlineStr">
        <is>
          <t>Trimethylamine (CID 1146)</t>
        </is>
      </c>
      <c r="I395" s="2" t="inlineStr">
        <is>
          <t>Gaseous tertiary amine base (pKa in water).</t>
        </is>
      </c>
      <c r="J395" s="2" t="inlineStr">
        <is>
          <t>named and classified by a chemist agent; reviewed by an independent agent</t>
        </is>
      </c>
    </row>
    <row r="396">
      <c r="A396" s="3" t="inlineStr">
        <is>
          <t>CN(C)C(=O)N=NC(=O)N(C)C</t>
        </is>
      </c>
      <c r="B396" s="2" t="inlineStr">
        <is>
          <t>N,N,N',N'-tetramethylazodicarboxamide</t>
        </is>
      </c>
      <c r="C396" s="2" t="inlineStr">
        <is>
          <t>TMAD</t>
        </is>
      </c>
      <c r="D396" s="2" t="inlineStr">
        <is>
          <t>dehydrating / activating agent</t>
        </is>
      </c>
      <c r="E396" s="2" t="inlineStr">
        <is>
          <t>oxidant</t>
        </is>
      </c>
      <c r="F396" s="2" t="n"/>
      <c r="G396" s="2" t="n">
        <v>155</v>
      </c>
      <c r="H396" s="2" t="inlineStr">
        <is>
          <t>N,N,N',N'-Tetramethylazodicarboxamide (CID 4278)</t>
        </is>
      </c>
      <c r="I396" s="2" t="inlineStr">
        <is>
          <t>Mitsunobu azo reagent, used with PBu3 here to form an aryl ether.</t>
        </is>
      </c>
      <c r="J396" s="2" t="inlineStr">
        <is>
          <t>named and classified by a chemist agent; reviewed by an independent agent</t>
        </is>
      </c>
    </row>
    <row r="397">
      <c r="A397" s="3" t="inlineStr">
        <is>
          <t>C[N+](C)(C)c1ccccc1</t>
        </is>
      </c>
      <c r="B397" s="2" t="inlineStr">
        <is>
          <t>phenyltrimethylammonium ion</t>
        </is>
      </c>
      <c r="C397" s="2" t="inlineStr">
        <is>
          <t>PhNMe3+</t>
        </is>
      </c>
      <c r="D397" s="2" t="inlineStr">
        <is>
          <t>electrophile / alkylating agent</t>
        </is>
      </c>
      <c r="E397" s="2" t="inlineStr"/>
      <c r="F397" s="2" t="n"/>
      <c r="G397" s="2" t="n">
        <v>155</v>
      </c>
      <c r="H397" s="2" t="inlineStr">
        <is>
          <t>Phenyltrimethylammonium (CID 15914)</t>
        </is>
      </c>
      <c r="I397" s="2" t="inlineStr">
        <is>
          <t>Methylating agent; turns the phenol into its methyl ether (morphine to codeine).</t>
        </is>
      </c>
      <c r="J397" s="2" t="inlineStr">
        <is>
          <t>named and classified by a chemist agent; reviewed by an independent agent</t>
        </is>
      </c>
    </row>
    <row r="398">
      <c r="A398" s="3" t="inlineStr">
        <is>
          <t>CN(C)CCN</t>
        </is>
      </c>
      <c r="B398" s="2" t="inlineStr">
        <is>
          <t>N,N-dimethylethylenediamine</t>
        </is>
      </c>
      <c r="C398" s="2" t="inlineStr"/>
      <c r="D398" s="2" t="inlineStr">
        <is>
          <t>nucleophile</t>
        </is>
      </c>
      <c r="E398" s="2" t="inlineStr">
        <is>
          <t>ligand</t>
        </is>
      </c>
      <c r="F398" s="2" t="n"/>
      <c r="G398" s="2" t="n">
        <v>151</v>
      </c>
      <c r="H398" s="2" t="inlineStr">
        <is>
          <t>N,N-Dimethylethylenediamine (CID 66053)</t>
        </is>
      </c>
      <c r="I398" s="2" t="inlineStr">
        <is>
          <t>Amine added to destroy leftover sulfonyl or acyl chloride; also a Cu ligand.</t>
        </is>
      </c>
      <c r="J398" s="2" t="inlineStr">
        <is>
          <t>named and classified by a chemist agent; reviewed by an independent agent</t>
        </is>
      </c>
    </row>
    <row r="399">
      <c r="A399" s="3" t="inlineStr">
        <is>
          <t>BrC(Br)(Br)Br</t>
        </is>
      </c>
      <c r="B399" s="2" t="inlineStr">
        <is>
          <t>carbon tetrabromide</t>
        </is>
      </c>
      <c r="C399" s="2" t="inlineStr">
        <is>
          <t>CBr4</t>
        </is>
      </c>
      <c r="D399" s="2" t="inlineStr">
        <is>
          <t>halogenating agent</t>
        </is>
      </c>
      <c r="E399" s="2" t="inlineStr">
        <is>
          <t>dehydrating / activating agent</t>
        </is>
      </c>
      <c r="F399" s="2" t="n"/>
      <c r="G399" s="2" t="n">
        <v>150</v>
      </c>
      <c r="H399" s="2" t="inlineStr">
        <is>
          <t>Carbon tetrabromide (CID 11205)</t>
        </is>
      </c>
      <c r="I399" s="2" t="inlineStr">
        <is>
          <t>With PPh3 (Appel conditions) it activates acids and alcohols; here for amide coupling.</t>
        </is>
      </c>
      <c r="J399" s="2" t="inlineStr">
        <is>
          <t>named and classified by a chemist agent; reviewed by an independent agent</t>
        </is>
      </c>
    </row>
    <row r="400">
      <c r="A400" s="3" t="inlineStr">
        <is>
          <t>c1cc[cH-]c1</t>
        </is>
      </c>
      <c r="B400" s="2" t="inlineStr">
        <is>
          <t>cyclopentadienide ion</t>
        </is>
      </c>
      <c r="C400" s="2" t="inlineStr">
        <is>
          <t>Cp-</t>
        </is>
      </c>
      <c r="D400" s="2" t="inlineStr">
        <is>
          <t>ligand</t>
        </is>
      </c>
      <c r="E400" s="2" t="inlineStr"/>
      <c r="F400" s="2" t="n"/>
      <c r="G400" s="2" t="n">
        <v>150</v>
      </c>
      <c r="H400" s="2" t="inlineStr">
        <is>
          <t>Cyclopentadienide (CID 3490527)</t>
        </is>
      </c>
      <c r="I400" s="2" t="inlineStr">
        <is>
          <t>Cp ring of a ferrocene (with Fe2+), e.g., a ferrocenyl phosphine ligand for Pd amination.</t>
        </is>
      </c>
      <c r="J400" s="2" t="inlineStr">
        <is>
          <t>named and classified by a chemist agent; reviewed by an independent agent</t>
        </is>
      </c>
    </row>
    <row r="401">
      <c r="A401" s="3" t="inlineStr">
        <is>
          <t>CB1OB(C)OB(C)O1</t>
        </is>
      </c>
      <c r="B401" s="2" t="inlineStr">
        <is>
          <t>trimethylboroxine</t>
        </is>
      </c>
      <c r="C401" s="2" t="inlineStr">
        <is>
          <t>TMB</t>
        </is>
      </c>
      <c r="D401" s="2" t="inlineStr">
        <is>
          <t>organometallic reagent</t>
        </is>
      </c>
      <c r="E401" s="2" t="inlineStr">
        <is>
          <t>nucleophile</t>
        </is>
      </c>
      <c r="F401" s="2" t="n"/>
      <c r="G401" s="2" t="n">
        <v>147</v>
      </c>
      <c r="H401" s="2" t="inlineStr">
        <is>
          <t>Trimethylboroxine (CID 574072)</t>
        </is>
      </c>
      <c r="I401" s="2" t="inlineStr">
        <is>
          <t>Methyl donor in Pd-catalyzed Suzuki methylation of aryl halides.</t>
        </is>
      </c>
      <c r="J401" s="2" t="inlineStr">
        <is>
          <t>named and classified by a chemist agent; reviewed by an independent agent</t>
        </is>
      </c>
    </row>
    <row r="402">
      <c r="A402" s="3" t="inlineStr">
        <is>
          <t>BrCc1ccccc1</t>
        </is>
      </c>
      <c r="B402" s="2" t="inlineStr">
        <is>
          <t>benzyl bromide</t>
        </is>
      </c>
      <c r="C402" s="2" t="inlineStr">
        <is>
          <t>BnBr</t>
        </is>
      </c>
      <c r="D402" s="2" t="inlineStr">
        <is>
          <t>electrophile / alkylating agent</t>
        </is>
      </c>
      <c r="E402" s="2" t="inlineStr">
        <is>
          <t>protecting-group reagent</t>
        </is>
      </c>
      <c r="F402" s="2" t="n"/>
      <c r="G402" s="2" t="n">
        <v>146</v>
      </c>
      <c r="H402" s="2" t="inlineStr">
        <is>
          <t>Benzyl Bromide (CID 7498)</t>
        </is>
      </c>
      <c r="I402" s="2" t="inlineStr">
        <is>
          <t>Benzylating agent (protects O or N as benzyl).</t>
        </is>
      </c>
      <c r="J402" s="2" t="inlineStr">
        <is>
          <t>named and classified by a chemist agent; reviewed by an independent agent</t>
        </is>
      </c>
    </row>
    <row r="403">
      <c r="A403" s="3" t="inlineStr">
        <is>
          <t>O=C(c1ncc[nH]1)c1ncc[nH]1</t>
        </is>
      </c>
      <c r="B403" s="2" t="inlineStr">
        <is>
          <t>2,2'-carbonyldiimidazole (di(1H-imidazol-2-yl)methanone)</t>
        </is>
      </c>
      <c r="C403" s="2" t="inlineStr">
        <is>
          <t>CDI</t>
        </is>
      </c>
      <c r="D403" s="2" t="inlineStr">
        <is>
          <t>coupling reagent (activates an acid)</t>
        </is>
      </c>
      <c r="E403" s="2" t="inlineStr"/>
      <c r="F403" s="2" t="n"/>
      <c r="G403" s="2" t="n">
        <v>146</v>
      </c>
      <c r="H403" s="2" t="inlineStr">
        <is>
          <t>Bis-(1H-imidazol-2-YL)-methanone (CID 5250894)</t>
        </is>
      </c>
      <c r="I403" s="2" t="inlineStr">
        <is>
          <t>Drawn as the C-linked isomer; CDI turns acids into acyl imidazoles for amide formation.</t>
        </is>
      </c>
      <c r="J403" s="2" t="inlineStr">
        <is>
          <t>named and classified by a chemist agent; reviewed by an independent agent; name corrected after comparing with PubChem (was: 1,1'-carbonyldiimidazole (drawn as 2,2'-isomer))</t>
        </is>
      </c>
    </row>
    <row r="404">
      <c r="A404" s="3" t="inlineStr">
        <is>
          <t>O=C(O)c1ccccc1</t>
        </is>
      </c>
      <c r="B404" s="2" t="inlineStr">
        <is>
          <t>benzoic acid</t>
        </is>
      </c>
      <c r="C404" s="2" t="inlineStr">
        <is>
          <t>BzOH</t>
        </is>
      </c>
      <c r="D404" s="2" t="inlineStr">
        <is>
          <t>acid</t>
        </is>
      </c>
      <c r="E404" s="2" t="inlineStr"/>
      <c r="F404" s="2" t="n"/>
      <c r="G404" s="2" t="n">
        <v>145</v>
      </c>
      <c r="H404" s="2" t="inlineStr">
        <is>
          <t>Benzoic Acid (CID 243)</t>
        </is>
      </c>
      <c r="I404" s="2" t="inlineStr">
        <is>
          <t>Weak acid additive; its role in this hydrolysis record is unclear.</t>
        </is>
      </c>
      <c r="J404" s="2" t="inlineStr">
        <is>
          <t>named and classified by a chemist agent; reviewed by an independent agent</t>
        </is>
      </c>
    </row>
    <row r="405">
      <c r="A405" s="3" t="inlineStr">
        <is>
          <t>C[O][Na]</t>
        </is>
      </c>
      <c r="B405" s="2" t="inlineStr">
        <is>
          <t>sodium methoxide</t>
        </is>
      </c>
      <c r="C405" s="2" t="inlineStr">
        <is>
          <t>NaOMe</t>
        </is>
      </c>
      <c r="D405" s="2" t="inlineStr">
        <is>
          <t>base</t>
        </is>
      </c>
      <c r="E405" s="2" t="inlineStr">
        <is>
          <t>nucleophile</t>
        </is>
      </c>
      <c r="F405" s="2" t="n">
        <v>15.5</v>
      </c>
      <c r="G405" s="2" t="n">
        <v>145</v>
      </c>
      <c r="H405" s="2" t="inlineStr">
        <is>
          <t>Sodium Methoxide (CID 10942334)</t>
        </is>
      </c>
      <c r="I405" s="2" t="inlineStr">
        <is>
          <t>Alkoxide base (MeOH pKa ~15.5 in water, 29 in DMSO); used for transesterification and Zemplen deacylation.</t>
        </is>
      </c>
      <c r="J405" s="2" t="inlineStr">
        <is>
          <t>named and classified by a chemist agent; reviewed by an independent agent</t>
        </is>
      </c>
    </row>
    <row r="406">
      <c r="A406" s="3" t="inlineStr">
        <is>
          <t>CCCI</t>
        </is>
      </c>
      <c r="B406" s="2" t="inlineStr">
        <is>
          <t>1-iodopropane</t>
        </is>
      </c>
      <c r="C406" s="2" t="inlineStr">
        <is>
          <t>PrI</t>
        </is>
      </c>
      <c r="D406" s="2" t="inlineStr">
        <is>
          <t>electrophile / alkylating agent</t>
        </is>
      </c>
      <c r="E406" s="2" t="inlineStr"/>
      <c r="F406" s="2" t="n"/>
      <c r="G406" s="2" t="n">
        <v>145</v>
      </c>
      <c r="H406" s="2" t="inlineStr">
        <is>
          <t>1-Iodopropane (CID 33643)</t>
        </is>
      </c>
      <c r="I406" s="2" t="inlineStr">
        <is>
          <t>Adds a propyl group to amines or phenols.</t>
        </is>
      </c>
      <c r="J406" s="2" t="inlineStr">
        <is>
          <t>named and classified by a chemist agent; reviewed by an independent agent</t>
        </is>
      </c>
    </row>
    <row r="407">
      <c r="A407" s="3" t="inlineStr">
        <is>
          <t>[SH-]</t>
        </is>
      </c>
      <c r="B407" s="2" t="inlineStr">
        <is>
          <t>hydrosulfide ion</t>
        </is>
      </c>
      <c r="C407" s="2" t="inlineStr">
        <is>
          <t>NaSH</t>
        </is>
      </c>
      <c r="D407" s="2" t="inlineStr">
        <is>
          <t>reductant</t>
        </is>
      </c>
      <c r="E407" s="2" t="inlineStr">
        <is>
          <t>nucleophile</t>
        </is>
      </c>
      <c r="F407" s="2" t="n"/>
      <c r="G407" s="2" t="n">
        <v>144</v>
      </c>
      <c r="H407" s="2" t="inlineStr">
        <is>
          <t>Hydrosulfide (CID 5047209)</t>
        </is>
      </c>
      <c r="I407" s="2" t="inlineStr">
        <is>
          <t>From NaSH; selectively reduces an aromatic nitro group to the amine.</t>
        </is>
      </c>
      <c r="J407" s="2" t="inlineStr">
        <is>
          <t>named and classified by a chemist agent; reviewed by an independent agent</t>
        </is>
      </c>
    </row>
    <row r="408">
      <c r="A408" s="3" t="inlineStr">
        <is>
          <t>[CH3][Mg+]</t>
        </is>
      </c>
      <c r="B408" s="2" t="inlineStr">
        <is>
          <t>methylmagnesium cation</t>
        </is>
      </c>
      <c r="C408" s="2" t="inlineStr">
        <is>
          <t>MeMgX</t>
        </is>
      </c>
      <c r="D408" s="2" t="inlineStr">
        <is>
          <t>organometallic reagent</t>
        </is>
      </c>
      <c r="E408" s="2" t="inlineStr">
        <is>
          <t>nucleophile</t>
        </is>
      </c>
      <c r="F408" s="2" t="n"/>
      <c r="G408" s="2" t="n">
        <v>144</v>
      </c>
      <c r="H408" s="2" t="inlineStr"/>
      <c r="I408" s="2" t="inlineStr">
        <is>
          <t>Fragment of the Grignard reagent MeMgBr or MeMgCl.</t>
        </is>
      </c>
      <c r="J408" s="2" t="inlineStr">
        <is>
          <t>named and classified by a chemist agent; reviewed by an independent agent</t>
        </is>
      </c>
    </row>
    <row r="409">
      <c r="A409" s="3" t="inlineStr">
        <is>
          <t>[C-]#[O+]</t>
        </is>
      </c>
      <c r="B409" s="2" t="inlineStr">
        <is>
          <t>carbon monoxide</t>
        </is>
      </c>
      <c r="C409" s="2" t="inlineStr">
        <is>
          <t>CO</t>
        </is>
      </c>
      <c r="D409" s="2" t="inlineStr">
        <is>
          <t>gas</t>
        </is>
      </c>
      <c r="E409" s="2" t="inlineStr">
        <is>
          <t>ligand</t>
        </is>
      </c>
      <c r="F409" s="2" t="n"/>
      <c r="G409" s="2" t="n">
        <v>144</v>
      </c>
      <c r="H409" s="2" t="inlineStr">
        <is>
          <t>Carbon Monoxide (CID 281)</t>
        </is>
      </c>
      <c r="I409" s="2" t="inlineStr">
        <is>
          <t>Carbonylation reagent or metal carbonyl ligand (here with a Rh/PPh3 catalyst).</t>
        </is>
      </c>
      <c r="J409" s="2" t="inlineStr">
        <is>
          <t>named and classified by a chemist agent; reviewed by an independent agent</t>
        </is>
      </c>
    </row>
    <row r="410">
      <c r="A410" s="3" t="inlineStr">
        <is>
          <t>OB(O)O</t>
        </is>
      </c>
      <c r="B410" s="2" t="inlineStr">
        <is>
          <t>boric acid</t>
        </is>
      </c>
      <c r="C410" s="2" t="inlineStr">
        <is>
          <t>B(OH)3</t>
        </is>
      </c>
      <c r="D410" s="2" t="inlineStr">
        <is>
          <t>additive</t>
        </is>
      </c>
      <c r="E410" s="2" t="inlineStr">
        <is>
          <t>Lewis acid</t>
        </is>
      </c>
      <c r="F410" s="2" t="n"/>
      <c r="G410" s="2" t="n">
        <v>143</v>
      </c>
      <c r="H410" s="2" t="inlineStr">
        <is>
          <t>Boric Acid (CID 7628)</t>
        </is>
      </c>
      <c r="I410" s="2" t="inlineStr">
        <is>
          <t>Mild Lewis acid and buffer; also a catalyst for direct amidation. Incidental here.</t>
        </is>
      </c>
      <c r="J410" s="2" t="inlineStr">
        <is>
          <t>named and classified by a chemist agent; reviewed by an independent agent</t>
        </is>
      </c>
    </row>
    <row r="411">
      <c r="A411" s="3" t="inlineStr">
        <is>
          <t>N#Cc1ccccc1</t>
        </is>
      </c>
      <c r="B411" s="2" t="inlineStr">
        <is>
          <t>benzonitrile</t>
        </is>
      </c>
      <c r="C411" s="2" t="inlineStr">
        <is>
          <t>PhCN</t>
        </is>
      </c>
      <c r="D411" s="2" t="inlineStr">
        <is>
          <t>solvent</t>
        </is>
      </c>
      <c r="E411" s="2" t="inlineStr">
        <is>
          <t>ligand</t>
        </is>
      </c>
      <c r="F411" s="2" t="n"/>
      <c r="G411" s="2" t="n">
        <v>143</v>
      </c>
      <c r="H411" s="2" t="inlineStr">
        <is>
          <t>Benzonitrile (CID 7505)</t>
        </is>
      </c>
      <c r="I411" s="2" t="inlineStr">
        <is>
          <t>Polar solvent; also a loosely bound ligand, as in PdCl2(PhCN)2.</t>
        </is>
      </c>
      <c r="J411" s="2" t="inlineStr">
        <is>
          <t>named and classified by a chemist agent; reviewed by an independent agent</t>
        </is>
      </c>
    </row>
    <row r="412">
      <c r="A412" s="3" t="inlineStr">
        <is>
          <t>[Cu+]</t>
        </is>
      </c>
      <c r="B412" s="2" t="inlineStr">
        <is>
          <t>copper(I) ion</t>
        </is>
      </c>
      <c r="C412" s="2" t="inlineStr">
        <is>
          <t>Cu(I)</t>
        </is>
      </c>
      <c r="D412" s="2" t="inlineStr">
        <is>
          <t>catalyst (metal)</t>
        </is>
      </c>
      <c r="E412" s="2" t="inlineStr"/>
      <c r="F412" s="2" t="n"/>
      <c r="G412" s="2" t="n">
        <v>140</v>
      </c>
      <c r="H412" s="2" t="inlineStr">
        <is>
          <t>Copper(1+) (CID 104815)</t>
        </is>
      </c>
      <c r="I412" s="2" t="inlineStr">
        <is>
          <t>Cu(I) with a bis(oxazoline) ligand for asymmetric cyclopropanation with ethyl diazoacetate.</t>
        </is>
      </c>
      <c r="J412" s="2" t="inlineStr">
        <is>
          <t>named and classified by a chemist agent; reviewed by an independent agent</t>
        </is>
      </c>
    </row>
    <row r="413">
      <c r="A413" s="3" t="inlineStr">
        <is>
          <t>OB(O)c1ccccc1</t>
        </is>
      </c>
      <c r="B413" s="2" t="inlineStr">
        <is>
          <t>phenylboronic acid</t>
        </is>
      </c>
      <c r="C413" s="2" t="inlineStr">
        <is>
          <t>PhB(OH)2</t>
        </is>
      </c>
      <c r="D413" s="2" t="inlineStr">
        <is>
          <t>nucleophile</t>
        </is>
      </c>
      <c r="E413" s="2" t="inlineStr">
        <is>
          <t>organometallic reagent</t>
        </is>
      </c>
      <c r="F413" s="2" t="n"/>
      <c r="G413" s="2" t="n">
        <v>139</v>
      </c>
      <c r="H413" s="2" t="inlineStr">
        <is>
          <t>Phenylboronic Acid (CID 66827)</t>
        </is>
      </c>
      <c r="I413" s="2" t="inlineStr">
        <is>
          <t>Aryl donor in Pd-catalyzed Suzuki coupling.</t>
        </is>
      </c>
      <c r="J413" s="2" t="inlineStr">
        <is>
          <t>named and classified by a chemist agent; reviewed by an independent agent</t>
        </is>
      </c>
    </row>
    <row r="414">
      <c r="A414" s="3" t="inlineStr">
        <is>
          <t>C1CC[NH2+]CC1</t>
        </is>
      </c>
      <c r="B414" s="2" t="inlineStr">
        <is>
          <t>piperidinium ion</t>
        </is>
      </c>
      <c r="C414" s="2" t="inlineStr"/>
      <c r="D414" s="2" t="inlineStr">
        <is>
          <t>counter-ion / spectator ion</t>
        </is>
      </c>
      <c r="E414" s="2" t="inlineStr"/>
      <c r="F414" s="2" t="n"/>
      <c r="G414" s="2" t="n">
        <v>139</v>
      </c>
      <c r="H414" s="2" t="inlineStr">
        <is>
          <t>1-Piperidinium (CID 637969)</t>
        </is>
      </c>
      <c r="I414" s="2" t="inlineStr">
        <is>
          <t>Protonated piperidine, the cation of a carboxylate salt.</t>
        </is>
      </c>
      <c r="J414" s="2" t="inlineStr">
        <is>
          <t>named and classified by a chemist agent; reviewed by an independent agent</t>
        </is>
      </c>
    </row>
    <row r="415">
      <c r="A415" s="3" t="inlineStr">
        <is>
          <t>CSc1ccccc1</t>
        </is>
      </c>
      <c r="B415" s="2" t="inlineStr">
        <is>
          <t>thioanisole</t>
        </is>
      </c>
      <c r="C415" s="2" t="inlineStr">
        <is>
          <t>PhSMe</t>
        </is>
      </c>
      <c r="D415" s="2" t="inlineStr">
        <is>
          <t>additive</t>
        </is>
      </c>
      <c r="E415" s="2" t="inlineStr"/>
      <c r="F415" s="2" t="n"/>
      <c r="G415" s="2" t="n">
        <v>138</v>
      </c>
      <c r="H415" s="2" t="inlineStr">
        <is>
          <t>Thioanisole (CID 7520)</t>
        </is>
      </c>
      <c r="I415" s="2" t="inlineStr">
        <is>
          <t>Traps carbocations during Boc or tBu removal with TFA.</t>
        </is>
      </c>
      <c r="J415" s="2" t="inlineStr">
        <is>
          <t>named and classified by a chemist agent; reviewed by an independent agent</t>
        </is>
      </c>
    </row>
    <row r="416">
      <c r="A416" s="3" t="inlineStr">
        <is>
          <t>Cc1cc(C(C)(C)C)c(O)c(C(C)(C)C)c1</t>
        </is>
      </c>
      <c r="B416" s="2" t="inlineStr">
        <is>
          <t>butylated hydroxytoluene (2,6-di-tert-butyl-4-methylphenol)</t>
        </is>
      </c>
      <c r="C416" s="2" t="inlineStr">
        <is>
          <t>BHT</t>
        </is>
      </c>
      <c r="D416" s="2" t="inlineStr">
        <is>
          <t>additive</t>
        </is>
      </c>
      <c r="E416" s="2" t="inlineStr"/>
      <c r="F416" s="2" t="n"/>
      <c r="G416" s="2" t="n">
        <v>136</v>
      </c>
      <c r="H416" s="2" t="inlineStr">
        <is>
          <t>2,6-Di-tert-butyl-4-methylphenol (CID 31404)</t>
        </is>
      </c>
      <c r="I416" s="2" t="inlineStr">
        <is>
          <t>Radical inhibitor / stabilizer (e.g., in THF and other ethers).</t>
        </is>
      </c>
      <c r="J416" s="2" t="inlineStr">
        <is>
          <t>named and classified by a chemist agent; reviewed by an independent agent</t>
        </is>
      </c>
    </row>
    <row r="417">
      <c r="A417" s="3" t="inlineStr">
        <is>
          <t>COCC[O][Al+][O]CCOC</t>
        </is>
      </c>
      <c r="B417" s="2" t="inlineStr">
        <is>
          <t>bis(2-methoxyethoxy)aluminum cation</t>
        </is>
      </c>
      <c r="C417" s="2" t="inlineStr">
        <is>
          <t>Red-Al</t>
        </is>
      </c>
      <c r="D417" s="2" t="inlineStr">
        <is>
          <t>reductant</t>
        </is>
      </c>
      <c r="E417" s="2" t="inlineStr"/>
      <c r="F417" s="2" t="n"/>
      <c r="G417" s="2" t="n">
        <v>136</v>
      </c>
      <c r="H417" s="2" t="inlineStr">
        <is>
          <t>Bis(2-methoxyethoxy)alumanylium (CID 18764105)</t>
        </is>
      </c>
      <c r="I417" s="2" t="inlineStr">
        <is>
          <t>Fragment of Red-Al (with H- and Na+); reduces azides, esters and amides.</t>
        </is>
      </c>
      <c r="J417" s="2" t="inlineStr">
        <is>
          <t>named and classified by a chemist agent; reviewed by an independent agent</t>
        </is>
      </c>
    </row>
    <row r="418">
      <c r="A418" s="3" t="inlineStr">
        <is>
          <t>C[Si](C)(C)CC(N)=O</t>
        </is>
      </c>
      <c r="B418" s="2" t="inlineStr">
        <is>
          <t>(trimethylsilyl)acetamide</t>
        </is>
      </c>
      <c r="C418" s="2" t="inlineStr">
        <is>
          <t>TMS-acetamide</t>
        </is>
      </c>
      <c r="D418" s="2" t="inlineStr">
        <is>
          <t>protecting-group reagent</t>
        </is>
      </c>
      <c r="E418" s="2" t="inlineStr"/>
      <c r="F418" s="2" t="n"/>
      <c r="G418" s="2" t="n">
        <v>136</v>
      </c>
      <c r="H418" s="2" t="inlineStr">
        <is>
          <t>Acetamide, 2-(trimethylsilyl)- (CID 357676)</t>
        </is>
      </c>
      <c r="I418" s="2" t="inlineStr">
        <is>
          <t>Probably N-TMS-acetamide or BSA; temporarily silylates the cephalosporin acid and amine before DCC coupling.</t>
        </is>
      </c>
      <c r="J418" s="2" t="inlineStr">
        <is>
          <t>named and classified by a chemist agent; reviewed by an independent agent</t>
        </is>
      </c>
    </row>
    <row r="419">
      <c r="A419" s="3" t="inlineStr">
        <is>
          <t>C[Si](C)(C)C#N</t>
        </is>
      </c>
      <c r="B419" s="2" t="inlineStr">
        <is>
          <t>trimethylsilyl cyanide</t>
        </is>
      </c>
      <c r="C419" s="2" t="inlineStr">
        <is>
          <t>TMSCN</t>
        </is>
      </c>
      <c r="D419" s="2" t="inlineStr">
        <is>
          <t>nucleophile</t>
        </is>
      </c>
      <c r="E419" s="2" t="inlineStr"/>
      <c r="F419" s="2" t="n"/>
      <c r="G419" s="2" t="n">
        <v>135</v>
      </c>
      <c r="H419" s="2" t="inlineStr">
        <is>
          <t>Trimethylsilyl cyanide (CID 82115)</t>
        </is>
      </c>
      <c r="I419" s="2" t="inlineStr">
        <is>
          <t>Cyanide source for Strecker reactions and cyanohydrins.</t>
        </is>
      </c>
      <c r="J419" s="2" t="inlineStr">
        <is>
          <t>named and classified by a chemist agent; reviewed by an independent agent</t>
        </is>
      </c>
    </row>
    <row r="420">
      <c r="A420" s="3" t="inlineStr">
        <is>
          <t>COC(C)(C)OC</t>
        </is>
      </c>
      <c r="B420" s="2" t="inlineStr">
        <is>
          <t>2,2-dimethoxypropane</t>
        </is>
      </c>
      <c r="C420" s="2" t="inlineStr">
        <is>
          <t>2,2-DMP</t>
        </is>
      </c>
      <c r="D420" s="2" t="inlineStr">
        <is>
          <t>dehydrating / activating agent</t>
        </is>
      </c>
      <c r="E420" s="2" t="inlineStr">
        <is>
          <t>protecting-group reagent</t>
        </is>
      </c>
      <c r="F420" s="2" t="n"/>
      <c r="G420" s="2" t="n">
        <v>135</v>
      </c>
      <c r="H420" s="2" t="inlineStr">
        <is>
          <t>2,2-Dimethoxypropane (CID 6495)</t>
        </is>
      </c>
      <c r="I420" s="2" t="inlineStr">
        <is>
          <t>Removes water, pushing the acid-catalyzed esterification forward; also forms acetonides.</t>
        </is>
      </c>
      <c r="J420" s="2" t="inlineStr">
        <is>
          <t>named and classified by a chemist agent; reviewed by an independent agent</t>
        </is>
      </c>
    </row>
    <row r="421">
      <c r="A421" s="3" t="inlineStr">
        <is>
          <t>CN1CC[NH+](C)C1Cl</t>
        </is>
      </c>
      <c r="B421" s="2" t="inlineStr">
        <is>
          <t>2-chloro-1,3-dimethylimidazolidin-1-ium</t>
        </is>
      </c>
      <c r="C421" s="2" t="inlineStr">
        <is>
          <t>DMC</t>
        </is>
      </c>
      <c r="D421" s="2" t="inlineStr">
        <is>
          <t>coupling reagent (activates an acid)</t>
        </is>
      </c>
      <c r="E421" s="2" t="inlineStr"/>
      <c r="F421" s="2" t="n"/>
      <c r="G421" s="2" t="n">
        <v>134</v>
      </c>
      <c r="H421" s="2" t="inlineStr">
        <is>
          <t>2-Chloro-1,3-dimethylimidazolidin-1-ium (CID 57501467)</t>
        </is>
      </c>
      <c r="I421" s="2" t="inlineStr">
        <is>
          <t>Drawn as a protonated saturated form; DMC (Cl- salt) activates acids for amide coupling.</t>
        </is>
      </c>
      <c r="J421" s="2" t="inlineStr">
        <is>
          <t>named and classified by a chemist agent; reviewed by an independent agent; name corrected after comparing with PubChem (was: 2-chloro-1,3-dimethylimidazolinium ion)</t>
        </is>
      </c>
    </row>
    <row r="422">
      <c r="A422" s="3" t="inlineStr">
        <is>
          <t>CC(C)[O][Ti]([O]C(C)C)([O]C(C)C)[O]C(C)C</t>
        </is>
      </c>
      <c r="B422" s="2" t="inlineStr">
        <is>
          <t>titanium(IV) isopropoxide</t>
        </is>
      </c>
      <c r="C422" s="2" t="inlineStr">
        <is>
          <t>Ti(OiPr)4</t>
        </is>
      </c>
      <c r="D422" s="2" t="inlineStr">
        <is>
          <t>Lewis acid</t>
        </is>
      </c>
      <c r="E422" s="2" t="inlineStr">
        <is>
          <t>dehydrating / activating agent</t>
        </is>
      </c>
      <c r="F422" s="2" t="n"/>
      <c r="G422" s="2" t="n">
        <v>134</v>
      </c>
      <c r="H422" s="2" t="inlineStr">
        <is>
          <t>Titanium tetraisopropoxide (CID 110612)</t>
        </is>
      </c>
      <c r="I422" s="2" t="inlineStr">
        <is>
          <t>Helps the imine form in reductive amination with NaBH3CN.</t>
        </is>
      </c>
      <c r="J422" s="2" t="inlineStr">
        <is>
          <t>named and classified by a chemist agent; reviewed by an independent agent</t>
        </is>
      </c>
    </row>
    <row r="423">
      <c r="A423" s="3" t="inlineStr">
        <is>
          <t>O=S(=O)([O-])O[O-]</t>
        </is>
      </c>
      <c r="B423" s="2" t="inlineStr">
        <is>
          <t>peroxymonosulfate ion</t>
        </is>
      </c>
      <c r="C423" s="2" t="inlineStr">
        <is>
          <t>Oxone</t>
        </is>
      </c>
      <c r="D423" s="2" t="inlineStr">
        <is>
          <t>oxidant</t>
        </is>
      </c>
      <c r="E423" s="2" t="inlineStr"/>
      <c r="F423" s="2" t="n"/>
      <c r="G423" s="2" t="n">
        <v>133</v>
      </c>
      <c r="H423" s="2" t="inlineStr">
        <is>
          <t>Peroxymonosulfate (CID 159922)</t>
        </is>
      </c>
      <c r="I423" s="2" t="inlineStr">
        <is>
          <t>From Oxone (KHSO5); oxidant. Its role in this record is unclear.</t>
        </is>
      </c>
      <c r="J423" s="2" t="inlineStr">
        <is>
          <t>named and classified by a chemist agent; reviewed by an independent agent</t>
        </is>
      </c>
    </row>
    <row r="424">
      <c r="A424" s="3" t="inlineStr">
        <is>
          <t>CCCC(C)C</t>
        </is>
      </c>
      <c r="B424" s="2" t="inlineStr">
        <is>
          <t>2-methylpentane</t>
        </is>
      </c>
      <c r="C424" s="2" t="inlineStr">
        <is>
          <t>isohexane</t>
        </is>
      </c>
      <c r="D424" s="2" t="inlineStr">
        <is>
          <t>solvent</t>
        </is>
      </c>
      <c r="E424" s="2" t="inlineStr"/>
      <c r="F424" s="2" t="n"/>
      <c r="G424" s="2" t="n">
        <v>132</v>
      </c>
      <c r="H424" s="2" t="inlineStr">
        <is>
          <t>2-Methylpentane (CID 7892)</t>
        </is>
      </c>
      <c r="I424" s="2" t="inlineStr">
        <is>
          <t>Hydrocarbon solvent (part of hexanes).</t>
        </is>
      </c>
      <c r="J424" s="2" t="inlineStr">
        <is>
          <t>named and classified by a chemist agent; reviewed by an independent agent</t>
        </is>
      </c>
    </row>
    <row r="425">
      <c r="A425" s="3" t="inlineStr">
        <is>
          <t>CC(C)CCO</t>
        </is>
      </c>
      <c r="B425" s="2" t="inlineStr">
        <is>
          <t>isoamyl alcohol (3-methyl-1-butanol)</t>
        </is>
      </c>
      <c r="C425" s="2" t="inlineStr"/>
      <c r="D425" s="2" t="inlineStr">
        <is>
          <t>solvent</t>
        </is>
      </c>
      <c r="E425" s="2" t="inlineStr"/>
      <c r="F425" s="2" t="n"/>
      <c r="G425" s="2" t="n">
        <v>132</v>
      </c>
      <c r="H425" s="2" t="inlineStr">
        <is>
          <t>Isoamyl Alcohol (CID 31260)</t>
        </is>
      </c>
      <c r="I425" s="2" t="inlineStr">
        <is>
          <t>High-boiling alcohol solvent.</t>
        </is>
      </c>
      <c r="J425" s="2" t="inlineStr">
        <is>
          <t>named and classified by a chemist agent; reviewed by an independent agent</t>
        </is>
      </c>
    </row>
    <row r="426">
      <c r="A426" s="3" t="inlineStr">
        <is>
          <t>CCCCCO</t>
        </is>
      </c>
      <c r="B426" s="2" t="inlineStr">
        <is>
          <t>1-pentanol</t>
        </is>
      </c>
      <c r="C426" s="2" t="inlineStr"/>
      <c r="D426" s="2" t="inlineStr">
        <is>
          <t>solvent</t>
        </is>
      </c>
      <c r="E426" s="2" t="inlineStr"/>
      <c r="F426" s="2" t="n"/>
      <c r="G426" s="2" t="n">
        <v>131</v>
      </c>
      <c r="H426" s="2" t="inlineStr">
        <is>
          <t>1-Pentanol (CID 6276)</t>
        </is>
      </c>
      <c r="I426" s="2" t="inlineStr">
        <is>
          <t>High-boiling alcohol solvent for acid-catalyzed SNAr amination.</t>
        </is>
      </c>
      <c r="J426" s="2" t="inlineStr">
        <is>
          <t>named and classified by a chemist agent; reviewed by an independent agent</t>
        </is>
      </c>
    </row>
    <row r="427">
      <c r="A427" s="3" t="inlineStr">
        <is>
          <t>CC(C)(C)C(=O)O</t>
        </is>
      </c>
      <c r="B427" s="2" t="inlineStr">
        <is>
          <t>pivalic acid</t>
        </is>
      </c>
      <c r="C427" s="2" t="inlineStr">
        <is>
          <t>PivOH</t>
        </is>
      </c>
      <c r="D427" s="2" t="inlineStr">
        <is>
          <t>acid</t>
        </is>
      </c>
      <c r="E427" s="2" t="inlineStr">
        <is>
          <t>additive</t>
        </is>
      </c>
      <c r="F427" s="2" t="n"/>
      <c r="G427" s="2" t="n">
        <v>131</v>
      </c>
      <c r="H427" s="2" t="inlineStr">
        <is>
          <t>Pivalic acid (CID 6417)</t>
        </is>
      </c>
      <c r="I427" s="2" t="inlineStr">
        <is>
          <t>Acid catalyst for SNAr on chloropyrimidines; also a CMD additive in C-H activation.</t>
        </is>
      </c>
      <c r="J427" s="2" t="inlineStr">
        <is>
          <t>named and classified by a chemist agent; reviewed by an independent agent</t>
        </is>
      </c>
    </row>
    <row r="428">
      <c r="A428" s="3" t="inlineStr">
        <is>
          <t>CCOC=O</t>
        </is>
      </c>
      <c r="B428" s="2" t="inlineStr">
        <is>
          <t>ethyl formate</t>
        </is>
      </c>
      <c r="C428" s="2" t="inlineStr"/>
      <c r="D428" s="2" t="inlineStr">
        <is>
          <t>electrophile / alkylating agent</t>
        </is>
      </c>
      <c r="E428" s="2" t="inlineStr"/>
      <c r="F428" s="2" t="n"/>
      <c r="G428" s="2" t="n">
        <v>129</v>
      </c>
      <c r="H428" s="2" t="inlineStr">
        <is>
          <t>Ethyl formate (CID 8025)</t>
        </is>
      </c>
      <c r="I428" s="2" t="inlineStr">
        <is>
          <t>Formylates amines (N-formylation).</t>
        </is>
      </c>
      <c r="J428" s="2" t="inlineStr">
        <is>
          <t>named and classified by a chemist agent; reviewed by an independent agent</t>
        </is>
      </c>
    </row>
    <row r="429">
      <c r="A429" s="3" t="inlineStr">
        <is>
          <t>C[S-]</t>
        </is>
      </c>
      <c r="B429" s="2" t="inlineStr">
        <is>
          <t>methanethiolate ion</t>
        </is>
      </c>
      <c r="C429" s="2" t="inlineStr">
        <is>
          <t>NaSMe</t>
        </is>
      </c>
      <c r="D429" s="2" t="inlineStr">
        <is>
          <t>nucleophile</t>
        </is>
      </c>
      <c r="E429" s="2" t="inlineStr">
        <is>
          <t>deprotecting agent</t>
        </is>
      </c>
      <c r="F429" s="2" t="n"/>
      <c r="G429" s="2" t="n">
        <v>128</v>
      </c>
      <c r="H429" s="2" t="inlineStr"/>
      <c r="I429" s="2" t="inlineStr">
        <is>
          <t>From NaSMe or KSMe; cleaves methyl esters by SN2.</t>
        </is>
      </c>
      <c r="J429" s="2" t="inlineStr">
        <is>
          <t>named and classified by a chemist agent; reviewed by an independent agent; PubChem's title for this SMILES was wrong (Mercaptomethanide (CID 519392)): CH3S-. CID 519392's IUPAC name is methanethiolate, but its title 'Mercaptomethanide' names the carbanion HSCH2-.</t>
        </is>
      </c>
    </row>
    <row r="430">
      <c r="A430" s="3" t="inlineStr">
        <is>
          <t>CCCCP(=CC#N)(CCCC)CCCC</t>
        </is>
      </c>
      <c r="B430" s="2" t="inlineStr">
        <is>
          <t>(cyanomethylene)tributylphosphorane</t>
        </is>
      </c>
      <c r="C430" s="2" t="inlineStr">
        <is>
          <t>CMBP</t>
        </is>
      </c>
      <c r="D430" s="2" t="inlineStr">
        <is>
          <t>dehydrating / activating agent</t>
        </is>
      </c>
      <c r="E430" s="2" t="inlineStr"/>
      <c r="F430" s="2" t="n"/>
      <c r="G430" s="2" t="n">
        <v>128</v>
      </c>
      <c r="H430" s="2" t="inlineStr">
        <is>
          <t>Cyanomethylenetributylphosphorane (CID 4622928)</t>
        </is>
      </c>
      <c r="I430" s="2" t="inlineStr">
        <is>
          <t>Tsunoda reagent for Mitsunobu-type alkylations.</t>
        </is>
      </c>
      <c r="J430" s="2" t="inlineStr">
        <is>
          <t>named and classified by a chemist agent; reviewed by an independent agent</t>
        </is>
      </c>
    </row>
    <row r="431">
      <c r="A431" s="3" t="inlineStr">
        <is>
          <t>NC(N)=S</t>
        </is>
      </c>
      <c r="B431" s="2" t="inlineStr">
        <is>
          <t>thiourea</t>
        </is>
      </c>
      <c r="C431" s="2" t="inlineStr"/>
      <c r="D431" s="2" t="inlineStr">
        <is>
          <t>nucleophile</t>
        </is>
      </c>
      <c r="E431" s="2" t="inlineStr">
        <is>
          <t>additive</t>
        </is>
      </c>
      <c r="F431" s="2" t="n"/>
      <c r="G431" s="2" t="n">
        <v>128</v>
      </c>
      <c r="H431" s="2" t="inlineStr">
        <is>
          <t>Thiourea (CID 2723790)</t>
        </is>
      </c>
      <c r="I431" s="2" t="inlineStr">
        <is>
          <t>Soft sulfur nucleophile; here works with AlCl3 to demethylate an aryl methyl ether.</t>
        </is>
      </c>
      <c r="J431" s="2" t="inlineStr">
        <is>
          <t>named and classified by a chemist agent; reviewed by an independent agent</t>
        </is>
      </c>
    </row>
    <row r="432">
      <c r="A432" s="3" t="inlineStr">
        <is>
          <t>CCOC(=O)C(C#N)=NOC(N(C)C)=[N+](C)C</t>
        </is>
      </c>
      <c r="B432" s="2" t="inlineStr">
        <is>
          <t>TOTU (cation)</t>
        </is>
      </c>
      <c r="C432" s="2" t="inlineStr">
        <is>
          <t>TOTU</t>
        </is>
      </c>
      <c r="D432" s="2" t="inlineStr">
        <is>
          <t>coupling reagent (activates an acid)</t>
        </is>
      </c>
      <c r="E432" s="2" t="inlineStr"/>
      <c r="F432" s="2" t="n"/>
      <c r="G432" s="2" t="n">
        <v>128</v>
      </c>
      <c r="H432" s="2" t="inlineStr">
        <is>
          <t>[[(1-Cyano-2-ethoxy-2-oxoethylidene)amino]oxy-(dimethylamino)methylidene]-dimethylazanium (CID 2733287)</t>
        </is>
      </c>
      <c r="I432" s="2" t="inlineStr">
        <is>
          <t>Uronium coupling reagent (BF4- salt) for amide formation.</t>
        </is>
      </c>
      <c r="J432" s="2" t="inlineStr">
        <is>
          <t>named and classified by a chemist agent; reviewed by an independent agent</t>
        </is>
      </c>
    </row>
    <row r="433">
      <c r="A433" s="3" t="inlineStr">
        <is>
          <t>C=[N+]=[N-]</t>
        </is>
      </c>
      <c r="B433" s="2" t="inlineStr">
        <is>
          <t>diazomethane</t>
        </is>
      </c>
      <c r="C433" s="2" t="inlineStr">
        <is>
          <t>CH2N2</t>
        </is>
      </c>
      <c r="D433" s="2" t="inlineStr">
        <is>
          <t>electrophile / alkylating agent</t>
        </is>
      </c>
      <c r="E433" s="2" t="inlineStr"/>
      <c r="F433" s="2" t="n"/>
      <c r="G433" s="2" t="n">
        <v>128</v>
      </c>
      <c r="H433" s="2" t="inlineStr">
        <is>
          <t>Diazomethane (CID 9550)</t>
        </is>
      </c>
      <c r="I433" s="2" t="inlineStr">
        <is>
          <t>Turns carboxylic acids into methyl esters.</t>
        </is>
      </c>
      <c r="J433" s="2" t="inlineStr">
        <is>
          <t>named and classified by a chemist agent; reviewed by an independent agent</t>
        </is>
      </c>
    </row>
    <row r="434">
      <c r="A434" s="3" t="inlineStr">
        <is>
          <t>Cc1ccc(C)cc1</t>
        </is>
      </c>
      <c r="B434" s="2" t="inlineStr">
        <is>
          <t>p-xylene</t>
        </is>
      </c>
      <c r="C434" s="2" t="inlineStr"/>
      <c r="D434" s="2" t="inlineStr">
        <is>
          <t>solvent</t>
        </is>
      </c>
      <c r="E434" s="2" t="inlineStr"/>
      <c r="F434" s="2" t="n"/>
      <c r="G434" s="2" t="n">
        <v>128</v>
      </c>
      <c r="H434" s="2" t="inlineStr">
        <is>
          <t>P-Xylene (CID 7809)</t>
        </is>
      </c>
      <c r="I434" s="2" t="inlineStr">
        <is>
          <t>Aromatic hydrocarbon solvent.</t>
        </is>
      </c>
      <c r="J434" s="2" t="inlineStr">
        <is>
          <t>named and classified by a chemist agent; reviewed by an independent agent</t>
        </is>
      </c>
    </row>
    <row r="435">
      <c r="A435" s="3" t="inlineStr">
        <is>
          <t>COCC(C)O</t>
        </is>
      </c>
      <c r="B435" s="2" t="inlineStr">
        <is>
          <t>1-methoxy-2-propanol</t>
        </is>
      </c>
      <c r="C435" s="2" t="inlineStr">
        <is>
          <t>PGME</t>
        </is>
      </c>
      <c r="D435" s="2" t="inlineStr">
        <is>
          <t>solvent</t>
        </is>
      </c>
      <c r="E435" s="2" t="inlineStr"/>
      <c r="F435" s="2" t="n"/>
      <c r="G435" s="2" t="n">
        <v>128</v>
      </c>
      <c r="H435" s="2" t="inlineStr">
        <is>
          <t>1-Methoxy-2-propanol (CID 7900)</t>
        </is>
      </c>
      <c r="I435" s="2" t="inlineStr">
        <is>
          <t>Propylene glycol methyl ether; polar protic solvent for SNAr.</t>
        </is>
      </c>
      <c r="J435" s="2" t="inlineStr">
        <is>
          <t>named and classified by a chemist agent; reviewed by an independent agent</t>
        </is>
      </c>
    </row>
    <row r="436">
      <c r="A436" s="3" t="inlineStr">
        <is>
          <t>[Mn+2]</t>
        </is>
      </c>
      <c r="B436" s="2" t="inlineStr">
        <is>
          <t>manganese(II) ion</t>
        </is>
      </c>
      <c r="C436" s="2" t="inlineStr">
        <is>
          <t>MnO2</t>
        </is>
      </c>
      <c r="D436" s="2" t="inlineStr">
        <is>
          <t>oxidant</t>
        </is>
      </c>
      <c r="E436" s="2" t="inlineStr"/>
      <c r="F436" s="2" t="n"/>
      <c r="G436" s="2" t="n">
        <v>127</v>
      </c>
      <c r="H436" s="2" t="inlineStr">
        <is>
          <t>Manganese(2+) (CID 27854)</t>
        </is>
      </c>
      <c r="I436" s="2" t="inlineStr">
        <is>
          <t>Recorded from a manganese oxide (with O2-); MnO2 oxidizes benzylic alcohols to aldehydes.</t>
        </is>
      </c>
      <c r="J436" s="2" t="inlineStr">
        <is>
          <t>named and classified by a chemist agent; reviewed by an independent agent</t>
        </is>
      </c>
    </row>
    <row r="437">
      <c r="A437" s="3" t="inlineStr">
        <is>
          <t>CCC(C)O</t>
        </is>
      </c>
      <c r="B437" s="2" t="inlineStr">
        <is>
          <t>2-butanol</t>
        </is>
      </c>
      <c r="C437" s="2" t="inlineStr">
        <is>
          <t>sec-BuOH</t>
        </is>
      </c>
      <c r="D437" s="2" t="inlineStr">
        <is>
          <t>solvent</t>
        </is>
      </c>
      <c r="E437" s="2" t="inlineStr"/>
      <c r="F437" s="2" t="n"/>
      <c r="G437" s="2" t="n">
        <v>126</v>
      </c>
      <c r="H437" s="2" t="inlineStr">
        <is>
          <t>(+-)-2-Butanol (CID 6568)</t>
        </is>
      </c>
      <c r="I437" s="2" t="inlineStr">
        <is>
          <t>Alcohol solvent for acid-catalyzed SNAr amination.</t>
        </is>
      </c>
      <c r="J437" s="2" t="inlineStr">
        <is>
          <t>named and classified by a chemist agent; reviewed by an independent agent</t>
        </is>
      </c>
    </row>
    <row r="438">
      <c r="A438" s="3" t="inlineStr">
        <is>
          <t>[O]=[Cu]</t>
        </is>
      </c>
      <c r="B438" s="2" t="inlineStr">
        <is>
          <t>copper(II) oxide</t>
        </is>
      </c>
      <c r="C438" s="2" t="inlineStr">
        <is>
          <t>CuO</t>
        </is>
      </c>
      <c r="D438" s="2" t="inlineStr">
        <is>
          <t>catalyst (metal)</t>
        </is>
      </c>
      <c r="E438" s="2" t="inlineStr"/>
      <c r="F438" s="2" t="n"/>
      <c r="G438" s="2" t="n">
        <v>126</v>
      </c>
      <c r="H438" s="2" t="inlineStr">
        <is>
          <t>Copper oxide (CID 14829)</t>
        </is>
      </c>
      <c r="I438" s="2" t="inlineStr">
        <is>
          <t>Copper catalyst for Ullmann C-N coupling.</t>
        </is>
      </c>
      <c r="J438" s="2" t="inlineStr">
        <is>
          <t>named and classified by a chemist agent; reviewed by an independent agent</t>
        </is>
      </c>
    </row>
    <row r="439">
      <c r="A439" s="3" t="inlineStr">
        <is>
          <t>[Br][Cu][Br]</t>
        </is>
      </c>
      <c r="B439" s="2" t="inlineStr">
        <is>
          <t>copper(II) bromide</t>
        </is>
      </c>
      <c r="C439" s="2" t="inlineStr">
        <is>
          <t>CuBr2</t>
        </is>
      </c>
      <c r="D439" s="2" t="inlineStr">
        <is>
          <t>catalyst (metal)</t>
        </is>
      </c>
      <c r="E439" s="2" t="inlineStr">
        <is>
          <t>halogenating agent</t>
        </is>
      </c>
      <c r="F439" s="2" t="n"/>
      <c r="G439" s="2" t="n">
        <v>126</v>
      </c>
      <c r="H439" s="2" t="inlineStr">
        <is>
          <t>Copper bromide (CuBr2) (CID 24611)</t>
        </is>
      </c>
      <c r="I439" s="2" t="inlineStr">
        <is>
          <t>Cu co-catalyst in Sonogashira coupling; also brominates ketones at the alpha carbon.</t>
        </is>
      </c>
      <c r="J439" s="2" t="inlineStr">
        <is>
          <t>named and classified by a chemist agent; reviewed by an independent agent</t>
        </is>
      </c>
    </row>
    <row r="440">
      <c r="A440" s="3" t="inlineStr">
        <is>
          <t>C[CH2][Zn][CH2]C</t>
        </is>
      </c>
      <c r="B440" s="2" t="inlineStr">
        <is>
          <t>diethylzinc</t>
        </is>
      </c>
      <c r="C440" s="2" t="inlineStr">
        <is>
          <t>Et2Zn</t>
        </is>
      </c>
      <c r="D440" s="2" t="inlineStr">
        <is>
          <t>organometallic reagent</t>
        </is>
      </c>
      <c r="E440" s="2" t="inlineStr"/>
      <c r="F440" s="2" t="n"/>
      <c r="G440" s="2" t="n">
        <v>126</v>
      </c>
      <c r="H440" s="2" t="inlineStr">
        <is>
          <t>ZINC;ethane (CID 11185)</t>
        </is>
      </c>
      <c r="I440" s="2" t="inlineStr">
        <is>
          <t>Organozinc reagent; here probably part of a Pd/zinc cyanation system.</t>
        </is>
      </c>
      <c r="J440" s="2" t="inlineStr">
        <is>
          <t>named and classified by a chemist agent; reviewed by an independent agent</t>
        </is>
      </c>
    </row>
    <row r="441">
      <c r="A441" s="3" t="inlineStr">
        <is>
          <t>C1=CCCC=CCC1</t>
        </is>
      </c>
      <c r="B441" s="2" t="inlineStr">
        <is>
          <t>1,5-cyclooctadiene</t>
        </is>
      </c>
      <c r="C441" s="2" t="inlineStr">
        <is>
          <t>COD</t>
        </is>
      </c>
      <c r="D441" s="2" t="inlineStr">
        <is>
          <t>ligand</t>
        </is>
      </c>
      <c r="E441" s="2" t="inlineStr"/>
      <c r="F441" s="2" t="n"/>
      <c r="G441" s="2" t="n">
        <v>125</v>
      </c>
      <c r="H441" s="2" t="inlineStr">
        <is>
          <t>cis,cis-1,5-Cyclooctadiene (CID 8135)</t>
        </is>
      </c>
      <c r="I441" s="2" t="inlineStr">
        <is>
          <t>Labile diene ligand from Pd, Ni, Ir or Rh COD precursors.</t>
        </is>
      </c>
      <c r="J441" s="2" t="inlineStr">
        <is>
          <t>named and classified by a chemist agent; reviewed by an independent agent</t>
        </is>
      </c>
    </row>
    <row r="442">
      <c r="A442" s="3" t="inlineStr">
        <is>
          <t>C1CCC(NC2CCCCC2)CC1</t>
        </is>
      </c>
      <c r="B442" s="2" t="inlineStr">
        <is>
          <t>dicyclohexylamine</t>
        </is>
      </c>
      <c r="C442" s="2" t="inlineStr">
        <is>
          <t>Cy2NH</t>
        </is>
      </c>
      <c r="D442" s="2" t="inlineStr">
        <is>
          <t>base</t>
        </is>
      </c>
      <c r="E442" s="2" t="inlineStr"/>
      <c r="F442" s="2" t="n">
        <v>10.4</v>
      </c>
      <c r="G442" s="2" t="n">
        <v>124</v>
      </c>
      <c r="H442" s="2" t="inlineStr">
        <is>
          <t>Dicyclohexylamine (CID 7582)</t>
        </is>
      </c>
      <c r="I442" s="2" t="inlineStr">
        <is>
          <t>Hindered secondary amine base (pKa in water); also forms crystalline DCHA salts of acids.</t>
        </is>
      </c>
      <c r="J442" s="2" t="inlineStr">
        <is>
          <t>named and classified by a chemist agent; reviewed by an independent agent</t>
        </is>
      </c>
    </row>
    <row r="443">
      <c r="A443" s="3" t="inlineStr">
        <is>
          <t>[O-][I+3]([O-])([O-])O</t>
        </is>
      </c>
      <c r="B443" s="2" t="inlineStr">
        <is>
          <t>periodic acid</t>
        </is>
      </c>
      <c r="C443" s="2" t="inlineStr">
        <is>
          <t>H5IO6</t>
        </is>
      </c>
      <c r="D443" s="2" t="inlineStr">
        <is>
          <t>oxidant</t>
        </is>
      </c>
      <c r="E443" s="2" t="inlineStr"/>
      <c r="F443" s="2" t="n"/>
      <c r="G443" s="2" t="n">
        <v>124</v>
      </c>
      <c r="H443" s="2" t="inlineStr"/>
      <c r="I443" s="2" t="inlineStr">
        <is>
          <t>Terminal oxidant with catalytic CrO3 or RuCl3; also cleaves 1,2-diols.</t>
        </is>
      </c>
      <c r="J443" s="2" t="inlineStr">
        <is>
          <t>named and classified by a chemist agent; reviewed by an independent agent</t>
        </is>
      </c>
    </row>
    <row r="444">
      <c r="A444" s="3" t="inlineStr">
        <is>
          <t>O=C(Cl)c1ccccc1</t>
        </is>
      </c>
      <c r="B444" s="2" t="inlineStr">
        <is>
          <t>benzoyl chloride</t>
        </is>
      </c>
      <c r="C444" s="2" t="inlineStr">
        <is>
          <t>BzCl</t>
        </is>
      </c>
      <c r="D444" s="2" t="inlineStr">
        <is>
          <t>electrophile / alkylating agent</t>
        </is>
      </c>
      <c r="E444" s="2" t="inlineStr">
        <is>
          <t>protecting-group reagent</t>
        </is>
      </c>
      <c r="F444" s="2" t="n"/>
      <c r="G444" s="2" t="n">
        <v>124</v>
      </c>
      <c r="H444" s="2" t="inlineStr">
        <is>
          <t>Benzoyl chloride (CID 7412)</t>
        </is>
      </c>
      <c r="I444" s="2" t="inlineStr">
        <is>
          <t>Acylating agent (benzoyl esters and amides).</t>
        </is>
      </c>
      <c r="J444" s="2" t="inlineStr">
        <is>
          <t>named and classified by a chemist agent; reviewed by an independent agent</t>
        </is>
      </c>
    </row>
    <row r="445">
      <c r="A445" s="3" t="inlineStr">
        <is>
          <t>COCC[O][AlH2-][O]CCOC</t>
        </is>
      </c>
      <c r="B445" s="2" t="inlineStr">
        <is>
          <t>bis(2-methoxyethoxy)aluminum hydride ion</t>
        </is>
      </c>
      <c r="C445" s="2" t="inlineStr">
        <is>
          <t>Red-Al</t>
        </is>
      </c>
      <c r="D445" s="2" t="inlineStr">
        <is>
          <t>reductant</t>
        </is>
      </c>
      <c r="E445" s="2" t="inlineStr"/>
      <c r="F445" s="2" t="n"/>
      <c r="G445" s="2" t="n">
        <v>124</v>
      </c>
      <c r="H445" s="2" t="inlineStr">
        <is>
          <t>Bis(2-methoxyethoxy)alumanuide (CID 16721212)</t>
        </is>
      </c>
      <c r="I445" s="2" t="inlineStr">
        <is>
          <t>Anion of Red-Al (Na+); reduces the lactam to the amine.</t>
        </is>
      </c>
      <c r="J445" s="2" t="inlineStr">
        <is>
          <t>named and classified by a chemist agent; reviewed by an independent agent</t>
        </is>
      </c>
    </row>
    <row r="446">
      <c r="A446" s="3" t="inlineStr">
        <is>
          <t>[CH3][Mg][Cl]</t>
        </is>
      </c>
      <c r="B446" s="2" t="inlineStr">
        <is>
          <t>methylmagnesium chloride</t>
        </is>
      </c>
      <c r="C446" s="2" t="inlineStr">
        <is>
          <t>MeMgCl</t>
        </is>
      </c>
      <c r="D446" s="2" t="inlineStr">
        <is>
          <t>organometallic reagent</t>
        </is>
      </c>
      <c r="E446" s="2" t="inlineStr">
        <is>
          <t>nucleophile</t>
        </is>
      </c>
      <c r="F446" s="2" t="n"/>
      <c r="G446" s="2" t="n">
        <v>123</v>
      </c>
      <c r="H446" s="2" t="inlineStr">
        <is>
          <t>Methylmagnesium chloride (CID 12670)</t>
        </is>
      </c>
      <c r="I446" s="2" t="inlineStr">
        <is>
          <t>Grignard reagent; adds a methyl to ketones to give tertiary alcohols.</t>
        </is>
      </c>
      <c r="J446" s="2" t="inlineStr">
        <is>
          <t>named and classified by a chemist agent; reviewed by an independent agent</t>
        </is>
      </c>
    </row>
    <row r="447">
      <c r="A447" s="3" t="inlineStr">
        <is>
          <t>CCOP(OCC)OCC</t>
        </is>
      </c>
      <c r="B447" s="2" t="inlineStr">
        <is>
          <t>triethyl phosphite</t>
        </is>
      </c>
      <c r="C447" s="2" t="inlineStr">
        <is>
          <t>P(OEt)3</t>
        </is>
      </c>
      <c r="D447" s="2" t="inlineStr">
        <is>
          <t>reductant</t>
        </is>
      </c>
      <c r="E447" s="2" t="inlineStr"/>
      <c r="F447" s="2" t="n"/>
      <c r="G447" s="2" t="n">
        <v>122</v>
      </c>
      <c r="H447" s="2" t="inlineStr">
        <is>
          <t>Triethyl phosphite (CID 31215)</t>
        </is>
      </c>
      <c r="I447" s="2" t="inlineStr">
        <is>
          <t>Staudinger-type reduction of an azide; also removes oxygen from nitro groups and N-oxides.</t>
        </is>
      </c>
      <c r="J447" s="2" t="inlineStr">
        <is>
          <t>named and classified by a chemist agent; reviewed by an independent agent</t>
        </is>
      </c>
    </row>
    <row r="448">
      <c r="A448" s="3" t="inlineStr">
        <is>
          <t>[CH]1[CH][CH][C](P(c2ccccc2)c2ccccc2)[CH]1</t>
        </is>
      </c>
      <c r="B448" s="2" t="inlineStr">
        <is>
          <t>(diphenylphosphino)cyclopentadienyl fragment</t>
        </is>
      </c>
      <c r="C448" s="2" t="inlineStr">
        <is>
          <t>dppf</t>
        </is>
      </c>
      <c r="D448" s="2" t="inlineStr">
        <is>
          <t>ligand</t>
        </is>
      </c>
      <c r="E448" s="2" t="inlineStr"/>
      <c r="F448" s="2" t="n"/>
      <c r="G448" s="2" t="n">
        <v>121</v>
      </c>
      <c r="H448" s="2" t="inlineStr"/>
      <c r="I448" s="2" t="inlineStr">
        <is>
          <t>One half of dppf, from Pd(dppf)Cl2 used in Suzuki coupling.</t>
        </is>
      </c>
      <c r="J448" s="2" t="inlineStr">
        <is>
          <t>named and classified by a chemist agent; reviewed by an independent agent; PubChem's title for this SMILES was wrong (Cyclopentyldiphenylphosphine (CID 4189396)): A C5H4 ring drawn with radical carbons (the eta5-Cp of dppf, C17H14P). PubChem added H and returned cyclopentyldiphenylp</t>
        </is>
      </c>
    </row>
    <row r="449">
      <c r="A449" s="3" t="inlineStr">
        <is>
          <t>B#B</t>
        </is>
      </c>
      <c r="B449" s="2" t="inlineStr">
        <is>
          <t>diboron (B2)</t>
        </is>
      </c>
      <c r="C449" s="2" t="inlineStr">
        <is>
          <t>B2H6</t>
        </is>
      </c>
      <c r="D449" s="2" t="inlineStr">
        <is>
          <t>reductant</t>
        </is>
      </c>
      <c r="E449" s="2" t="inlineStr"/>
      <c r="F449" s="2" t="n"/>
      <c r="G449" s="2" t="n">
        <v>121</v>
      </c>
      <c r="H449" s="2" t="inlineStr">
        <is>
          <t>Diboron (CID 6328200)</t>
        </is>
      </c>
      <c r="I449" s="2" t="inlineStr">
        <is>
          <t>Borane reduces the amide to the amine.</t>
        </is>
      </c>
      <c r="J449" s="2" t="inlineStr">
        <is>
          <t>named and classified by a chemist agent; reviewed by an independent agent; name corrected after comparing with PubChem (was: diborane (drawn as B2))</t>
        </is>
      </c>
    </row>
    <row r="450">
      <c r="A450" s="3" t="inlineStr">
        <is>
          <t>COc1ccc2nc(N)sc2c1</t>
        </is>
      </c>
      <c r="B450" s="2" t="inlineStr">
        <is>
          <t>6-methoxy-1,3-benzothiazol-2-amine</t>
        </is>
      </c>
      <c r="C450" s="2" t="inlineStr"/>
      <c r="D450" s="2" t="inlineStr">
        <is>
          <t>other</t>
        </is>
      </c>
      <c r="E450" s="2" t="inlineStr"/>
      <c r="F450" s="2" t="n"/>
      <c r="G450" s="2" t="n">
        <v>120</v>
      </c>
      <c r="H450" s="2" t="inlineStr">
        <is>
          <t>2-Amino-6-methoxybenzothiazole (CID 15630)</t>
        </is>
      </c>
      <c r="I450" s="2" t="inlineStr">
        <is>
          <t>A substrate-like compound listed as an agent (carried over from another step).</t>
        </is>
      </c>
      <c r="J450" s="2" t="inlineStr">
        <is>
          <t>named and classified by a chemist agent; reviewed by an independent agent</t>
        </is>
      </c>
    </row>
    <row r="451">
      <c r="A451" s="3" t="inlineStr">
        <is>
          <t>c1ccsc1</t>
        </is>
      </c>
      <c r="B451" s="2" t="inlineStr">
        <is>
          <t>thiophene</t>
        </is>
      </c>
      <c r="C451" s="2" t="inlineStr"/>
      <c r="D451" s="2" t="inlineStr">
        <is>
          <t>additive</t>
        </is>
      </c>
      <c r="E451" s="2" t="inlineStr"/>
      <c r="F451" s="2" t="n"/>
      <c r="G451" s="2" t="n">
        <v>119</v>
      </c>
      <c r="H451" s="2" t="inlineStr">
        <is>
          <t>Thiophene (CID 8030)</t>
        </is>
      </c>
      <c r="I451" s="2" t="inlineStr">
        <is>
          <t>Catalyst poison that stops halogen loss during Pt-catalyzed nitro hydrogenation.</t>
        </is>
      </c>
      <c r="J451" s="2" t="inlineStr">
        <is>
          <t>named and classified by a chemist agent; reviewed by an independent agent</t>
        </is>
      </c>
    </row>
    <row r="452">
      <c r="A452" s="3" t="inlineStr">
        <is>
          <t>CC[O+](CC)CC</t>
        </is>
      </c>
      <c r="B452" s="2" t="inlineStr">
        <is>
          <t>triethyloxonium ion</t>
        </is>
      </c>
      <c r="C452" s="2" t="inlineStr">
        <is>
          <t>Meerwein's salt</t>
        </is>
      </c>
      <c r="D452" s="2" t="inlineStr">
        <is>
          <t>electrophile / alkylating agent</t>
        </is>
      </c>
      <c r="E452" s="2" t="inlineStr"/>
      <c r="F452" s="2" t="n"/>
      <c r="G452" s="2" t="n">
        <v>119</v>
      </c>
      <c r="H452" s="2" t="inlineStr">
        <is>
          <t>Triethyloxonium (CID 165095)</t>
        </is>
      </c>
      <c r="I452" s="2" t="inlineStr">
        <is>
          <t>Et3O+ BF4-; ethylates the amide oxygen to an imidate, which is then reduced to the amine.</t>
        </is>
      </c>
      <c r="J452" s="2" t="inlineStr">
        <is>
          <t>named and classified by a chemist agent; reviewed by an independent agent</t>
        </is>
      </c>
    </row>
    <row r="453">
      <c r="A453" s="3" t="inlineStr">
        <is>
          <t>O=C(Cl)c1cccc(Cl)c1</t>
        </is>
      </c>
      <c r="B453" s="2" t="inlineStr">
        <is>
          <t>3-chlorobenzoyl chloride</t>
        </is>
      </c>
      <c r="C453" s="2" t="inlineStr"/>
      <c r="D453" s="2" t="inlineStr">
        <is>
          <t>electrophile / alkylating agent</t>
        </is>
      </c>
      <c r="E453" s="2" t="inlineStr"/>
      <c r="F453" s="2" t="n"/>
      <c r="G453" s="2" t="n">
        <v>119</v>
      </c>
      <c r="H453" s="2" t="inlineStr">
        <is>
          <t>Benzoyl chloride, 3-chloro- (CID 69252)</t>
        </is>
      </c>
      <c r="I453" s="2" t="inlineStr">
        <is>
          <t>Acylating agent; probably a related acyl chloride carried over in this amide record.</t>
        </is>
      </c>
      <c r="J453" s="2" t="inlineStr">
        <is>
          <t>named and classified by a chemist agent; reviewed by an independent agent</t>
        </is>
      </c>
    </row>
    <row r="454">
      <c r="A454" s="3" t="inlineStr">
        <is>
          <t>C1CNC1</t>
        </is>
      </c>
      <c r="B454" s="2" t="inlineStr">
        <is>
          <t>azetidine</t>
        </is>
      </c>
      <c r="C454" s="2" t="inlineStr"/>
      <c r="D454" s="2" t="inlineStr">
        <is>
          <t>nucleophile</t>
        </is>
      </c>
      <c r="E454" s="2" t="inlineStr"/>
      <c r="F454" s="2" t="n"/>
      <c r="G454" s="2" t="n">
        <v>118</v>
      </c>
      <c r="H454" s="2" t="inlineStr">
        <is>
          <t>Azetidine (CID 10422)</t>
        </is>
      </c>
      <c r="I454" s="2" t="inlineStr">
        <is>
          <t>Strained secondary amine nucleophile.</t>
        </is>
      </c>
      <c r="J454" s="2" t="inlineStr">
        <is>
          <t>named and classified by a chemist agent; reviewed by an independent agent</t>
        </is>
      </c>
    </row>
    <row r="455">
      <c r="A455" s="3" t="inlineStr">
        <is>
          <t>CCOP(=O)(OCC)On1nnc2ccccc2c1=O</t>
        </is>
      </c>
      <c r="B455" s="2" t="inlineStr">
        <is>
          <t>3-(diethoxyphosphoryloxy)-1,2,3-benzotriazin-4(3H)-one</t>
        </is>
      </c>
      <c r="C455" s="2" t="inlineStr">
        <is>
          <t>DEPBT</t>
        </is>
      </c>
      <c r="D455" s="2" t="inlineStr">
        <is>
          <t>coupling reagent (activates an acid)</t>
        </is>
      </c>
      <c r="E455" s="2" t="inlineStr"/>
      <c r="F455" s="2" t="n"/>
      <c r="G455" s="2" t="n">
        <v>116</v>
      </c>
      <c r="H455" s="2" t="inlineStr">
        <is>
          <t>3-(Diethoxyphosphoryloxy)-1,2,3-benzotriazin-4(3H)-one (CID 4293995)</t>
        </is>
      </c>
      <c r="I455" s="2" t="inlineStr">
        <is>
          <t>Phosphate coupling reagent that causes little racemization.</t>
        </is>
      </c>
      <c r="J455" s="2" t="inlineStr">
        <is>
          <t>named and classified by a chemist agent; reviewed by an independent agent</t>
        </is>
      </c>
    </row>
    <row r="456">
      <c r="A456" s="3" t="inlineStr">
        <is>
          <t>[SiH3]c1ccccc1</t>
        </is>
      </c>
      <c r="B456" s="2" t="inlineStr">
        <is>
          <t>phenylsilane</t>
        </is>
      </c>
      <c r="C456" s="2" t="inlineStr">
        <is>
          <t>PhSiH3</t>
        </is>
      </c>
      <c r="D456" s="2" t="inlineStr">
        <is>
          <t>reductant</t>
        </is>
      </c>
      <c r="E456" s="2" t="inlineStr"/>
      <c r="F456" s="2" t="n"/>
      <c r="G456" s="2" t="n">
        <v>116</v>
      </c>
      <c r="H456" s="2" t="inlineStr">
        <is>
          <t>Phenylsilane (CID 12752)</t>
        </is>
      </c>
      <c r="I456" s="2" t="inlineStr">
        <is>
          <t>Hydride source; with Bu2SnCl2 for direct reductive amination.</t>
        </is>
      </c>
      <c r="J456" s="2" t="inlineStr">
        <is>
          <t>named and classified by a chemist agent; reviewed by an independent agent</t>
        </is>
      </c>
    </row>
    <row r="457">
      <c r="A457" s="3" t="inlineStr">
        <is>
          <t>[Cl][Co][Cl]</t>
        </is>
      </c>
      <c r="B457" s="2" t="inlineStr">
        <is>
          <t>cobalt(II) chloride</t>
        </is>
      </c>
      <c r="C457" s="2" t="inlineStr">
        <is>
          <t>CoCl2</t>
        </is>
      </c>
      <c r="D457" s="2" t="inlineStr">
        <is>
          <t>catalyst (metal)</t>
        </is>
      </c>
      <c r="E457" s="2" t="inlineStr"/>
      <c r="F457" s="2" t="n"/>
      <c r="G457" s="2" t="n">
        <v>115</v>
      </c>
      <c r="H457" s="2" t="inlineStr">
        <is>
          <t>Cobaltchloride (CID 24288)</t>
        </is>
      </c>
      <c r="I457" s="2" t="inlineStr">
        <is>
          <t>With NaBH4 it forms cobalt boride, which reduces nitro groups and nitriles.</t>
        </is>
      </c>
      <c r="J457" s="2" t="inlineStr">
        <is>
          <t>named and classified by a chemist agent; reviewed by an independent agent</t>
        </is>
      </c>
    </row>
    <row r="458">
      <c r="A458" s="3" t="inlineStr">
        <is>
          <t>O=Cc1ccccc1</t>
        </is>
      </c>
      <c r="B458" s="2" t="inlineStr">
        <is>
          <t>benzaldehyde</t>
        </is>
      </c>
      <c r="C458" s="2" t="inlineStr">
        <is>
          <t>PhCHO</t>
        </is>
      </c>
      <c r="D458" s="2" t="inlineStr">
        <is>
          <t>electrophile / alkylating agent</t>
        </is>
      </c>
      <c r="E458" s="2" t="inlineStr"/>
      <c r="F458" s="2" t="n"/>
      <c r="G458" s="2" t="n">
        <v>115</v>
      </c>
      <c r="H458" s="2" t="inlineStr">
        <is>
          <t>Benzaldehyde (CID 240)</t>
        </is>
      </c>
      <c r="I458" s="2" t="inlineStr">
        <is>
          <t>Aldehyde for reductive amination; probably carried over here.</t>
        </is>
      </c>
      <c r="J458" s="2" t="inlineStr">
        <is>
          <t>named and classified by a chemist agent; reviewed by an independent agent</t>
        </is>
      </c>
    </row>
    <row r="459">
      <c r="A459" s="3" t="inlineStr">
        <is>
          <t>[Pb+4]</t>
        </is>
      </c>
      <c r="B459" s="2" t="inlineStr">
        <is>
          <t>lead(IV) ion</t>
        </is>
      </c>
      <c r="C459" s="2" t="inlineStr">
        <is>
          <t>Pb(OAc)4</t>
        </is>
      </c>
      <c r="D459" s="2" t="inlineStr">
        <is>
          <t>oxidant</t>
        </is>
      </c>
      <c r="E459" s="2" t="inlineStr"/>
      <c r="F459" s="2" t="n"/>
      <c r="G459" s="2" t="n">
        <v>115</v>
      </c>
      <c r="H459" s="2" t="inlineStr">
        <is>
          <t>Lead (CID 5352425)</t>
        </is>
      </c>
      <c r="I459" s="2" t="inlineStr">
        <is>
          <t>From Pb(OAc)4; oxidizes the alcohol to the aldehyde; also cleaves diols.</t>
        </is>
      </c>
      <c r="J459" s="2" t="inlineStr">
        <is>
          <t>named and classified by a chemist agent; reviewed by an independent agent</t>
        </is>
      </c>
    </row>
    <row r="460">
      <c r="A460" s="3" t="inlineStr">
        <is>
          <t>O=C1C(Cl)=C(Cl)C(=O)C(Cl)=C1Cl</t>
        </is>
      </c>
      <c r="B460" s="2" t="inlineStr">
        <is>
          <t>chloranil (tetrachloro-1,4-benzoquinone)</t>
        </is>
      </c>
      <c r="C460" s="2" t="inlineStr"/>
      <c r="D460" s="2" t="inlineStr">
        <is>
          <t>oxidant</t>
        </is>
      </c>
      <c r="E460" s="2" t="inlineStr"/>
      <c r="F460" s="2" t="n"/>
      <c r="G460" s="2" t="n">
        <v>115</v>
      </c>
      <c r="H460" s="2" t="inlineStr">
        <is>
          <t>Chloranil (CID 8371)</t>
        </is>
      </c>
      <c r="I460" s="2" t="inlineStr">
        <is>
          <t>Removes hydrogen from the aminal to form the benzimidazole.</t>
        </is>
      </c>
      <c r="J460" s="2" t="inlineStr">
        <is>
          <t>named and classified by a chemist agent; reviewed by an independent agent</t>
        </is>
      </c>
    </row>
    <row r="461">
      <c r="A461" s="3" t="inlineStr">
        <is>
          <t>[Ru]</t>
        </is>
      </c>
      <c r="B461" s="2" t="inlineStr">
        <is>
          <t>ruthenium</t>
        </is>
      </c>
      <c r="C461" s="2" t="inlineStr">
        <is>
          <t>Ru/C</t>
        </is>
      </c>
      <c r="D461" s="2" t="inlineStr">
        <is>
          <t>catalyst (metal)</t>
        </is>
      </c>
      <c r="E461" s="2" t="inlineStr"/>
      <c r="F461" s="2" t="n"/>
      <c r="G461" s="2" t="n">
        <v>114</v>
      </c>
      <c r="H461" s="2" t="inlineStr">
        <is>
          <t>Ruthenium (CID 23950)</t>
        </is>
      </c>
      <c r="I461" s="2" t="inlineStr">
        <is>
          <t>Solid-supported hydrogenation catalyst (reduces nitro groups and arenes).</t>
        </is>
      </c>
      <c r="J461" s="2" t="inlineStr">
        <is>
          <t>named and classified by a chemist agent; reviewed by an independent agent</t>
        </is>
      </c>
    </row>
    <row r="462">
      <c r="A462" s="3" t="inlineStr">
        <is>
          <t>Nc1ccccc1N</t>
        </is>
      </c>
      <c r="B462" s="2" t="inlineStr">
        <is>
          <t>1,2-phenylenediamine</t>
        </is>
      </c>
      <c r="C462" s="2" t="inlineStr">
        <is>
          <t>OPD</t>
        </is>
      </c>
      <c r="D462" s="2" t="inlineStr">
        <is>
          <t>other</t>
        </is>
      </c>
      <c r="E462" s="2" t="inlineStr"/>
      <c r="F462" s="2" t="n"/>
      <c r="G462" s="2" t="n">
        <v>114</v>
      </c>
      <c r="H462" s="2" t="inlineStr">
        <is>
          <t>O-Phenylenediamine (CID 7243)</t>
        </is>
      </c>
      <c r="I462" s="2" t="inlineStr">
        <is>
          <t>A substrate-like diamine listed as an agent (mixed record).</t>
        </is>
      </c>
      <c r="J462" s="2" t="inlineStr">
        <is>
          <t>named and classified by a chemist agent; reviewed by an independent agent</t>
        </is>
      </c>
    </row>
    <row r="463">
      <c r="A463" s="3" t="inlineStr">
        <is>
          <t>CCCCP(C12CC3CC(CC(C3)C1)C2)C12CC3CC(CC(C3)C1)C2</t>
        </is>
      </c>
      <c r="B463" s="2" t="inlineStr">
        <is>
          <t>di(1-adamantyl)-n-butylphosphine</t>
        </is>
      </c>
      <c r="C463" s="2" t="inlineStr">
        <is>
          <t>cataCXium A</t>
        </is>
      </c>
      <c r="D463" s="2" t="inlineStr">
        <is>
          <t>ligand</t>
        </is>
      </c>
      <c r="E463" s="2" t="inlineStr"/>
      <c r="F463" s="2" t="n"/>
      <c r="G463" s="2" t="n">
        <v>114</v>
      </c>
      <c r="H463" s="2" t="inlineStr">
        <is>
          <t>Bis(adamantan-1-yl)(butyl)phosphane (CID 11371790)</t>
        </is>
      </c>
      <c r="I463" s="2" t="inlineStr">
        <is>
          <t>Bulky electron-rich phosphine for Pd Suzuki coupling.</t>
        </is>
      </c>
      <c r="J463" s="2" t="inlineStr">
        <is>
          <t>named and classified by a chemist agent; reviewed by an independent agent</t>
        </is>
      </c>
    </row>
    <row r="464">
      <c r="A464" s="3" t="inlineStr">
        <is>
          <t>CC(C)C[C@H]1CN(C(=O)/C=C/c2ccccc2)[C@@H](CC(C)C)C(=O)N1</t>
        </is>
      </c>
      <c r="B464" s="2" t="inlineStr">
        <is>
          <t>4-cinnamoyl-3,6-diisobutylpiperazin-2-one</t>
        </is>
      </c>
      <c r="C464" s="2" t="inlineStr"/>
      <c r="D464" s="2" t="inlineStr">
        <is>
          <t>other</t>
        </is>
      </c>
      <c r="E464" s="2" t="inlineStr"/>
      <c r="F464" s="2" t="n"/>
      <c r="G464" s="2" t="n">
        <v>114</v>
      </c>
      <c r="H464" s="2" t="inlineStr">
        <is>
          <t>(3S,6S)-3,6-Diisobutyl-4-[(E)-(3-phenyl-acryloyl)]-piperazin-2-one (CID 68158562)</t>
        </is>
      </c>
      <c r="I464" s="2" t="inlineStr">
        <is>
          <t>A product-like analog listed as an agent; not a reagent.</t>
        </is>
      </c>
      <c r="J464" s="2" t="inlineStr">
        <is>
          <t>named and classified by a chemist agent; reviewed by an independent agent</t>
        </is>
      </c>
    </row>
    <row r="465">
      <c r="A465" s="3" t="inlineStr">
        <is>
          <t>[CH3][Al+][CH3]</t>
        </is>
      </c>
      <c r="B465" s="2" t="inlineStr">
        <is>
          <t>dimethylaluminum cation</t>
        </is>
      </c>
      <c r="C465" s="2" t="inlineStr">
        <is>
          <t>AlMe3</t>
        </is>
      </c>
      <c r="D465" s="2" t="inlineStr">
        <is>
          <t>organometallic reagent</t>
        </is>
      </c>
      <c r="E465" s="2" t="inlineStr">
        <is>
          <t>Lewis acid</t>
        </is>
      </c>
      <c r="F465" s="2" t="n"/>
      <c r="G465" s="2" t="n">
        <v>114</v>
      </c>
      <c r="H465" s="2" t="inlineStr">
        <is>
          <t>Dimethylalumanylium (CID 16685399)</t>
        </is>
      </c>
      <c r="I465" s="2" t="inlineStr">
        <is>
          <t>Fragment of AlMe3; activates the amine for direct ester-to-amide conversion.</t>
        </is>
      </c>
      <c r="J465" s="2" t="inlineStr">
        <is>
          <t>named and classified by a chemist agent; reviewed by an independent agent</t>
        </is>
      </c>
    </row>
    <row r="466">
      <c r="A466" s="3" t="inlineStr">
        <is>
          <t>OCC(O)CO</t>
        </is>
      </c>
      <c r="B466" s="2" t="inlineStr">
        <is>
          <t>glycerol</t>
        </is>
      </c>
      <c r="C466" s="2" t="inlineStr"/>
      <c r="D466" s="2" t="inlineStr">
        <is>
          <t>solvent</t>
        </is>
      </c>
      <c r="E466" s="2" t="inlineStr">
        <is>
          <t>additive</t>
        </is>
      </c>
      <c r="F466" s="2" t="n"/>
      <c r="G466" s="2" t="n">
        <v>113</v>
      </c>
      <c r="H466" s="2" t="inlineStr">
        <is>
          <t>Glycerol (CID 753)</t>
        </is>
      </c>
      <c r="I466" s="2" t="inlineStr">
        <is>
          <t>Co-solvent and enzyme stabilizer in a biocatalytic ketone reduction.</t>
        </is>
      </c>
      <c r="J466" s="2" t="inlineStr">
        <is>
          <t>named and classified by a chemist agent; reviewed by an independent agent</t>
        </is>
      </c>
    </row>
    <row r="467">
      <c r="A467" s="3" t="inlineStr">
        <is>
          <t>[Cl][Hg][Cl]</t>
        </is>
      </c>
      <c r="B467" s="2" t="inlineStr">
        <is>
          <t>mercury(II) chloride</t>
        </is>
      </c>
      <c r="C467" s="2" t="inlineStr">
        <is>
          <t>HgCl2</t>
        </is>
      </c>
      <c r="D467" s="2" t="inlineStr">
        <is>
          <t>additive</t>
        </is>
      </c>
      <c r="E467" s="2" t="inlineStr"/>
      <c r="F467" s="2" t="n"/>
      <c r="G467" s="2" t="n">
        <v>112</v>
      </c>
      <c r="H467" s="2" t="inlineStr">
        <is>
          <t>Mercuric Chloride (CID 24085)</t>
        </is>
      </c>
      <c r="I467" s="2" t="inlineStr">
        <is>
          <t>Amalgamates the zinc for Clemmensen reduction of the ketone to CH2.</t>
        </is>
      </c>
      <c r="J467" s="2" t="inlineStr">
        <is>
          <t>named and classified by a chemist agent; reviewed by an independent agent</t>
        </is>
      </c>
    </row>
    <row r="468">
      <c r="A468" s="3" t="inlineStr">
        <is>
          <t>C/C(=N\[Si](C)(C)C)O[Si](C)(C)C</t>
        </is>
      </c>
      <c r="B468" s="2" t="inlineStr">
        <is>
          <t>N,O-bis(trimethylsilyl)acetamide</t>
        </is>
      </c>
      <c r="C468" s="2" t="inlineStr">
        <is>
          <t>BSA</t>
        </is>
      </c>
      <c r="D468" s="2" t="inlineStr">
        <is>
          <t>protecting-group reagent</t>
        </is>
      </c>
      <c r="E468" s="2" t="inlineStr"/>
      <c r="F468" s="2" t="n"/>
      <c r="G468" s="2" t="n">
        <v>111</v>
      </c>
      <c r="H468" s="2" t="inlineStr">
        <is>
          <t>trimethylsilyl N-trimethylsilylethanimidate (CID 25248)</t>
        </is>
      </c>
      <c r="I468" s="2" t="inlineStr">
        <is>
          <t>Temporary silylation of OH, NH and CO2H groups before acylation.</t>
        </is>
      </c>
      <c r="J468" s="2" t="inlineStr">
        <is>
          <t>named and classified by a chemist agent; reviewed by an independent agent</t>
        </is>
      </c>
    </row>
    <row r="469">
      <c r="A469" s="3" t="inlineStr">
        <is>
          <t>CNN</t>
        </is>
      </c>
      <c r="B469" s="2" t="inlineStr">
        <is>
          <t>methylhydrazine</t>
        </is>
      </c>
      <c r="C469" s="2" t="inlineStr">
        <is>
          <t>MeNHNH2</t>
        </is>
      </c>
      <c r="D469" s="2" t="inlineStr">
        <is>
          <t>deprotecting agent</t>
        </is>
      </c>
      <c r="E469" s="2" t="inlineStr">
        <is>
          <t>nucleophile</t>
        </is>
      </c>
      <c r="F469" s="2" t="n"/>
      <c r="G469" s="2" t="n">
        <v>111</v>
      </c>
      <c r="H469" s="2" t="inlineStr">
        <is>
          <t>Methylhydrazine (CID 6061)</t>
        </is>
      </c>
      <c r="I469" s="2" t="inlineStr">
        <is>
          <t>Cleaves the phthalimide to free the primary amine.</t>
        </is>
      </c>
      <c r="J469" s="2" t="inlineStr">
        <is>
          <t>named and classified by a chemist agent; reviewed by an independent agent</t>
        </is>
      </c>
    </row>
    <row r="470">
      <c r="A470" s="3" t="inlineStr">
        <is>
          <t>C1CNCCN1</t>
        </is>
      </c>
      <c r="B470" s="2" t="inlineStr">
        <is>
          <t>piperazine</t>
        </is>
      </c>
      <c r="C470" s="2" t="inlineStr"/>
      <c r="D470" s="2" t="inlineStr">
        <is>
          <t>nucleophile</t>
        </is>
      </c>
      <c r="E470" s="2" t="inlineStr">
        <is>
          <t>base</t>
        </is>
      </c>
      <c r="F470" s="2" t="n">
        <v>9.699999999999999</v>
      </c>
      <c r="G470" s="2" t="n">
        <v>110</v>
      </c>
      <c r="H470" s="2" t="inlineStr">
        <is>
          <t>Piperazine (CID 4837)</t>
        </is>
      </c>
      <c r="I470" s="2" t="inlineStr">
        <is>
          <t>Secondary diamine (pKa in water); its role in this transfer hydrogenation is unclear.</t>
        </is>
      </c>
      <c r="J470" s="2" t="inlineStr">
        <is>
          <t>named and classified by a chemist agent; reviewed by an independent agent</t>
        </is>
      </c>
    </row>
    <row r="471">
      <c r="A471" s="3" t="inlineStr">
        <is>
          <t>O=C(O)c1ccccn1</t>
        </is>
      </c>
      <c r="B471" s="2" t="inlineStr">
        <is>
          <t>picolinic acid</t>
        </is>
      </c>
      <c r="C471" s="2" t="inlineStr"/>
      <c r="D471" s="2" t="inlineStr">
        <is>
          <t>ligand</t>
        </is>
      </c>
      <c r="E471" s="2" t="inlineStr"/>
      <c r="F471" s="2" t="n"/>
      <c r="G471" s="2" t="n">
        <v>110</v>
      </c>
      <c r="H471" s="2" t="inlineStr">
        <is>
          <t>Picolinic acid (CID 1018)</t>
        </is>
      </c>
      <c r="I471" s="2" t="inlineStr">
        <is>
          <t>N,O-ligand for Cu-catalyzed couplings; its role here is unclear.</t>
        </is>
      </c>
      <c r="J471" s="2" t="inlineStr">
        <is>
          <t>named and classified by a chemist agent; reviewed by an independent agent</t>
        </is>
      </c>
    </row>
    <row r="472">
      <c r="A472" s="3" t="inlineStr">
        <is>
          <t>O=P(c1ccccc1)(c1ccccc1)c1ccccc1</t>
        </is>
      </c>
      <c r="B472" s="2" t="inlineStr">
        <is>
          <t>triphenylphosphine oxide</t>
        </is>
      </c>
      <c r="C472" s="2" t="inlineStr">
        <is>
          <t>TPPO</t>
        </is>
      </c>
      <c r="D472" s="2" t="inlineStr">
        <is>
          <t>other</t>
        </is>
      </c>
      <c r="E472" s="2" t="inlineStr"/>
      <c r="F472" s="2" t="n"/>
      <c r="G472" s="2" t="n">
        <v>110</v>
      </c>
      <c r="H472" s="2" t="inlineStr">
        <is>
          <t>Triphenylphosphine Oxide (CID 13097)</t>
        </is>
      </c>
      <c r="I472" s="2" t="inlineStr">
        <is>
          <t>By-product of Wittig, Mitsunobu and Appel reactions; not an active reagent.</t>
        </is>
      </c>
      <c r="J472" s="2" t="inlineStr">
        <is>
          <t>named and classified by a chemist agent; reviewed by an independent agent</t>
        </is>
      </c>
    </row>
    <row r="473">
      <c r="A473" s="3" t="inlineStr">
        <is>
          <t>ClOCl</t>
        </is>
      </c>
      <c r="B473" s="2" t="inlineStr">
        <is>
          <t>dichlorine monoxide</t>
        </is>
      </c>
      <c r="C473" s="2" t="inlineStr">
        <is>
          <t>Cl2O</t>
        </is>
      </c>
      <c r="D473" s="2" t="inlineStr">
        <is>
          <t>oxidant</t>
        </is>
      </c>
      <c r="E473" s="2" t="inlineStr">
        <is>
          <t>halogenating agent</t>
        </is>
      </c>
      <c r="F473" s="2" t="n"/>
      <c r="G473" s="2" t="n">
        <v>110</v>
      </c>
      <c r="H473" s="2" t="inlineStr">
        <is>
          <t>Chlorine monoxide (CID 24646)</t>
        </is>
      </c>
      <c r="I473" s="2" t="inlineStr">
        <is>
          <t>Unusual record, probably a hypochlorite fragment.</t>
        </is>
      </c>
      <c r="J473" s="2" t="inlineStr">
        <is>
          <t>named and classified by a chemist agent; reviewed by an independent agent</t>
        </is>
      </c>
    </row>
    <row r="474">
      <c r="A474" s="3" t="inlineStr">
        <is>
          <t>CC(Br)Br</t>
        </is>
      </c>
      <c r="B474" s="2" t="inlineStr">
        <is>
          <t>1,1-dibromoethane</t>
        </is>
      </c>
      <c r="C474" s="2" t="inlineStr"/>
      <c r="D474" s="2" t="inlineStr">
        <is>
          <t>additive</t>
        </is>
      </c>
      <c r="E474" s="2" t="inlineStr"/>
      <c r="F474" s="2" t="n"/>
      <c r="G474" s="2" t="n">
        <v>110</v>
      </c>
      <c r="H474" s="2" t="inlineStr">
        <is>
          <t>1,1-Dibromoethane (CID 11201)</t>
        </is>
      </c>
      <c r="I474" s="2" t="inlineStr">
        <is>
          <t>Probably 1,2-dibromoethane drawn wrong; activates Mg to start the Grignard reaction.</t>
        </is>
      </c>
      <c r="J474" s="2" t="inlineStr">
        <is>
          <t>named and classified by a chemist agent; reviewed by an independent agent</t>
        </is>
      </c>
    </row>
    <row r="475">
      <c r="A475" s="3" t="inlineStr">
        <is>
          <t>c1ccc(P(C2CCCCC2)C2CCCCC2)c(-c2ccccc2P(C2CCCCC2)C2CCCCC2)c1</t>
        </is>
      </c>
      <c r="B475" s="2" t="inlineStr">
        <is>
          <t>2,2'-bis(dicyclohexylphosphino)-1,1'-biphenyl</t>
        </is>
      </c>
      <c r="C475" s="2" t="inlineStr"/>
      <c r="D475" s="2" t="inlineStr">
        <is>
          <t>ligand</t>
        </is>
      </c>
      <c r="E475" s="2" t="inlineStr"/>
      <c r="F475" s="2" t="n"/>
      <c r="G475" s="2" t="n">
        <v>110</v>
      </c>
      <c r="H475" s="2" t="inlineStr">
        <is>
          <t>2,2'-Bis(dicyclohexylphosphino)-1,1'-biphenyl (CID 24946987)</t>
        </is>
      </c>
      <c r="I475" s="2" t="inlineStr">
        <is>
          <t>Two-armed (bidentate) phosphine ligand for Pd amination.</t>
        </is>
      </c>
      <c r="J475" s="2" t="inlineStr">
        <is>
          <t>named and classified by a chemist agent; reviewed by an independent agent</t>
        </is>
      </c>
    </row>
    <row r="476">
      <c r="A476" s="3" t="inlineStr">
        <is>
          <t>CC(C)(C)c1nc(N2CCC(F)(F)C2)c2nn[nH]c2n1</t>
        </is>
      </c>
      <c r="B476" s="2" t="inlineStr">
        <is>
          <t>5-tert-butyl-7-(3,3-difluoropyrrolidin-1-yl)-3H-[1,2,3]triazolo[4,5-d]pyrimidine</t>
        </is>
      </c>
      <c r="C476" s="2" t="inlineStr"/>
      <c r="D476" s="2" t="inlineStr">
        <is>
          <t>other</t>
        </is>
      </c>
      <c r="E476" s="2" t="inlineStr"/>
      <c r="F476" s="2" t="n"/>
      <c r="G476" s="2" t="n">
        <v>110</v>
      </c>
      <c r="H476" s="2" t="inlineStr">
        <is>
          <t>5-tert-butyl-7-(3,3-difluoropyrrolidin-1-yl)-3H-[1,2,3]triazolo[4,5-d]pyrimidine (CID 86683301)</t>
        </is>
      </c>
      <c r="I476" s="2" t="inlineStr">
        <is>
          <t>The NH heterocycle substrate, filed as an agent.</t>
        </is>
      </c>
      <c r="J476" s="2" t="inlineStr">
        <is>
          <t>named and classified by a chemist agent; reviewed by an independent agent</t>
        </is>
      </c>
    </row>
    <row r="477">
      <c r="A477" s="3" t="inlineStr">
        <is>
          <t>FF</t>
        </is>
      </c>
      <c r="B477" s="2" t="inlineStr">
        <is>
          <t>fluorine</t>
        </is>
      </c>
      <c r="C477" s="2" t="inlineStr">
        <is>
          <t>F2</t>
        </is>
      </c>
      <c r="D477" s="2" t="inlineStr">
        <is>
          <t>gas</t>
        </is>
      </c>
      <c r="E477" s="2" t="inlineStr">
        <is>
          <t>halogenating agent</t>
        </is>
      </c>
      <c r="F477" s="2" t="n"/>
      <c r="G477" s="2" t="n">
        <v>109</v>
      </c>
      <c r="H477" s="2" t="inlineStr">
        <is>
          <t>Fluorine (CID 24524)</t>
        </is>
      </c>
      <c r="I477" s="2" t="inlineStr">
        <is>
          <t>Elemental fluorine; its listing in this Fe nitro reduction is probably a recording error.</t>
        </is>
      </c>
      <c r="J477" s="2" t="inlineStr">
        <is>
          <t>named and classified by a chemist agent; reviewed by an independent agent</t>
        </is>
      </c>
    </row>
    <row r="478">
      <c r="A478" s="3" t="inlineStr">
        <is>
          <t>CCCC#N</t>
        </is>
      </c>
      <c r="B478" s="2" t="inlineStr">
        <is>
          <t>butyronitrile</t>
        </is>
      </c>
      <c r="C478" s="2" t="inlineStr">
        <is>
          <t>PrCN</t>
        </is>
      </c>
      <c r="D478" s="2" t="inlineStr">
        <is>
          <t>solvent</t>
        </is>
      </c>
      <c r="E478" s="2" t="inlineStr"/>
      <c r="F478" s="2" t="n"/>
      <c r="G478" s="2" t="n">
        <v>109</v>
      </c>
      <c r="H478" s="2" t="inlineStr">
        <is>
          <t>Butyronitrile (CID 8008)</t>
        </is>
      </c>
      <c r="I478" s="2" t="inlineStr">
        <is>
          <t>Polar aprotic nitrile solvent.</t>
        </is>
      </c>
      <c r="J478" s="2" t="inlineStr">
        <is>
          <t>named and classified by a chemist agent; reviewed by an independent agent</t>
        </is>
      </c>
    </row>
    <row r="479">
      <c r="A479" s="3" t="inlineStr">
        <is>
          <t>[AlH4-]</t>
        </is>
      </c>
      <c r="B479" s="2" t="inlineStr">
        <is>
          <t>tetrahydroaluminate (aluminum hydride) ion</t>
        </is>
      </c>
      <c r="C479" s="2" t="inlineStr">
        <is>
          <t>LiAlH4</t>
        </is>
      </c>
      <c r="D479" s="2" t="inlineStr">
        <is>
          <t>reductant</t>
        </is>
      </c>
      <c r="E479" s="2" t="inlineStr"/>
      <c r="F479" s="2" t="n"/>
      <c r="G479" s="2" t="n">
        <v>109</v>
      </c>
      <c r="H479" s="2" t="inlineStr">
        <is>
          <t>Aluminate(1-), tetrahydro-, (T-4)- (CID 10879)</t>
        </is>
      </c>
      <c r="I479" s="2" t="inlineStr">
        <is>
          <t>From LiAlH4; reduces lactams and amides to amines and esters to alcohols.</t>
        </is>
      </c>
      <c r="J479" s="2" t="inlineStr">
        <is>
          <t>named and classified by a chemist agent; reviewed by an independent agent</t>
        </is>
      </c>
    </row>
    <row r="480">
      <c r="A480" s="3" t="inlineStr">
        <is>
          <t>Cc1cc(C)cc(C)c1</t>
        </is>
      </c>
      <c r="B480" s="2" t="inlineStr">
        <is>
          <t>mesitylene (1,3,5-trimethylbenzene)</t>
        </is>
      </c>
      <c r="C480" s="2" t="inlineStr"/>
      <c r="D480" s="2" t="inlineStr">
        <is>
          <t>solvent</t>
        </is>
      </c>
      <c r="E480" s="2" t="inlineStr"/>
      <c r="F480" s="2" t="n"/>
      <c r="G480" s="2" t="n">
        <v>109</v>
      </c>
      <c r="H480" s="2" t="inlineStr">
        <is>
          <t>Mesitylene (CID 7947)</t>
        </is>
      </c>
      <c r="I480" s="2" t="inlineStr">
        <is>
          <t>High-boiling aromatic solvent.</t>
        </is>
      </c>
      <c r="J480" s="2" t="inlineStr">
        <is>
          <t>named and classified by a chemist agent; reviewed by an independent agent</t>
        </is>
      </c>
    </row>
    <row r="481">
      <c r="A481" s="3" t="inlineStr">
        <is>
          <t>[Mo]</t>
        </is>
      </c>
      <c r="B481" s="2" t="inlineStr">
        <is>
          <t>molybdenum</t>
        </is>
      </c>
      <c r="C481" s="2" t="inlineStr">
        <is>
          <t>Mo(CO)6</t>
        </is>
      </c>
      <c r="D481" s="2" t="inlineStr">
        <is>
          <t>other</t>
        </is>
      </c>
      <c r="E481" s="2" t="inlineStr">
        <is>
          <t>catalyst (metal)</t>
        </is>
      </c>
      <c r="F481" s="2" t="n"/>
      <c r="G481" s="2" t="n">
        <v>109</v>
      </c>
      <c r="H481" s="2" t="inlineStr">
        <is>
          <t>Molybdenum (CID 23932)</t>
        </is>
      </c>
      <c r="I481" s="2" t="inlineStr">
        <is>
          <t>Probably Mo(CO)6 (a CO source) split into Mo and CO.</t>
        </is>
      </c>
      <c r="J481" s="2" t="inlineStr">
        <is>
          <t>named and classified by a chemist agent; reviewed by an independent agent</t>
        </is>
      </c>
    </row>
    <row r="482">
      <c r="A482" s="3" t="inlineStr">
        <is>
          <t>[Rh+2]</t>
        </is>
      </c>
      <c r="B482" s="2" t="inlineStr">
        <is>
          <t>rhodium(II) ion</t>
        </is>
      </c>
      <c r="C482" s="2" t="inlineStr">
        <is>
          <t>Rh2(OAc)4</t>
        </is>
      </c>
      <c r="D482" s="2" t="inlineStr">
        <is>
          <t>catalyst (metal)</t>
        </is>
      </c>
      <c r="E482" s="2" t="inlineStr"/>
      <c r="F482" s="2" t="n"/>
      <c r="G482" s="2" t="n">
        <v>109</v>
      </c>
      <c r="H482" s="2" t="inlineStr">
        <is>
          <t>Rhodium, ion(Rh2) (CID 185497)</t>
        </is>
      </c>
      <c r="I482" s="2" t="inlineStr">
        <is>
          <t>Dirhodium carbene catalyst; O-H insertion with ethyl diazoacetate.</t>
        </is>
      </c>
      <c r="J482" s="2" t="inlineStr">
        <is>
          <t>named and classified by a chemist agent; reviewed by an independent agent</t>
        </is>
      </c>
    </row>
    <row r="483">
      <c r="A483" s="3" t="inlineStr">
        <is>
          <t>Brc1ccccc1</t>
        </is>
      </c>
      <c r="B483" s="2" t="inlineStr">
        <is>
          <t>bromobenzene</t>
        </is>
      </c>
      <c r="C483" s="2" t="inlineStr">
        <is>
          <t>PhBr</t>
        </is>
      </c>
      <c r="D483" s="2" t="inlineStr">
        <is>
          <t>solvent</t>
        </is>
      </c>
      <c r="E483" s="2" t="inlineStr"/>
      <c r="F483" s="2" t="n"/>
      <c r="G483" s="2" t="n">
        <v>108</v>
      </c>
      <c r="H483" s="2" t="inlineStr">
        <is>
          <t>Bromobenzene (CID 7961)</t>
        </is>
      </c>
      <c r="I483" s="2" t="inlineStr">
        <is>
          <t>Aromatic solvent; its role in this amide record is unclear.</t>
        </is>
      </c>
      <c r="J483" s="2" t="inlineStr">
        <is>
          <t>named and classified by a chemist agent; reviewed by an independent agent</t>
        </is>
      </c>
    </row>
    <row r="484">
      <c r="A484" s="3" t="inlineStr">
        <is>
          <t>[O]=[Ag-]</t>
        </is>
      </c>
      <c r="B484" s="2" t="inlineStr">
        <is>
          <t>silver(I) oxide</t>
        </is>
      </c>
      <c r="C484" s="2" t="inlineStr">
        <is>
          <t>Ag2O</t>
        </is>
      </c>
      <c r="D484" s="2" t="inlineStr">
        <is>
          <t>additive</t>
        </is>
      </c>
      <c r="E484" s="2" t="inlineStr">
        <is>
          <t>oxidant</t>
        </is>
      </c>
      <c r="F484" s="2" t="n"/>
      <c r="G484" s="2" t="n">
        <v>108</v>
      </c>
      <c r="H484" s="2" t="inlineStr"/>
      <c r="I484" s="2" t="inlineStr">
        <is>
          <t>With MeI it O-methylates the alcohol (traps the halide).</t>
        </is>
      </c>
      <c r="J484" s="2" t="inlineStr">
        <is>
          <t>named and classified by a chemist agent; reviewed by an independent agent</t>
        </is>
      </c>
    </row>
    <row r="485">
      <c r="A485" s="3" t="inlineStr">
        <is>
          <t>[Co+2]</t>
        </is>
      </c>
      <c r="B485" s="2" t="inlineStr">
        <is>
          <t>cobalt(II) ion</t>
        </is>
      </c>
      <c r="C485" s="2" t="inlineStr">
        <is>
          <t>CoCl2</t>
        </is>
      </c>
      <c r="D485" s="2" t="inlineStr">
        <is>
          <t>catalyst (metal)</t>
        </is>
      </c>
      <c r="E485" s="2" t="inlineStr"/>
      <c r="F485" s="2" t="n"/>
      <c r="G485" s="2" t="n">
        <v>108</v>
      </c>
      <c r="H485" s="2" t="inlineStr">
        <is>
          <t>Cobalt(2+) (CID 104729)</t>
        </is>
      </c>
      <c r="I485" s="2" t="inlineStr">
        <is>
          <t>With NaBH4 it reduces the nitrile to a primary amine.</t>
        </is>
      </c>
      <c r="J485" s="2" t="inlineStr">
        <is>
          <t>named and classified by a chemist agent; reviewed by an independent agent</t>
        </is>
      </c>
    </row>
    <row r="486">
      <c r="A486" s="3" t="inlineStr">
        <is>
          <t>[Ti]</t>
        </is>
      </c>
      <c r="B486" s="2" t="inlineStr">
        <is>
          <t>titanium</t>
        </is>
      </c>
      <c r="C486" s="2" t="inlineStr">
        <is>
          <t>Ti</t>
        </is>
      </c>
      <c r="D486" s="2" t="inlineStr">
        <is>
          <t>other</t>
        </is>
      </c>
      <c r="E486" s="2" t="inlineStr"/>
      <c r="F486" s="2" t="n"/>
      <c r="G486" s="2" t="n">
        <v>108</v>
      </c>
      <c r="H486" s="2" t="inlineStr">
        <is>
          <t>Titanium (CID 23963)</t>
        </is>
      </c>
      <c r="I486" s="2" t="inlineStr">
        <is>
          <t>Unclear metal record in an imine formation.</t>
        </is>
      </c>
      <c r="J486" s="2" t="inlineStr">
        <is>
          <t>named and classified by a chemist agent; reviewed by an independent agent</t>
        </is>
      </c>
    </row>
    <row r="487">
      <c r="A487" s="3" t="inlineStr">
        <is>
          <t>NC=O</t>
        </is>
      </c>
      <c r="B487" s="2" t="inlineStr">
        <is>
          <t>formamide</t>
        </is>
      </c>
      <c r="C487" s="2" t="inlineStr"/>
      <c r="D487" s="2" t="inlineStr">
        <is>
          <t>solvent</t>
        </is>
      </c>
      <c r="E487" s="2" t="inlineStr"/>
      <c r="F487" s="2" t="n"/>
      <c r="G487" s="2" t="n">
        <v>107</v>
      </c>
      <c r="H487" s="2" t="inlineStr">
        <is>
          <t>Formamide (CID 713)</t>
        </is>
      </c>
      <c r="I487" s="2" t="inlineStr">
        <is>
          <t>Polar solvent; its role in this Pd hydrogenation record is unclear.</t>
        </is>
      </c>
      <c r="J487" s="2" t="inlineStr">
        <is>
          <t>named and classified by a chemist agent; reviewed by an independent agent</t>
        </is>
      </c>
    </row>
    <row r="488">
      <c r="A488" s="3" t="inlineStr">
        <is>
          <t>CCCN</t>
        </is>
      </c>
      <c r="B488" s="2" t="inlineStr">
        <is>
          <t>propylamine</t>
        </is>
      </c>
      <c r="C488" s="2" t="inlineStr">
        <is>
          <t>PrNH2</t>
        </is>
      </c>
      <c r="D488" s="2" t="inlineStr">
        <is>
          <t>solvent</t>
        </is>
      </c>
      <c r="E488" s="2" t="inlineStr">
        <is>
          <t>base</t>
        </is>
      </c>
      <c r="F488" s="2" t="n">
        <v>10.6</v>
      </c>
      <c r="G488" s="2" t="n">
        <v>107</v>
      </c>
      <c r="H488" s="2" t="inlineStr">
        <is>
          <t>Propylamine (CID 7852)</t>
        </is>
      </c>
      <c r="I488" s="2" t="inlineStr">
        <is>
          <t>Amine solvent for Li dissolving-metal reductions (pKa in water).</t>
        </is>
      </c>
      <c r="J488" s="2" t="inlineStr">
        <is>
          <t>named and classified by a chemist agent; reviewed by an independent agent</t>
        </is>
      </c>
    </row>
    <row r="489">
      <c r="A489" s="3" t="inlineStr">
        <is>
          <t>[O]=[W](=[O])([O-])[O-]</t>
        </is>
      </c>
      <c r="B489" s="2" t="inlineStr">
        <is>
          <t>tungstate ion</t>
        </is>
      </c>
      <c r="C489" s="2" t="inlineStr">
        <is>
          <t>Na2WO4</t>
        </is>
      </c>
      <c r="D489" s="2" t="inlineStr">
        <is>
          <t>oxidizing catalyst</t>
        </is>
      </c>
      <c r="E489" s="2" t="inlineStr"/>
      <c r="F489" s="2" t="n"/>
      <c r="G489" s="2" t="n">
        <v>107</v>
      </c>
      <c r="H489" s="2" t="inlineStr">
        <is>
          <t>Tungstate (CID 24465)</t>
        </is>
      </c>
      <c r="I489" s="2" t="inlineStr">
        <is>
          <t>From Na2WO4; with H2O2 oxidizes secondary alcohols to ketones.</t>
        </is>
      </c>
      <c r="J489" s="2" t="inlineStr">
        <is>
          <t>named and classified by a chemist agent; reviewed by an independent agent</t>
        </is>
      </c>
    </row>
    <row r="490">
      <c r="A490" s="3" t="inlineStr">
        <is>
          <t>C[S+](C)(C)=O</t>
        </is>
      </c>
      <c r="B490" s="2" t="inlineStr">
        <is>
          <t>trimethylsulfoxonium ion</t>
        </is>
      </c>
      <c r="C490" s="2" t="inlineStr">
        <is>
          <t>Me3S(O)+</t>
        </is>
      </c>
      <c r="D490" s="2" t="inlineStr">
        <is>
          <t>nucleophile</t>
        </is>
      </c>
      <c r="E490" s="2" t="inlineStr"/>
      <c r="F490" s="2" t="n"/>
      <c r="G490" s="2" t="n">
        <v>107</v>
      </c>
      <c r="H490" s="2" t="inlineStr">
        <is>
          <t>Trimethylsulfoxonium (CID 74499)</t>
        </is>
      </c>
      <c r="I490" s="2" t="inlineStr">
        <is>
          <t>Iodide salt; base turns it into dimethylsulfoxonium methylide for Corey-Chaykovsky reactions.</t>
        </is>
      </c>
      <c r="J490" s="2" t="inlineStr">
        <is>
          <t>named and classified by a chemist agent; reviewed by an independent agent</t>
        </is>
      </c>
    </row>
    <row r="491">
      <c r="A491" s="3" t="inlineStr">
        <is>
          <t>O=C(O)CN(CCN(CC(=O)O)CC(=O)O)CC(=O)O</t>
        </is>
      </c>
      <c r="B491" s="2" t="inlineStr">
        <is>
          <t>ethylenediaminetetraacetic acid</t>
        </is>
      </c>
      <c r="C491" s="2" t="inlineStr">
        <is>
          <t>EDTA</t>
        </is>
      </c>
      <c r="D491" s="2" t="inlineStr">
        <is>
          <t>additive</t>
        </is>
      </c>
      <c r="E491" s="2" t="inlineStr"/>
      <c r="F491" s="2" t="n"/>
      <c r="G491" s="2" t="n">
        <v>106</v>
      </c>
      <c r="H491" s="2" t="inlineStr">
        <is>
          <t>Ethylenediaminetetraacetic Acid (CID 6049)</t>
        </is>
      </c>
      <c r="I491" s="2" t="inlineStr">
        <is>
          <t>Chelating agent that binds metal ions during workup.</t>
        </is>
      </c>
      <c r="J491" s="2" t="inlineStr">
        <is>
          <t>named and classified by a chemist agent; reviewed by an independent agent</t>
        </is>
      </c>
    </row>
    <row r="492">
      <c r="A492" s="3" t="inlineStr">
        <is>
          <t>CC(C)c1cc(C(C)C)c(-c2ccccc2[PH](C(C)(C)C)(C(C)(C)C)[Pd]2([O]S(C)(=O)=O)[NH]c3ccccc3-c3cccc[c]32)c(C(C)C)c1</t>
        </is>
      </c>
      <c r="B492" s="2" t="inlineStr">
        <is>
          <t>tBuXPhos Pd G3</t>
        </is>
      </c>
      <c r="C492" s="2" t="inlineStr">
        <is>
          <t>tBuXPhos Pd G3</t>
        </is>
      </c>
      <c r="D492" s="2" t="inlineStr">
        <is>
          <t>catalyst (metal)</t>
        </is>
      </c>
      <c r="E492" s="2" t="inlineStr"/>
      <c r="F492" s="2" t="n"/>
      <c r="G492" s="2" t="n">
        <v>106</v>
      </c>
      <c r="H492" s="2" t="inlineStr">
        <is>
          <t>tBuXPhosPdG3 (CID 137319812)</t>
        </is>
      </c>
      <c r="I492" s="2" t="inlineStr">
        <is>
          <t>Third-generation Buchwald precatalyst (mesylate palladacycle) for Suzuki coupling.</t>
        </is>
      </c>
      <c r="J492" s="2" t="inlineStr">
        <is>
          <t>named and classified by a chemist agent; reviewed by an independent agent</t>
        </is>
      </c>
    </row>
    <row r="493">
      <c r="A493" s="3" t="inlineStr">
        <is>
          <t>[Ce]</t>
        </is>
      </c>
      <c r="B493" s="2" t="inlineStr">
        <is>
          <t>cerium</t>
        </is>
      </c>
      <c r="C493" s="2" t="inlineStr">
        <is>
          <t>CAN</t>
        </is>
      </c>
      <c r="D493" s="2" t="inlineStr">
        <is>
          <t>oxidant</t>
        </is>
      </c>
      <c r="E493" s="2" t="inlineStr"/>
      <c r="F493" s="2" t="n"/>
      <c r="G493" s="2" t="n">
        <v>106</v>
      </c>
      <c r="H493" s="2" t="inlineStr">
        <is>
          <t>Cerium (CID 23974)</t>
        </is>
      </c>
      <c r="I493" s="2" t="inlineStr">
        <is>
          <t>Probably from ceric ammonium nitrate; Ce(IV) carries out the arene nitration.</t>
        </is>
      </c>
      <c r="J493" s="2" t="inlineStr">
        <is>
          <t>named and classified by a chemist agent; reviewed by an independent agent</t>
        </is>
      </c>
    </row>
    <row r="494">
      <c r="A494" s="3" t="inlineStr">
        <is>
          <t>CC[P+](c1ccccc1)(c1ccccc1)c1ccccc1</t>
        </is>
      </c>
      <c r="B494" s="2" t="inlineStr">
        <is>
          <t>ethyltriphenylphosphonium ion</t>
        </is>
      </c>
      <c r="C494" s="2" t="inlineStr">
        <is>
          <t>EtPPh3Br</t>
        </is>
      </c>
      <c r="D494" s="2" t="inlineStr">
        <is>
          <t>phase-transfer catalyst</t>
        </is>
      </c>
      <c r="E494" s="2" t="inlineStr">
        <is>
          <t>nucleophile</t>
        </is>
      </c>
      <c r="F494" s="2" t="n"/>
      <c r="G494" s="2" t="n">
        <v>106</v>
      </c>
      <c r="H494" s="2" t="inlineStr">
        <is>
          <t>Ethyl(triphenyl)phosphonium (CID 73728)</t>
        </is>
      </c>
      <c r="I494" s="2" t="inlineStr">
        <is>
          <t>Catalyzes opening of the epoxide by the phenol; also a Wittig ylide precursor.</t>
        </is>
      </c>
      <c r="J494" s="2" t="inlineStr">
        <is>
          <t>named and classified by a chemist agent; reviewed by an independent agent</t>
        </is>
      </c>
    </row>
    <row r="495">
      <c r="A495" s="3" t="inlineStr">
        <is>
          <t>CCCCOCCCC</t>
        </is>
      </c>
      <c r="B495" s="2" t="inlineStr">
        <is>
          <t>dibutyl ether</t>
        </is>
      </c>
      <c r="C495" s="2" t="inlineStr">
        <is>
          <t>Bu2O</t>
        </is>
      </c>
      <c r="D495" s="2" t="inlineStr">
        <is>
          <t>solvent</t>
        </is>
      </c>
      <c r="E495" s="2" t="inlineStr"/>
      <c r="F495" s="2" t="n"/>
      <c r="G495" s="2" t="n">
        <v>105</v>
      </c>
      <c r="H495" s="2" t="inlineStr">
        <is>
          <t>Butyl ether (CID 8909)</t>
        </is>
      </c>
      <c r="I495" s="2" t="inlineStr">
        <is>
          <t>Ether solvent.</t>
        </is>
      </c>
      <c r="J495" s="2" t="inlineStr">
        <is>
          <t>named and classified by a chemist agent; reviewed by an independent agent</t>
        </is>
      </c>
    </row>
    <row r="496">
      <c r="A496" s="3" t="inlineStr">
        <is>
          <t>CCOC(=O)N1c2ccccc2C=CC1OCC</t>
        </is>
      </c>
      <c r="B496" s="2" t="inlineStr">
        <is>
          <t>N-ethoxycarbonyl-2-ethoxy-1,2-dihydroquinoline</t>
        </is>
      </c>
      <c r="C496" s="2" t="inlineStr">
        <is>
          <t>EEDQ</t>
        </is>
      </c>
      <c r="D496" s="2" t="inlineStr">
        <is>
          <t>coupling reagent (activates an acid)</t>
        </is>
      </c>
      <c r="E496" s="2" t="inlineStr"/>
      <c r="F496" s="2" t="n"/>
      <c r="G496" s="2" t="n">
        <v>105</v>
      </c>
      <c r="H496" s="2" t="inlineStr">
        <is>
          <t>2-Ethoxy-1-(ethoxycarbonyl)-1,2-dihydroquinoline (CID 27833)</t>
        </is>
      </c>
      <c r="I496" s="2" t="inlineStr">
        <is>
          <t>Activates acids as mixed carbonic anhydrides for amide coupling.</t>
        </is>
      </c>
      <c r="J496" s="2" t="inlineStr">
        <is>
          <t>named and classified by a chemist agent; reviewed by an independent agent</t>
        </is>
      </c>
    </row>
    <row r="497">
      <c r="A497" s="3" t="inlineStr">
        <is>
          <t>C[NH3+]</t>
        </is>
      </c>
      <c r="B497" s="2" t="inlineStr">
        <is>
          <t>methylammonium ion</t>
        </is>
      </c>
      <c r="C497" s="2" t="inlineStr">
        <is>
          <t>MeNH3+</t>
        </is>
      </c>
      <c r="D497" s="2" t="inlineStr">
        <is>
          <t>nucleophile</t>
        </is>
      </c>
      <c r="E497" s="2" t="inlineStr">
        <is>
          <t>counter-ion / spectator ion</t>
        </is>
      </c>
      <c r="F497" s="2" t="n"/>
      <c r="G497" s="2" t="n">
        <v>105</v>
      </c>
      <c r="H497" s="2" t="inlineStr">
        <is>
          <t>Methylammonium (CID 644041)</t>
        </is>
      </c>
      <c r="I497" s="2" t="inlineStr">
        <is>
          <t>From MeNH2-HCl, a methylamine source; probably carried over here.</t>
        </is>
      </c>
      <c r="J497" s="2" t="inlineStr">
        <is>
          <t>named and classified by a chemist agent; reviewed by an independent agent</t>
        </is>
      </c>
    </row>
    <row r="498">
      <c r="A498" s="3" t="inlineStr">
        <is>
          <t>CS(=O)(=O)OS(C)(=O)=O</t>
        </is>
      </c>
      <c r="B498" s="2" t="inlineStr">
        <is>
          <t>methanesulfonic anhydride</t>
        </is>
      </c>
      <c r="C498" s="2" t="inlineStr">
        <is>
          <t>Ms2O</t>
        </is>
      </c>
      <c r="D498" s="2" t="inlineStr">
        <is>
          <t>dehydrating / activating agent</t>
        </is>
      </c>
      <c r="E498" s="2" t="inlineStr">
        <is>
          <t>electrophile / alkylating agent</t>
        </is>
      </c>
      <c r="F498" s="2" t="n"/>
      <c r="G498" s="2" t="n">
        <v>104</v>
      </c>
      <c r="H498" s="2" t="inlineStr">
        <is>
          <t>Methanesulfonic anhydride (CID 81560)</t>
        </is>
      </c>
      <c r="I498" s="2" t="inlineStr">
        <is>
          <t>Mesylates alcohols (with Et3N) without giving chloride by-products.</t>
        </is>
      </c>
      <c r="J498" s="2" t="inlineStr">
        <is>
          <t>named and classified by a chemist agent; reviewed by an independent agent</t>
        </is>
      </c>
    </row>
    <row r="499">
      <c r="A499" s="3" t="inlineStr">
        <is>
          <t>CC(=O)[O][Pd][O]C(C)=O</t>
        </is>
      </c>
      <c r="B499" s="2" t="inlineStr">
        <is>
          <t>palladium(II) acetate</t>
        </is>
      </c>
      <c r="C499" s="2" t="inlineStr">
        <is>
          <t>Pd(OAc)2</t>
        </is>
      </c>
      <c r="D499" s="2" t="inlineStr">
        <is>
          <t>catalyst (metal)</t>
        </is>
      </c>
      <c r="E499" s="2" t="inlineStr"/>
      <c r="F499" s="2" t="n"/>
      <c r="G499" s="2" t="n">
        <v>104</v>
      </c>
      <c r="H499" s="2" t="inlineStr">
        <is>
          <t>Palladium (II) acetate (CID 4144353)</t>
        </is>
      </c>
      <c r="I499" s="2" t="inlineStr">
        <is>
          <t>Pd source for Buchwald-Hartwig amination with a phosphine ligand.</t>
        </is>
      </c>
      <c r="J499" s="2" t="inlineStr">
        <is>
          <t>named and classified by a chemist agent; reviewed by an independent agent</t>
        </is>
      </c>
    </row>
    <row r="500">
      <c r="A500" s="3" t="inlineStr">
        <is>
          <t>O=[N+]=O</t>
        </is>
      </c>
      <c r="B500" s="2" t="inlineStr">
        <is>
          <t>nitronium ion</t>
        </is>
      </c>
      <c r="C500" s="2" t="inlineStr">
        <is>
          <t>NO2+</t>
        </is>
      </c>
      <c r="D500" s="2" t="inlineStr">
        <is>
          <t>electrophile / alkylating agent</t>
        </is>
      </c>
      <c r="E500" s="2" t="inlineStr"/>
      <c r="F500" s="2" t="n"/>
      <c r="G500" s="2" t="n">
        <v>104</v>
      </c>
      <c r="H500" s="2" t="inlineStr">
        <is>
          <t>Nitronium (CID 3609161)</t>
        </is>
      </c>
      <c r="I500" s="2" t="inlineStr">
        <is>
          <t>From NO2BF4; electrophile for aromatic nitration.</t>
        </is>
      </c>
      <c r="J500" s="2" t="inlineStr">
        <is>
          <t>named and classified by a chemist agent; reviewed by an independent agent</t>
        </is>
      </c>
    </row>
    <row r="501">
      <c r="A501" s="3" t="inlineStr">
        <is>
          <t>COC(=O)CCc1ncc(-c2ccc(NC(=O)Nc3cccc(C(F)(F)F)c3)cc2)s1</t>
        </is>
      </c>
      <c r="B501" s="2" t="inlineStr">
        <is>
          <t>methyl 3-[5-(4-{[3-(trifluoromethyl)phenyl]carbamoylamino}phenyl)thiazol-2-yl]propanoate</t>
        </is>
      </c>
      <c r="C501" s="2" t="inlineStr"/>
      <c r="D501" s="2" t="inlineStr">
        <is>
          <t>other</t>
        </is>
      </c>
      <c r="E501" s="2" t="inlineStr"/>
      <c r="F501" s="2" t="n"/>
      <c r="G501" s="2" t="n">
        <v>103</v>
      </c>
      <c r="H501" s="2" t="inlineStr">
        <is>
          <t>Methyl 3-(5-(4-(3-(3-(trifluoromethyl)phenyl)ureido)phenyl)thiazol-2-yl)propanoate (CID 66609084)</t>
        </is>
      </c>
      <c r="I501" s="2" t="inlineStr">
        <is>
          <t>A product-like analog filed as an agent; not a reagent.</t>
        </is>
      </c>
      <c r="J501" s="2" t="inlineStr">
        <is>
          <t>named and classified by a chemist agent; reviewed by an independent agent</t>
        </is>
      </c>
    </row>
    <row r="502">
      <c r="A502" s="3" t="inlineStr">
        <is>
          <t>c1ccc(-c2ccccn2)nc1</t>
        </is>
      </c>
      <c r="B502" s="2" t="inlineStr">
        <is>
          <t>2,2'-bipyridine</t>
        </is>
      </c>
      <c r="C502" s="2" t="inlineStr">
        <is>
          <t>bpy</t>
        </is>
      </c>
      <c r="D502" s="2" t="inlineStr">
        <is>
          <t>ligand</t>
        </is>
      </c>
      <c r="E502" s="2" t="inlineStr"/>
      <c r="F502" s="2" t="n"/>
      <c r="G502" s="2" t="n">
        <v>102</v>
      </c>
      <c r="H502" s="2" t="inlineStr">
        <is>
          <t>2,2'-Bipyridine (CID 1474)</t>
        </is>
      </c>
      <c r="I502" s="2" t="inlineStr">
        <is>
          <t>N,N-ligand; here with CoBr2/NaBH4 to reduce the azide.</t>
        </is>
      </c>
      <c r="J502" s="2" t="inlineStr">
        <is>
          <t>named and classified by a chemist agent; reviewed by an independent agent</t>
        </is>
      </c>
    </row>
    <row r="503">
      <c r="A503" s="3" t="inlineStr">
        <is>
          <t>[CH2-]CCC</t>
        </is>
      </c>
      <c r="B503" s="2" t="inlineStr">
        <is>
          <t>n-butyl anion</t>
        </is>
      </c>
      <c r="C503" s="2" t="inlineStr">
        <is>
          <t>n-BuLi</t>
        </is>
      </c>
      <c r="D503" s="2" t="inlineStr">
        <is>
          <t>organometallic reagent</t>
        </is>
      </c>
      <c r="E503" s="2" t="inlineStr">
        <is>
          <t>base</t>
        </is>
      </c>
      <c r="F503" s="2" t="n">
        <v>50</v>
      </c>
      <c r="G503" s="2" t="n">
        <v>102</v>
      </c>
      <c r="H503" s="2" t="inlineStr"/>
      <c r="I503" s="2" t="inlineStr">
        <is>
          <t>From n-BuLi (Li+); butane pKa ~50; lithiation followed by trapping with CO2.</t>
        </is>
      </c>
      <c r="J503" s="2" t="inlineStr">
        <is>
          <t>named and classified by a chemist agent; reviewed by an independent agent; PubChem's title for this SMILES was wrong (CID 4610720 (CID 4610720)): CID 4610720 is the right C4H9- record, but it has no title, only a CID number.</t>
        </is>
      </c>
    </row>
    <row r="504">
      <c r="A504" s="3" t="inlineStr">
        <is>
          <t>N#CBr</t>
        </is>
      </c>
      <c r="B504" s="2" t="inlineStr">
        <is>
          <t>cyanogen bromide</t>
        </is>
      </c>
      <c r="C504" s="2" t="inlineStr">
        <is>
          <t>BrCN</t>
        </is>
      </c>
      <c r="D504" s="2" t="inlineStr">
        <is>
          <t>electrophile / alkylating agent</t>
        </is>
      </c>
      <c r="E504" s="2" t="inlineStr">
        <is>
          <t>deprotecting agent</t>
        </is>
      </c>
      <c r="F504" s="2" t="n"/>
      <c r="G504" s="2" t="n">
        <v>102</v>
      </c>
      <c r="H504" s="2" t="inlineStr">
        <is>
          <t>Cyanogen Bromide (CID 10476)</t>
        </is>
      </c>
      <c r="I504" s="2" t="inlineStr">
        <is>
          <t>von Braun N-demethylation of tertiary amines through cyanamides.</t>
        </is>
      </c>
      <c r="J504" s="2" t="inlineStr">
        <is>
          <t>named and classified by a chemist agent; reviewed by an independent agent</t>
        </is>
      </c>
    </row>
    <row r="505">
      <c r="A505" s="3" t="inlineStr">
        <is>
          <t>c1nnn[nH]1</t>
        </is>
      </c>
      <c r="B505" s="2" t="inlineStr">
        <is>
          <t>1H-tetrazole</t>
        </is>
      </c>
      <c r="C505" s="2" t="inlineStr"/>
      <c r="D505" s="2" t="inlineStr">
        <is>
          <t>acid</t>
        </is>
      </c>
      <c r="E505" s="2" t="inlineStr"/>
      <c r="F505" s="2" t="n"/>
      <c r="G505" s="2" t="n">
        <v>101</v>
      </c>
      <c r="H505" s="2" t="inlineStr">
        <is>
          <t>1H-Tetrazole (CID 67519)</t>
        </is>
      </c>
      <c r="I505" s="2" t="inlineStr">
        <is>
          <t>Weak acid (pKa ~4.9) that activates phosphoramidites; its role here is unclear.</t>
        </is>
      </c>
      <c r="J505" s="2" t="inlineStr">
        <is>
          <t>named and classified by a chemist agent; reviewed by an independent agent</t>
        </is>
      </c>
    </row>
    <row r="506">
      <c r="A506" s="3" t="inlineStr">
        <is>
          <t>CC(C)OC(=O)Cl</t>
        </is>
      </c>
      <c r="B506" s="2" t="inlineStr">
        <is>
          <t>isopropyl chloroformate</t>
        </is>
      </c>
      <c r="C506" s="2" t="inlineStr"/>
      <c r="D506" s="2" t="inlineStr">
        <is>
          <t>coupling reagent (activates an acid)</t>
        </is>
      </c>
      <c r="E506" s="2" t="inlineStr"/>
      <c r="F506" s="2" t="n"/>
      <c r="G506" s="2" t="n">
        <v>101</v>
      </c>
      <c r="H506" s="2" t="inlineStr">
        <is>
          <t>Isopropyl chloroformate (CID 7917)</t>
        </is>
      </c>
      <c r="I506" s="2" t="inlineStr">
        <is>
          <t>Activates acids as mixed carbonic anhydrides.</t>
        </is>
      </c>
      <c r="J506" s="2" t="inlineStr">
        <is>
          <t>named and classified by a chemist agent; reviewed by an independent agent</t>
        </is>
      </c>
    </row>
    <row r="507">
      <c r="A507" s="3" t="inlineStr">
        <is>
          <t>OCc1ccccc1</t>
        </is>
      </c>
      <c r="B507" s="2" t="inlineStr">
        <is>
          <t>benzyl alcohol</t>
        </is>
      </c>
      <c r="C507" s="2" t="inlineStr">
        <is>
          <t>BnOH</t>
        </is>
      </c>
      <c r="D507" s="2" t="inlineStr">
        <is>
          <t>nucleophile</t>
        </is>
      </c>
      <c r="E507" s="2" t="inlineStr"/>
      <c r="F507" s="2" t="n"/>
      <c r="G507" s="2" t="n">
        <v>100</v>
      </c>
      <c r="H507" s="2" t="inlineStr">
        <is>
          <t>Benzyl Alcohol (CID 244)</t>
        </is>
      </c>
      <c r="I507" s="2" t="inlineStr">
        <is>
          <t>Reacts with the acyl chloride to give a benzyl ester before the nitro reduction.</t>
        </is>
      </c>
      <c r="J507" s="2" t="inlineStr">
        <is>
          <t>named and classified by a chemist agent; reviewed by an independent agent</t>
        </is>
      </c>
    </row>
    <row r="508">
      <c r="A508" s="3" t="inlineStr">
        <is>
          <t>O=C(O)/C=C/C(=O)O</t>
        </is>
      </c>
      <c r="B508" s="2" t="inlineStr">
        <is>
          <t>fumaric acid</t>
        </is>
      </c>
      <c r="C508" s="2" t="inlineStr"/>
      <c r="D508" s="2" t="inlineStr">
        <is>
          <t>acid</t>
        </is>
      </c>
      <c r="E508" s="2" t="inlineStr">
        <is>
          <t>salt (work-up or additive)</t>
        </is>
      </c>
      <c r="F508" s="2" t="n"/>
      <c r="G508" s="2" t="n">
        <v>100</v>
      </c>
      <c r="H508" s="2" t="inlineStr">
        <is>
          <t>Fumaric Acid (CID 444972)</t>
        </is>
      </c>
      <c r="I508" s="2" t="inlineStr">
        <is>
          <t>Forms fumarate salts of basic amines.</t>
        </is>
      </c>
      <c r="J508" s="2" t="inlineStr">
        <is>
          <t>named and classified by a chemist agent; reviewed by an independent agent</t>
        </is>
      </c>
    </row>
    <row r="509">
      <c r="A509" s="3" t="inlineStr">
        <is>
          <t>Clc1nc(Cl)nc(Cl)n1</t>
        </is>
      </c>
      <c r="B509" s="2" t="inlineStr">
        <is>
          <t>cyanuric chloride</t>
        </is>
      </c>
      <c r="C509" s="2" t="inlineStr">
        <is>
          <t>TCT</t>
        </is>
      </c>
      <c r="D509" s="2" t="inlineStr">
        <is>
          <t>coupling reagent (activates an acid)</t>
        </is>
      </c>
      <c r="E509" s="2" t="inlineStr"/>
      <c r="F509" s="2" t="n"/>
      <c r="G509" s="2" t="n">
        <v>100</v>
      </c>
      <c r="H509" s="2" t="inlineStr">
        <is>
          <t>Cyanuric chloride (CID 7954)</t>
        </is>
      </c>
      <c r="I509" s="2" t="inlineStr">
        <is>
          <t>With NMM it activates acids for amide coupling.</t>
        </is>
      </c>
      <c r="J509" s="2" t="inlineStr">
        <is>
          <t>named and classified by a chemist agent; reviewed by an independent agent</t>
        </is>
      </c>
    </row>
    <row r="510">
      <c r="A510" s="3" t="inlineStr">
        <is>
          <t>c1ccc(C(Nc2nc(-c3cc4ccccc4s3)nc3ccccc23)c2ccccc2)cc1</t>
        </is>
      </c>
      <c r="B510" s="2" t="inlineStr">
        <is>
          <t>N-benzhydryl-2-(1-benzothiophen-2-yl)quinazolin-4-amine</t>
        </is>
      </c>
      <c r="C510" s="2" t="inlineStr"/>
      <c r="D510" s="2" t="inlineStr">
        <is>
          <t>other</t>
        </is>
      </c>
      <c r="E510" s="2" t="inlineStr"/>
      <c r="F510" s="2" t="n"/>
      <c r="G510" s="2" t="n">
        <v>100</v>
      </c>
      <c r="H510" s="2" t="inlineStr">
        <is>
          <t>N-Benzhydryl-2-(benzo[B]thiophen-2-YL)quinazolin-4-amine (CID 121377383)</t>
        </is>
      </c>
      <c r="I510" s="2" t="inlineStr">
        <is>
          <t>A product-like compound filed as an agent; not a reagent.</t>
        </is>
      </c>
      <c r="J510" s="2" t="inlineStr">
        <is>
          <t>named and classified by a chemist agent; reviewed by an independent agent</t>
        </is>
      </c>
    </row>
    <row r="511">
      <c r="A511" s="3" t="inlineStr">
        <is>
          <t>COC1CCCC1</t>
        </is>
      </c>
      <c r="B511" s="2" t="inlineStr">
        <is>
          <t>cyclopentyl methyl ether</t>
        </is>
      </c>
      <c r="C511" s="2" t="inlineStr">
        <is>
          <t>CPME</t>
        </is>
      </c>
      <c r="D511" s="2" t="inlineStr">
        <is>
          <t>solvent</t>
        </is>
      </c>
      <c r="E511" s="2" t="inlineStr"/>
      <c r="F511" s="2" t="n"/>
      <c r="G511" s="2" t="n">
        <v>99</v>
      </c>
      <c r="H511" s="2" t="inlineStr">
        <is>
          <t>Cyclopentyl methyl ether (CID 138539)</t>
        </is>
      </c>
      <c r="I511" s="2" t="inlineStr">
        <is>
          <t>Water-immiscible ether solvent (HCl in CPME is used for Boc removal).</t>
        </is>
      </c>
      <c r="J511" s="2" t="inlineStr">
        <is>
          <t>named and classified by a chemist agent; reviewed by an independent agent</t>
        </is>
      </c>
    </row>
    <row r="512">
      <c r="A512" s="3" t="inlineStr">
        <is>
          <t>CCN(CC)P1(=NC(C)(C)C)N(C)CCCN1C</t>
        </is>
      </c>
      <c r="B512" s="2" t="inlineStr">
        <is>
          <t>2-tert-butylimino-2-diethylamino-1,3-dimethylperhydro-1,3,2-diazaphosphorine</t>
        </is>
      </c>
      <c r="C512" s="2" t="inlineStr">
        <is>
          <t>BEMP</t>
        </is>
      </c>
      <c r="D512" s="2" t="inlineStr">
        <is>
          <t>base</t>
        </is>
      </c>
      <c r="E512" s="2" t="inlineStr"/>
      <c r="F512" s="2" t="n">
        <v>16.2</v>
      </c>
      <c r="G512" s="2" t="n">
        <v>99</v>
      </c>
      <c r="H512" s="2" t="inlineStr">
        <is>
          <t>2-((1,1-Dimethylethyl)imino)-N,N-diethylhexahydro-1,3-dimethyl-2lambda5-1,3,2-diazaphosphorin-2-amine (CID 3513851)</t>
        </is>
      </c>
      <c r="I512" s="2" t="inlineStr">
        <is>
          <t>Phosphazene base; pKa ~16 in DMSO (27.6 in MeCN); used for O-alkylation of phenols.</t>
        </is>
      </c>
      <c r="J512" s="2" t="inlineStr">
        <is>
          <t>named and classified by a chemist agent; reviewed by an independent agent</t>
        </is>
      </c>
    </row>
    <row r="513">
      <c r="A513" s="3" t="inlineStr">
        <is>
          <t>C[Si](C)(C)C(C(N)=O)[Si](C)(C)C</t>
        </is>
      </c>
      <c r="B513" s="2" t="inlineStr">
        <is>
          <t>N,O-bis(trimethylsilyl)acetamide (drawn as C-silyl isomer)</t>
        </is>
      </c>
      <c r="C513" s="2" t="inlineStr">
        <is>
          <t>BSA</t>
        </is>
      </c>
      <c r="D513" s="2" t="inlineStr">
        <is>
          <t>protecting-group reagent</t>
        </is>
      </c>
      <c r="E513" s="2" t="inlineStr"/>
      <c r="F513" s="2" t="n"/>
      <c r="G513" s="2" t="n">
        <v>99</v>
      </c>
      <c r="H513" s="2" t="inlineStr">
        <is>
          <t>Bistrimethylsilylacetamid (CID 11708267)</t>
        </is>
      </c>
      <c r="I513" s="2" t="inlineStr">
        <is>
          <t>Temporarily silylates the acid and amine before acylation.</t>
        </is>
      </c>
      <c r="J513" s="2" t="inlineStr">
        <is>
          <t>named and classified by a chemist agent; reviewed by an independent agent</t>
        </is>
      </c>
    </row>
    <row r="514">
      <c r="A514" s="3" t="inlineStr">
        <is>
          <t>Cc1cc(C)c(S(=O)(=O)[O-])c(C)c1</t>
        </is>
      </c>
      <c r="B514" s="2" t="inlineStr">
        <is>
          <t>2-mesitylenesulfonate ion</t>
        </is>
      </c>
      <c r="C514" s="2" t="inlineStr">
        <is>
          <t>MesSO3-</t>
        </is>
      </c>
      <c r="D514" s="2" t="inlineStr">
        <is>
          <t>counter-ion / spectator ion</t>
        </is>
      </c>
      <c r="E514" s="2" t="inlineStr"/>
      <c r="F514" s="2" t="n"/>
      <c r="G514" s="2" t="n">
        <v>99</v>
      </c>
      <c r="H514" s="2" t="inlineStr">
        <is>
          <t>2,4,6-Trimethylbenzene-1-sulfonate (CID 3876246)</t>
        </is>
      </c>
      <c r="I514" s="2" t="inlineStr">
        <is>
          <t>Counter-anion of N-aminopyridinium salts made with MSH.</t>
        </is>
      </c>
      <c r="J514" s="2" t="inlineStr">
        <is>
          <t>named and classified by a chemist agent; reviewed by an independent agent</t>
        </is>
      </c>
    </row>
    <row r="515">
      <c r="A515" s="3" t="inlineStr">
        <is>
          <t>c1ccc([PH](c2ccccc2)(c2ccccc2)[Pd-4]([PH](c2ccccc2)(c2ccccc2)c2ccccc2)([PH](c2ccccc2)(c2ccccc2)c2ccccc2)[PH](c2ccccc2)(c2ccccc2)c2ccccc2)cc1</t>
        </is>
      </c>
      <c r="B515" s="2" t="inlineStr">
        <is>
          <t>tetrakis(triphenyl-lambda5-phosphane)palladate(4-) (malformed Pd(PPh3)4; intended tetrakis(triphenylphosphine)palladium(0))</t>
        </is>
      </c>
      <c r="C515" s="2" t="inlineStr">
        <is>
          <t>Pd(PPh3)4</t>
        </is>
      </c>
      <c r="D515" s="2" t="inlineStr">
        <is>
          <t>catalyst (metal)</t>
        </is>
      </c>
      <c r="E515" s="2" t="inlineStr"/>
      <c r="F515" s="2" t="n"/>
      <c r="G515" s="2" t="n">
        <v>98</v>
      </c>
      <c r="H515" s="2" t="inlineStr"/>
      <c r="I515" s="2" t="inlineStr">
        <is>
          <t>Pd(0) catalyst for Suzuki coupling.</t>
        </is>
      </c>
      <c r="J515" s="2" t="inlineStr">
        <is>
          <t>named and classified by a chemist agent; reviewed by an independent agent; name corrected after comparing with PubChem (was: tetrakis(triphenylphosphine)palladium(0)); PubChem's title for this SMILES was wrong (Tetrakis(triphenylphosphino)palladium (CID 11980388)): As written each P has an extra H and Pd is 4-, giving C72H64P4Pd(4-). Both names describe neutral Pd(PPh3)4, C72H60P4Pd.</t>
        </is>
      </c>
    </row>
    <row r="516">
      <c r="A516" s="3" t="inlineStr">
        <is>
          <t>CN(C)c1cccc2cccc(N(C)C)c12</t>
        </is>
      </c>
      <c r="B516" s="2" t="inlineStr">
        <is>
          <t>1,8-bis(dimethylamino)naphthalene</t>
        </is>
      </c>
      <c r="C516" s="2" t="inlineStr">
        <is>
          <t>Proton Sponge</t>
        </is>
      </c>
      <c r="D516" s="2" t="inlineStr">
        <is>
          <t>base</t>
        </is>
      </c>
      <c r="E516" s="2" t="inlineStr"/>
      <c r="F516" s="2" t="n">
        <v>12.1</v>
      </c>
      <c r="G516" s="2" t="n">
        <v>98</v>
      </c>
      <c r="H516" s="2" t="inlineStr">
        <is>
          <t>Proton sponge (CID 88675)</t>
        </is>
      </c>
      <c r="I516" s="2" t="inlineStr">
        <is>
          <t>Strong non-nucleophilic base (pKa in water); used with ACE-Cl for N-debenzylation.</t>
        </is>
      </c>
      <c r="J516" s="2" t="inlineStr">
        <is>
          <t>named and classified by a chemist agent; reviewed by an independent agent</t>
        </is>
      </c>
    </row>
    <row r="517">
      <c r="A517" s="3" t="inlineStr">
        <is>
          <t>O=C[C@H](O)[C@@H](O)[C@H](O)[C@H](O)CO</t>
        </is>
      </c>
      <c r="B517" s="2" t="inlineStr">
        <is>
          <t>D-glucose</t>
        </is>
      </c>
      <c r="C517" s="2" t="inlineStr"/>
      <c r="D517" s="2" t="inlineStr">
        <is>
          <t>reductant</t>
        </is>
      </c>
      <c r="E517" s="2" t="inlineStr">
        <is>
          <t>additive</t>
        </is>
      </c>
      <c r="F517" s="2" t="n"/>
      <c r="G517" s="2" t="n">
        <v>98</v>
      </c>
      <c r="H517" s="2" t="inlineStr">
        <is>
          <t>(2R,3S,4R,5R)-2,3,4,5,6-pentahydroxyhexanal (CID 107526)</t>
        </is>
      </c>
      <c r="I517" s="2" t="inlineStr">
        <is>
          <t>Reductant for cofactor recycling, or carbon source, in biocatalytic reactions.</t>
        </is>
      </c>
      <c r="J517" s="2" t="inlineStr">
        <is>
          <t>named and classified by a chemist agent; reviewed by an independent agent</t>
        </is>
      </c>
    </row>
    <row r="518">
      <c r="A518" s="3" t="inlineStr">
        <is>
          <t>CN1CCNCC1</t>
        </is>
      </c>
      <c r="B518" s="2" t="inlineStr">
        <is>
          <t>1-methylpiperazine</t>
        </is>
      </c>
      <c r="C518" s="2" t="inlineStr"/>
      <c r="D518" s="2" t="inlineStr">
        <is>
          <t>nucleophile</t>
        </is>
      </c>
      <c r="E518" s="2" t="inlineStr"/>
      <c r="F518" s="2" t="n"/>
      <c r="G518" s="2" t="n">
        <v>97</v>
      </c>
      <c r="H518" s="2" t="inlineStr">
        <is>
          <t>1-Methylpiperazine (CID 53167)</t>
        </is>
      </c>
      <c r="I518" s="2" t="inlineStr">
        <is>
          <t>Secondary amine nucleophile; carried over in this Boc-removal record.</t>
        </is>
      </c>
      <c r="J518" s="2" t="inlineStr">
        <is>
          <t>named and classified by a chemist agent; reviewed by an independent agent</t>
        </is>
      </c>
    </row>
    <row r="519">
      <c r="A519" s="3" t="inlineStr">
        <is>
          <t>COB(OC)OC</t>
        </is>
      </c>
      <c r="B519" s="2" t="inlineStr">
        <is>
          <t>trimethyl borate</t>
        </is>
      </c>
      <c r="C519" s="2" t="inlineStr">
        <is>
          <t>B(OMe)3</t>
        </is>
      </c>
      <c r="D519" s="2" t="inlineStr">
        <is>
          <t>electrophile / alkylating agent</t>
        </is>
      </c>
      <c r="E519" s="2" t="inlineStr"/>
      <c r="F519" s="2" t="n"/>
      <c r="G519" s="2" t="n">
        <v>97</v>
      </c>
      <c r="H519" s="2" t="inlineStr">
        <is>
          <t>Trimethyl borate (CID 8470)</t>
        </is>
      </c>
      <c r="I519" s="2" t="inlineStr">
        <is>
          <t>Traps a Grignard or aryllithium to make the boronic acid for Suzuki coupling.</t>
        </is>
      </c>
      <c r="J519" s="2" t="inlineStr">
        <is>
          <t>named and classified by a chemist agent; reviewed by an independent agent</t>
        </is>
      </c>
    </row>
    <row r="520">
      <c r="A520" s="3" t="inlineStr">
        <is>
          <t>ClC(Cl)(Cl)C(Cl)(Cl)Cl</t>
        </is>
      </c>
      <c r="B520" s="2" t="inlineStr">
        <is>
          <t>hexachloroethane</t>
        </is>
      </c>
      <c r="C520" s="2" t="inlineStr">
        <is>
          <t>C2Cl6</t>
        </is>
      </c>
      <c r="D520" s="2" t="inlineStr">
        <is>
          <t>dehydrating / activating agent</t>
        </is>
      </c>
      <c r="E520" s="2" t="inlineStr">
        <is>
          <t>halogenating agent</t>
        </is>
      </c>
      <c r="F520" s="2" t="n"/>
      <c r="G520" s="2" t="n">
        <v>97</v>
      </c>
      <c r="H520" s="2" t="inlineStr">
        <is>
          <t>Hexachloroethane (CID 6214)</t>
        </is>
      </c>
      <c r="I520" s="2" t="inlineStr">
        <is>
          <t>With PPh3 it dehydrates the diacylhydrazine to a 1,3,4-oxadiazole.</t>
        </is>
      </c>
      <c r="J520" s="2" t="inlineStr">
        <is>
          <t>named and classified by a chemist agent; reviewed by an independent agent</t>
        </is>
      </c>
    </row>
    <row r="521">
      <c r="A521" s="3" t="inlineStr">
        <is>
          <t>[Fe+3]</t>
        </is>
      </c>
      <c r="B521" s="2" t="inlineStr">
        <is>
          <t>iron(III) ion</t>
        </is>
      </c>
      <c r="C521" s="2" t="inlineStr">
        <is>
          <t>FeCl3</t>
        </is>
      </c>
      <c r="D521" s="2" t="inlineStr">
        <is>
          <t>catalyst (metal)</t>
        </is>
      </c>
      <c r="E521" s="2" t="inlineStr">
        <is>
          <t>Lewis acid</t>
        </is>
      </c>
      <c r="F521" s="2" t="n"/>
      <c r="G521" s="2" t="n">
        <v>96</v>
      </c>
      <c r="H521" s="2" t="inlineStr">
        <is>
          <t>Ferric cation (CID 29936)</t>
        </is>
      </c>
      <c r="I521" s="2" t="inlineStr">
        <is>
          <t>Iron(III) salt, here part of a nitro reduction system.</t>
        </is>
      </c>
      <c r="J521" s="2" t="inlineStr">
        <is>
          <t>named and classified by a chemist agent; reviewed by an independent agent</t>
        </is>
      </c>
    </row>
    <row r="522">
      <c r="A522" s="3" t="inlineStr">
        <is>
          <t>C#C[Si](C)(C)C</t>
        </is>
      </c>
      <c r="B522" s="2" t="inlineStr">
        <is>
          <t>trimethylsilylacetylene</t>
        </is>
      </c>
      <c r="C522" s="2" t="inlineStr">
        <is>
          <t>TMSA</t>
        </is>
      </c>
      <c r="D522" s="2" t="inlineStr">
        <is>
          <t>nucleophile</t>
        </is>
      </c>
      <c r="E522" s="2" t="inlineStr"/>
      <c r="F522" s="2" t="n"/>
      <c r="G522" s="2" t="n">
        <v>96</v>
      </c>
      <c r="H522" s="2" t="inlineStr">
        <is>
          <t>Trimethylsilylacetylene (CID 66111)</t>
        </is>
      </c>
      <c r="I522" s="2" t="inlineStr">
        <is>
          <t>Protected alkyne for Sonogashira coupling.</t>
        </is>
      </c>
      <c r="J522" s="2" t="inlineStr">
        <is>
          <t>named and classified by a chemist agent; reviewed by an independent agent</t>
        </is>
      </c>
    </row>
    <row r="523">
      <c r="A523" s="3" t="inlineStr">
        <is>
          <t>[Co]</t>
        </is>
      </c>
      <c r="B523" s="2" t="inlineStr">
        <is>
          <t>cobalt</t>
        </is>
      </c>
      <c r="C523" s="2" t="inlineStr">
        <is>
          <t>Co</t>
        </is>
      </c>
      <c r="D523" s="2" t="inlineStr">
        <is>
          <t>catalyst (metal)</t>
        </is>
      </c>
      <c r="E523" s="2" t="inlineStr"/>
      <c r="F523" s="2" t="n"/>
      <c r="G523" s="2" t="n">
        <v>96</v>
      </c>
      <c r="H523" s="2" t="inlineStr">
        <is>
          <t>Cobalt (CID 104730)</t>
        </is>
      </c>
      <c r="I523" s="2" t="inlineStr">
        <is>
          <t>Cobalt (here a Co-salen complex) catalyzing azide reduction.</t>
        </is>
      </c>
      <c r="J523" s="2" t="inlineStr">
        <is>
          <t>named and classified by a chemist agent; reviewed by an independent agent</t>
        </is>
      </c>
    </row>
    <row r="524">
      <c r="A524" s="3" t="inlineStr">
        <is>
          <t>[O-]B1OO1</t>
        </is>
      </c>
      <c r="B524" s="2" t="inlineStr">
        <is>
          <t>perborate ion</t>
        </is>
      </c>
      <c r="C524" s="2" t="inlineStr">
        <is>
          <t>NaBO3</t>
        </is>
      </c>
      <c r="D524" s="2" t="inlineStr">
        <is>
          <t>oxidant</t>
        </is>
      </c>
      <c r="E524" s="2" t="inlineStr"/>
      <c r="F524" s="2" t="n"/>
      <c r="G524" s="2" t="n">
        <v>96</v>
      </c>
      <c r="H524" s="2" t="inlineStr">
        <is>
          <t>3-Oxidodioxaborirane (CID 140586258)</t>
        </is>
      </c>
      <c r="I524" s="2" t="inlineStr">
        <is>
          <t>From sodium perborate; oxidizes bromide (Mo catalyst) so the arene can be brominated.</t>
        </is>
      </c>
      <c r="J524" s="2" t="inlineStr">
        <is>
          <t>named and classified by a chemist agent; reviewed by an independent agent</t>
        </is>
      </c>
    </row>
    <row r="525">
      <c r="A525" s="3" t="inlineStr">
        <is>
          <t>Cl[SiH](Cl)Cl</t>
        </is>
      </c>
      <c r="B525" s="2" t="inlineStr">
        <is>
          <t>trichlorosilane</t>
        </is>
      </c>
      <c r="C525" s="2" t="inlineStr">
        <is>
          <t>HSiCl3</t>
        </is>
      </c>
      <c r="D525" s="2" t="inlineStr">
        <is>
          <t>reductant</t>
        </is>
      </c>
      <c r="E525" s="2" t="inlineStr"/>
      <c r="F525" s="2" t="n"/>
      <c r="G525" s="2" t="n">
        <v>96</v>
      </c>
      <c r="H525" s="2" t="inlineStr">
        <is>
          <t>Trichlorosilane (CID 24811)</t>
        </is>
      </c>
      <c r="I525" s="2" t="inlineStr">
        <is>
          <t>Hydrosilane reductant (with amines); its role in this sulfonation record is unclear.</t>
        </is>
      </c>
      <c r="J525" s="2" t="inlineStr">
        <is>
          <t>named and classified by a chemist agent; reviewed by an independent agent</t>
        </is>
      </c>
    </row>
    <row r="526">
      <c r="A526" s="3" t="inlineStr">
        <is>
          <t>C1=CCC=CC1</t>
        </is>
      </c>
      <c r="B526" s="2" t="inlineStr">
        <is>
          <t>1,4-cyclohexadiene</t>
        </is>
      </c>
      <c r="C526" s="2" t="inlineStr">
        <is>
          <t>1,4-CHD</t>
        </is>
      </c>
      <c r="D526" s="2" t="inlineStr">
        <is>
          <t>reductant</t>
        </is>
      </c>
      <c r="E526" s="2" t="inlineStr"/>
      <c r="F526" s="2" t="n"/>
      <c r="G526" s="2" t="n">
        <v>95</v>
      </c>
      <c r="H526" s="2" t="inlineStr">
        <is>
          <t>1,4-Cyclohexadiene (CID 12343)</t>
        </is>
      </c>
      <c r="I526" s="2" t="inlineStr">
        <is>
          <t>Hydrogen donor for Pd-catalyzed transfer hydrogenation (nitro to amine).</t>
        </is>
      </c>
      <c r="J526" s="2" t="inlineStr">
        <is>
          <t>named and classified by a chemist agent; reviewed by an independent agent</t>
        </is>
      </c>
    </row>
    <row r="527">
      <c r="A527" s="3" t="inlineStr">
        <is>
          <t>CC(C)I</t>
        </is>
      </c>
      <c r="B527" s="2" t="inlineStr">
        <is>
          <t>2-iodopropane</t>
        </is>
      </c>
      <c r="C527" s="2" t="inlineStr">
        <is>
          <t>iPrI</t>
        </is>
      </c>
      <c r="D527" s="2" t="inlineStr">
        <is>
          <t>electrophile / alkylating agent</t>
        </is>
      </c>
      <c r="E527" s="2" t="inlineStr"/>
      <c r="F527" s="2" t="n"/>
      <c r="G527" s="2" t="n">
        <v>95</v>
      </c>
      <c r="H527" s="2" t="inlineStr">
        <is>
          <t>Isopropyl iodide (CID 6362)</t>
        </is>
      </c>
      <c r="I527" s="2" t="inlineStr">
        <is>
          <t>Adds an isopropyl group to phenols or amines.</t>
        </is>
      </c>
      <c r="J527" s="2" t="inlineStr">
        <is>
          <t>named and classified by a chemist agent; reviewed by an independent agent</t>
        </is>
      </c>
    </row>
    <row r="528">
      <c r="A528" s="3" t="inlineStr">
        <is>
          <t>CCOP(=O)(Cl)OCC</t>
        </is>
      </c>
      <c r="B528" s="2" t="inlineStr">
        <is>
          <t>diethyl chlorophosphate</t>
        </is>
      </c>
      <c r="C528" s="2" t="inlineStr">
        <is>
          <t>DECP</t>
        </is>
      </c>
      <c r="D528" s="2" t="inlineStr">
        <is>
          <t>coupling reagent (activates an acid)</t>
        </is>
      </c>
      <c r="E528" s="2" t="inlineStr"/>
      <c r="F528" s="2" t="n"/>
      <c r="G528" s="2" t="n">
        <v>95</v>
      </c>
      <c r="H528" s="2" t="inlineStr">
        <is>
          <t>Diethyl chlorophosphate (CID 13139)</t>
        </is>
      </c>
      <c r="I528" s="2" t="inlineStr">
        <is>
          <t>Makes a mixed phosphoric anhydride from the acid for amide coupling.</t>
        </is>
      </c>
      <c r="J528" s="2" t="inlineStr">
        <is>
          <t>named and classified by a chemist agent; reviewed by an independent agent</t>
        </is>
      </c>
    </row>
    <row r="529">
      <c r="A529" s="3" t="inlineStr">
        <is>
          <t>NC1CCCCC1</t>
        </is>
      </c>
      <c r="B529" s="2" t="inlineStr">
        <is>
          <t>cyclohexylamine</t>
        </is>
      </c>
      <c r="C529" s="2" t="inlineStr">
        <is>
          <t>CyNH2</t>
        </is>
      </c>
      <c r="D529" s="2" t="inlineStr">
        <is>
          <t>nucleophile</t>
        </is>
      </c>
      <c r="E529" s="2" t="inlineStr">
        <is>
          <t>base</t>
        </is>
      </c>
      <c r="F529" s="2" t="n">
        <v>10.6</v>
      </c>
      <c r="G529" s="2" t="n">
        <v>95</v>
      </c>
      <c r="H529" s="2" t="inlineStr">
        <is>
          <t>Cyclohexylamine (CID 7965)</t>
        </is>
      </c>
      <c r="I529" s="2" t="inlineStr">
        <is>
          <t>Primary amine (pKa in water); its role in this amide record is unclear.</t>
        </is>
      </c>
      <c r="J529" s="2" t="inlineStr">
        <is>
          <t>named and classified by a chemist agent; reviewed by an independent agent</t>
        </is>
      </c>
    </row>
    <row r="530">
      <c r="A530" s="3" t="inlineStr">
        <is>
          <t>COC(OC)N(C)C</t>
        </is>
      </c>
      <c r="B530" s="2" t="inlineStr">
        <is>
          <t>N,N-dimethylformamide dimethyl acetal</t>
        </is>
      </c>
      <c r="C530" s="2" t="inlineStr">
        <is>
          <t>DMF-DMA</t>
        </is>
      </c>
      <c r="D530" s="2" t="inlineStr">
        <is>
          <t>electrophile / alkylating agent</t>
        </is>
      </c>
      <c r="E530" s="2" t="inlineStr">
        <is>
          <t>protecting-group reagent</t>
        </is>
      </c>
      <c r="F530" s="2" t="n"/>
      <c r="G530" s="2" t="n">
        <v>95</v>
      </c>
      <c r="H530" s="2" t="inlineStr">
        <is>
          <t>Dimethylformamide dimethyl acetal (CID 78373)</t>
        </is>
      </c>
      <c r="I530" s="2" t="inlineStr">
        <is>
          <t>Forms formamidines and enaminones; here it made the amidine that protects the sulfonamide.</t>
        </is>
      </c>
      <c r="J530" s="2" t="inlineStr">
        <is>
          <t>named and classified by a chemist agent; reviewed by an independent agent</t>
        </is>
      </c>
    </row>
    <row r="531">
      <c r="A531" s="3" t="inlineStr">
        <is>
          <t>N#CCBr</t>
        </is>
      </c>
      <c r="B531" s="2" t="inlineStr">
        <is>
          <t>bromoacetonitrile</t>
        </is>
      </c>
      <c r="C531" s="2" t="inlineStr"/>
      <c r="D531" s="2" t="inlineStr">
        <is>
          <t>electrophile / alkylating agent</t>
        </is>
      </c>
      <c r="E531" s="2" t="inlineStr"/>
      <c r="F531" s="2" t="n"/>
      <c r="G531" s="2" t="n">
        <v>95</v>
      </c>
      <c r="H531" s="2" t="inlineStr">
        <is>
          <t>Bromoacetonitrile (CID 11534)</t>
        </is>
      </c>
      <c r="I531" s="2" t="inlineStr">
        <is>
          <t>Puts a CH2CN group on N or O nucleophiles.</t>
        </is>
      </c>
      <c r="J531" s="2" t="inlineStr">
        <is>
          <t>named and classified by a chemist agent; reviewed by an independent agent</t>
        </is>
      </c>
    </row>
    <row r="532">
      <c r="A532" s="3" t="inlineStr">
        <is>
          <t>FC(F)(F)c1ccccc1</t>
        </is>
      </c>
      <c r="B532" s="2" t="inlineStr">
        <is>
          <t>benzotrifluoride (trifluorotoluene)</t>
        </is>
      </c>
      <c r="C532" s="2" t="inlineStr">
        <is>
          <t>PhCF3</t>
        </is>
      </c>
      <c r="D532" s="2" t="inlineStr">
        <is>
          <t>solvent</t>
        </is>
      </c>
      <c r="E532" s="2" t="inlineStr"/>
      <c r="F532" s="2" t="n"/>
      <c r="G532" s="2" t="n">
        <v>94</v>
      </c>
      <c r="H532" s="2" t="inlineStr">
        <is>
          <t>(Trifluoromethyl)benzene (CID 7368)</t>
        </is>
      </c>
      <c r="I532" s="2" t="inlineStr">
        <is>
          <t>Unreactive aromatic solvent.</t>
        </is>
      </c>
      <c r="J532" s="2" t="inlineStr">
        <is>
          <t>named and classified by a chemist agent; reviewed by an independent agent</t>
        </is>
      </c>
    </row>
    <row r="533">
      <c r="A533" s="3" t="inlineStr">
        <is>
          <t>COc1ccc(O)cc1</t>
        </is>
      </c>
      <c r="B533" s="2" t="inlineStr">
        <is>
          <t>4-methoxyphenol</t>
        </is>
      </c>
      <c r="C533" s="2" t="inlineStr">
        <is>
          <t>MEHQ</t>
        </is>
      </c>
      <c r="D533" s="2" t="inlineStr">
        <is>
          <t>additive</t>
        </is>
      </c>
      <c r="E533" s="2" t="inlineStr"/>
      <c r="F533" s="2" t="n"/>
      <c r="G533" s="2" t="n">
        <v>94</v>
      </c>
      <c r="H533" s="2" t="inlineStr">
        <is>
          <t>4-Methoxyphenol (CID 9015)</t>
        </is>
      </c>
      <c r="I533" s="2" t="inlineStr">
        <is>
          <t>Radical inhibitor; its role in this demethylation record is unclear.</t>
        </is>
      </c>
      <c r="J533" s="2" t="inlineStr">
        <is>
          <t>named and classified by a chemist agent; reviewed by an independent agent</t>
        </is>
      </c>
    </row>
    <row r="534">
      <c r="A534" s="3" t="inlineStr">
        <is>
          <t>COc1nc(Cl)nc(OC)n1</t>
        </is>
      </c>
      <c r="B534" s="2" t="inlineStr">
        <is>
          <t>2-chloro-4,6-dimethoxy-1,3,5-triazine</t>
        </is>
      </c>
      <c r="C534" s="2" t="inlineStr">
        <is>
          <t>CDMT</t>
        </is>
      </c>
      <c r="D534" s="2" t="inlineStr">
        <is>
          <t>coupling reagent (activates an acid)</t>
        </is>
      </c>
      <c r="E534" s="2" t="inlineStr"/>
      <c r="F534" s="2" t="n"/>
      <c r="G534" s="2" t="n">
        <v>94</v>
      </c>
      <c r="H534" s="2" t="inlineStr">
        <is>
          <t>2-Chloro-4,6-dimethoxy-1,3,5-triazine (CID 18450)</t>
        </is>
      </c>
      <c r="I534" s="2" t="inlineStr">
        <is>
          <t>With NMM it forms triazinyl active esters (DMTMM made in situ).</t>
        </is>
      </c>
      <c r="J534" s="2" t="inlineStr">
        <is>
          <t>named and classified by a chemist agent; reviewed by an independent agent</t>
        </is>
      </c>
    </row>
    <row r="535">
      <c r="A535" s="3" t="inlineStr">
        <is>
          <t>CC(=O)/C=C(/C)[O-]</t>
        </is>
      </c>
      <c r="B535" s="2" t="inlineStr">
        <is>
          <t>acetylacetonate ion</t>
        </is>
      </c>
      <c r="C535" s="2" t="inlineStr">
        <is>
          <t>acac</t>
        </is>
      </c>
      <c r="D535" s="2" t="inlineStr">
        <is>
          <t>ligand</t>
        </is>
      </c>
      <c r="E535" s="2" t="inlineStr"/>
      <c r="F535" s="2" t="n"/>
      <c r="G535" s="2" t="n">
        <v>94</v>
      </c>
      <c r="H535" s="2" t="inlineStr">
        <is>
          <t>Acetylacetonate (CID 5460482)</t>
        </is>
      </c>
      <c r="I535" s="2" t="inlineStr">
        <is>
          <t>From metal acac salts (Pd, Fe, Cu, Ni).</t>
        </is>
      </c>
      <c r="J535" s="2" t="inlineStr">
        <is>
          <t>named and classified by a chemist agent; reviewed by an independent agent</t>
        </is>
      </c>
    </row>
    <row r="536">
      <c r="A536" s="3" t="inlineStr">
        <is>
          <t>CC(=O)OCc1c2ccccc2c(COC(C)=O)c2ccccc12</t>
        </is>
      </c>
      <c r="B536" s="2" t="inlineStr">
        <is>
          <t>9,10-bis(acetoxymethyl)anthracene</t>
        </is>
      </c>
      <c r="C536" s="2" t="inlineStr"/>
      <c r="D536" s="2" t="inlineStr">
        <is>
          <t>other</t>
        </is>
      </c>
      <c r="E536" s="2" t="inlineStr"/>
      <c r="F536" s="2" t="n"/>
      <c r="G536" s="2" t="n">
        <v>94</v>
      </c>
      <c r="H536" s="2" t="inlineStr">
        <is>
          <t>Acetic acid 10-acetoxymethyl-anthracen-9-ylmethyl ester (CID 613145)</t>
        </is>
      </c>
      <c r="I536" s="2" t="inlineStr">
        <is>
          <t>Unclear in this Boc-removal record; not a standard reagent.</t>
        </is>
      </c>
      <c r="J536" s="2" t="inlineStr">
        <is>
          <t>named and classified by a chemist agent; reviewed by an independent agent</t>
        </is>
      </c>
    </row>
    <row r="537">
      <c r="A537" s="3" t="inlineStr">
        <is>
          <t>C=Cc1ccccc1</t>
        </is>
      </c>
      <c r="B537" s="2" t="inlineStr">
        <is>
          <t>styrene</t>
        </is>
      </c>
      <c r="C537" s="2" t="inlineStr"/>
      <c r="D537" s="2" t="inlineStr">
        <is>
          <t>other</t>
        </is>
      </c>
      <c r="E537" s="2" t="inlineStr"/>
      <c r="F537" s="2" t="n"/>
      <c r="G537" s="2" t="n">
        <v>93</v>
      </c>
      <c r="H537" s="2" t="inlineStr">
        <is>
          <t>Styrene (CID 7501)</t>
        </is>
      </c>
      <c r="I537" s="2" t="inlineStr">
        <is>
          <t>Building block of polystyrene resin; marks a polymer-bound reagent (e.g., a resin-bound amine base).</t>
        </is>
      </c>
      <c r="J537" s="2" t="inlineStr">
        <is>
          <t>named and classified by a chemist agent; reviewed by an independent agent</t>
        </is>
      </c>
    </row>
    <row r="538">
      <c r="A538" s="3" t="inlineStr">
        <is>
          <t>O=C(O)c1ccccc1I(=O)=O</t>
        </is>
      </c>
      <c r="B538" s="2" t="inlineStr">
        <is>
          <t>2-iodoxybenzoic acid</t>
        </is>
      </c>
      <c r="C538" s="2" t="inlineStr">
        <is>
          <t>IBX</t>
        </is>
      </c>
      <c r="D538" s="2" t="inlineStr">
        <is>
          <t>oxidant</t>
        </is>
      </c>
      <c r="E538" s="2" t="inlineStr"/>
      <c r="F538" s="2" t="n"/>
      <c r="G538" s="2" t="n">
        <v>93</v>
      </c>
      <c r="H538" s="2" t="inlineStr">
        <is>
          <t>2-Iodoxybenzoic acid (CID 108794)</t>
        </is>
      </c>
      <c r="I538" s="2" t="inlineStr">
        <is>
          <t>Hypervalent iodine oxidant; alcohol to aldehyde.</t>
        </is>
      </c>
      <c r="J538" s="2" t="inlineStr">
        <is>
          <t>named and classified by a chemist agent; reviewed by an independent agent</t>
        </is>
      </c>
    </row>
    <row r="539">
      <c r="A539" s="3" t="inlineStr">
        <is>
          <t>[O-]c1ccccc1</t>
        </is>
      </c>
      <c r="B539" s="2" t="inlineStr">
        <is>
          <t>phenoxide ion</t>
        </is>
      </c>
      <c r="C539" s="2" t="inlineStr">
        <is>
          <t>PhO-</t>
        </is>
      </c>
      <c r="D539" s="2" t="inlineStr">
        <is>
          <t>nucleophile</t>
        </is>
      </c>
      <c r="E539" s="2" t="inlineStr">
        <is>
          <t>base</t>
        </is>
      </c>
      <c r="F539" s="2" t="n">
        <v>10</v>
      </c>
      <c r="G539" s="2" t="n">
        <v>93</v>
      </c>
      <c r="H539" s="2" t="inlineStr">
        <is>
          <t>Phenolate (CID 119047)</t>
        </is>
      </c>
      <c r="I539" s="2" t="inlineStr">
        <is>
          <t>Sodium phenoxide (phenol pKa 10 in water); O-alkylation nucleophile.</t>
        </is>
      </c>
      <c r="J539" s="2" t="inlineStr">
        <is>
          <t>named and classified by a chemist agent; reviewed by an independent agent</t>
        </is>
      </c>
    </row>
    <row r="540">
      <c r="A540" s="3" t="inlineStr">
        <is>
          <t>CB1OC(c2ccccc2)(c2ccccc2)[C@H]2CCCN12</t>
        </is>
      </c>
      <c r="B540" s="2" t="inlineStr">
        <is>
          <t>(R)-2-methyl-CBS-oxazaborolidine</t>
        </is>
      </c>
      <c r="C540" s="2" t="inlineStr">
        <is>
          <t>(R)-Me-CBS</t>
        </is>
      </c>
      <c r="D540" s="2" t="inlineStr">
        <is>
          <t>Lewis acid</t>
        </is>
      </c>
      <c r="E540" s="2" t="inlineStr"/>
      <c r="F540" s="2" t="n"/>
      <c r="G540" s="2" t="n">
        <v>93</v>
      </c>
      <c r="H540" s="2" t="inlineStr">
        <is>
          <t>(R)-2-Methyl-CBS-oxazaborolidine (CID 9838490)</t>
        </is>
      </c>
      <c r="I540" s="2" t="inlineStr">
        <is>
          <t>Chiral catalyst for borane reduction of ketones to one alcohol enantiomer.</t>
        </is>
      </c>
      <c r="J540" s="2" t="inlineStr">
        <is>
          <t>named and classified by a chemist agent; reviewed by an independent agent; corrected name (RDKit's CIP labeler gives R at the ring-fusion carbon (C3a) of this SMILES. The (S) catalyst comes from (S)-diphenylprolinol (L-proline), which in the same neig); corrected abbreviation (The SMILES is the (R) enantiomer, as explained under the name correction. The two enantiomers give opposite alcohol enantiomers, so the label matters.)</t>
        </is>
      </c>
    </row>
    <row r="541">
      <c r="A541" s="3" t="inlineStr">
        <is>
          <t>c1ccc([As](c2ccccc2)c2ccccc2)cc1</t>
        </is>
      </c>
      <c r="B541" s="2" t="inlineStr">
        <is>
          <t>triphenylarsine</t>
        </is>
      </c>
      <c r="C541" s="2" t="inlineStr">
        <is>
          <t>AsPh3</t>
        </is>
      </c>
      <c r="D541" s="2" t="inlineStr">
        <is>
          <t>ligand</t>
        </is>
      </c>
      <c r="E541" s="2" t="inlineStr"/>
      <c r="F541" s="2" t="n"/>
      <c r="G541" s="2" t="n">
        <v>93</v>
      </c>
      <c r="H541" s="2" t="inlineStr">
        <is>
          <t>Triphenylarsine (CID 11773)</t>
        </is>
      </c>
      <c r="I541" s="2" t="inlineStr">
        <is>
          <t>Soft ligand for Pd Stille and Suzuki couplings.</t>
        </is>
      </c>
      <c r="J541" s="2" t="inlineStr">
        <is>
          <t>named and classified by a chemist agent; reviewed by an independent agent</t>
        </is>
      </c>
    </row>
    <row r="542">
      <c r="A542" s="3" t="inlineStr">
        <is>
          <t>OCC1CCCO1</t>
        </is>
      </c>
      <c r="B542" s="2" t="inlineStr">
        <is>
          <t>tetrahydrofurfuryl alcohol</t>
        </is>
      </c>
      <c r="C542" s="2" t="inlineStr"/>
      <c r="D542" s="2" t="inlineStr">
        <is>
          <t>solvent</t>
        </is>
      </c>
      <c r="E542" s="2" t="inlineStr"/>
      <c r="F542" s="2" t="n"/>
      <c r="G542" s="2" t="n">
        <v>92</v>
      </c>
      <c r="H542" s="2" t="inlineStr">
        <is>
          <t>Tetrahydrofurfuryl alcohol (CID 7360)</t>
        </is>
      </c>
      <c r="I542" s="2" t="inlineStr">
        <is>
          <t>Polar alcohol solvent.</t>
        </is>
      </c>
      <c r="J542" s="2" t="inlineStr">
        <is>
          <t>named and classified by a chemist agent; reviewed by an independent agent</t>
        </is>
      </c>
    </row>
    <row r="543">
      <c r="A543" s="3" t="inlineStr">
        <is>
          <t>CCOC(C)O</t>
        </is>
      </c>
      <c r="B543" s="2" t="inlineStr">
        <is>
          <t>1-ethoxyethanol</t>
        </is>
      </c>
      <c r="C543" s="2" t="inlineStr"/>
      <c r="D543" s="2" t="inlineStr">
        <is>
          <t>solvent</t>
        </is>
      </c>
      <c r="E543" s="2" t="inlineStr"/>
      <c r="F543" s="2" t="n"/>
      <c r="G543" s="2" t="n">
        <v>92</v>
      </c>
      <c r="H543" s="2" t="inlineStr">
        <is>
          <t>1-Ethoxyethanol (CID 10129898)</t>
        </is>
      </c>
      <c r="I543" s="2" t="inlineStr">
        <is>
          <t>A hemiacetal; probably ethanol or 2-ethoxyethanol solvent drawn wrong.</t>
        </is>
      </c>
      <c r="J543" s="2" t="inlineStr">
        <is>
          <t>named and classified by a chemist agent; reviewed by an independent agent</t>
        </is>
      </c>
    </row>
    <row r="544">
      <c r="A544" s="3" t="inlineStr">
        <is>
          <t>C=C</t>
        </is>
      </c>
      <c r="B544" s="2" t="inlineStr">
        <is>
          <t>ethylene</t>
        </is>
      </c>
      <c r="C544" s="2" t="inlineStr"/>
      <c r="D544" s="2" t="inlineStr">
        <is>
          <t>gas</t>
        </is>
      </c>
      <c r="E544" s="2" t="inlineStr"/>
      <c r="F544" s="2" t="n"/>
      <c r="G544" s="2" t="n">
        <v>92</v>
      </c>
      <c r="H544" s="2" t="inlineStr">
        <is>
          <t>Ethylene (CID 6325)</t>
        </is>
      </c>
      <c r="I544" s="2" t="inlineStr">
        <is>
          <t>Its role in this record is unclear (probably a recording error).</t>
        </is>
      </c>
      <c r="J544" s="2" t="inlineStr">
        <is>
          <t>named and classified by a chemist agent; reviewed by an independent agent</t>
        </is>
      </c>
    </row>
    <row r="545">
      <c r="A545" s="3" t="inlineStr">
        <is>
          <t>Nc1ccccc1-c1[c-]cccc1</t>
        </is>
      </c>
      <c r="B545" s="2" t="inlineStr">
        <is>
          <t>2'-aminobiphenyl-2-yl anion</t>
        </is>
      </c>
      <c r="C545" s="2" t="inlineStr"/>
      <c r="D545" s="2" t="inlineStr">
        <is>
          <t>ligand</t>
        </is>
      </c>
      <c r="E545" s="2" t="inlineStr">
        <is>
          <t>catalyst (metal)</t>
        </is>
      </c>
      <c r="F545" s="2" t="n"/>
      <c r="G545" s="2" t="n">
        <v>91</v>
      </c>
      <c r="H545" s="2" t="inlineStr"/>
      <c r="I545" s="2" t="inlineStr">
        <is>
          <t>Aminobiphenyl palladacycle fragment of G2/G3 Buchwald precatalysts.</t>
        </is>
      </c>
      <c r="J545" s="2" t="inlineStr">
        <is>
          <t>named and classified by a chemist agent; reviewed by an independent agent</t>
        </is>
      </c>
    </row>
    <row r="546">
      <c r="A546" s="3" t="inlineStr">
        <is>
          <t>O=S(Br)Br</t>
        </is>
      </c>
      <c r="B546" s="2" t="inlineStr">
        <is>
          <t>thionyl bromide</t>
        </is>
      </c>
      <c r="C546" s="2" t="inlineStr">
        <is>
          <t>SOBr2</t>
        </is>
      </c>
      <c r="D546" s="2" t="inlineStr">
        <is>
          <t>halogenating agent</t>
        </is>
      </c>
      <c r="E546" s="2" t="inlineStr"/>
      <c r="F546" s="2" t="n"/>
      <c r="G546" s="2" t="n">
        <v>91</v>
      </c>
      <c r="H546" s="2" t="inlineStr">
        <is>
          <t>Thionyl bromide (CID 68176)</t>
        </is>
      </c>
      <c r="I546" s="2" t="inlineStr">
        <is>
          <t>Turns alcohols into alkyl bromides.</t>
        </is>
      </c>
      <c r="J546" s="2" t="inlineStr">
        <is>
          <t>named and classified by a chemist agent; reviewed by an independent agent</t>
        </is>
      </c>
    </row>
    <row r="547">
      <c r="A547" s="3" t="inlineStr">
        <is>
          <t>CCC[CH2][Sn+2][CH2]CCC</t>
        </is>
      </c>
      <c r="B547" s="2" t="inlineStr">
        <is>
          <t>dibutyltin(IV) cation</t>
        </is>
      </c>
      <c r="C547" s="2" t="inlineStr">
        <is>
          <t>Bu2Sn(OAc)2</t>
        </is>
      </c>
      <c r="D547" s="2" t="inlineStr">
        <is>
          <t>catalyst (metal)</t>
        </is>
      </c>
      <c r="E547" s="2" t="inlineStr">
        <is>
          <t>Lewis acid</t>
        </is>
      </c>
      <c r="F547" s="2" t="n"/>
      <c r="G547" s="2" t="n">
        <v>91</v>
      </c>
      <c r="H547" s="2" t="inlineStr"/>
      <c r="I547" s="2" t="inlineStr">
        <is>
          <t>From dibutyltin diacetate or dilaurate; catalyzes urethane formation from isocyanates.</t>
        </is>
      </c>
      <c r="J547" s="2" t="inlineStr">
        <is>
          <t>named and classified by a chemist agent; reviewed by an independent agent; PubChem's title for this SMILES was wrong ((Dibutyl)stannane (CID 9543249)): Bu2Sn2+. CID 9543249's IUPAC name is dibutyltin(2+), but its title '(Dibutyl)stannane' implies neutral Bu2SnH2.</t>
        </is>
      </c>
    </row>
    <row r="548">
      <c r="A548" s="3" t="inlineStr">
        <is>
          <t>c1ccc(OP(Oc2ccccc2)Oc2ccccc2)cc1</t>
        </is>
      </c>
      <c r="B548" s="2" t="inlineStr">
        <is>
          <t>triphenyl phosphite</t>
        </is>
      </c>
      <c r="C548" s="2" t="inlineStr">
        <is>
          <t>P(OPh)3</t>
        </is>
      </c>
      <c r="D548" s="2" t="inlineStr">
        <is>
          <t>ligand</t>
        </is>
      </c>
      <c r="E548" s="2" t="inlineStr"/>
      <c r="F548" s="2" t="n"/>
      <c r="G548" s="2" t="n">
        <v>91</v>
      </c>
      <c r="H548" s="2" t="inlineStr">
        <is>
          <t>Triphenyl phosphite (CID 7540)</t>
        </is>
      </c>
      <c r="I548" s="2" t="inlineStr">
        <is>
          <t>Electron-poor phosphite ligand for Pd.</t>
        </is>
      </c>
      <c r="J548" s="2" t="inlineStr">
        <is>
          <t>named and classified by a chemist agent; reviewed by an independent agent</t>
        </is>
      </c>
    </row>
    <row r="549">
      <c r="A549" s="3" t="inlineStr">
        <is>
          <t>c1ccc2[nH]ccc2c1</t>
        </is>
      </c>
      <c r="B549" s="2" t="inlineStr">
        <is>
          <t>indole</t>
        </is>
      </c>
      <c r="C549" s="2" t="inlineStr"/>
      <c r="D549" s="2" t="inlineStr">
        <is>
          <t>other</t>
        </is>
      </c>
      <c r="E549" s="2" t="inlineStr"/>
      <c r="F549" s="2" t="n"/>
      <c r="G549" s="2" t="n">
        <v>90</v>
      </c>
      <c r="H549" s="2" t="inlineStr">
        <is>
          <t>Indole (CID 798)</t>
        </is>
      </c>
      <c r="I549" s="2" t="inlineStr">
        <is>
          <t>Unclear additive in this record.</t>
        </is>
      </c>
      <c r="J549" s="2" t="inlineStr">
        <is>
          <t>named and classified by a chemist agent; reviewed by an independent agent</t>
        </is>
      </c>
    </row>
    <row r="550">
      <c r="A550" s="3" t="inlineStr">
        <is>
          <t>CC[BH-](CC)CC</t>
        </is>
      </c>
      <c r="B550" s="2" t="inlineStr">
        <is>
          <t>triethylborohydride ion</t>
        </is>
      </c>
      <c r="C550" s="2" t="inlineStr">
        <is>
          <t>Super-Hydride</t>
        </is>
      </c>
      <c r="D550" s="2" t="inlineStr">
        <is>
          <t>reductant</t>
        </is>
      </c>
      <c r="E550" s="2" t="inlineStr"/>
      <c r="F550" s="2" t="n"/>
      <c r="G550" s="2" t="n">
        <v>90</v>
      </c>
      <c r="H550" s="2" t="inlineStr">
        <is>
          <t>Triethylboranuide (CID 2723994)</t>
        </is>
      </c>
      <c r="I550" s="2" t="inlineStr">
        <is>
          <t>From LiEt3BH; very strong hydride donor.</t>
        </is>
      </c>
      <c r="J550" s="2" t="inlineStr">
        <is>
          <t>named and classified by a chemist agent; reviewed by an independent agent</t>
        </is>
      </c>
    </row>
    <row r="551">
      <c r="A551" s="3" t="inlineStr">
        <is>
          <t>C[P+](C)(C)CC#N</t>
        </is>
      </c>
      <c r="B551" s="2" t="inlineStr">
        <is>
          <t>(cyanomethyl)trimethylphosphonium ion</t>
        </is>
      </c>
      <c r="C551" s="2" t="inlineStr">
        <is>
          <t>CMMP</t>
        </is>
      </c>
      <c r="D551" s="2" t="inlineStr">
        <is>
          <t>dehydrating / activating agent</t>
        </is>
      </c>
      <c r="E551" s="2" t="inlineStr"/>
      <c r="F551" s="2" t="n"/>
      <c r="G551" s="2" t="n">
        <v>90</v>
      </c>
      <c r="H551" s="2" t="inlineStr">
        <is>
          <t>Cyanomethyl(trimethyl)phosphanium (CID 10514345)</t>
        </is>
      </c>
      <c r="I551" s="2" t="inlineStr">
        <is>
          <t>Mitsunobu-type reagent (iodide salt) for N-alkylating amines with alcohols.</t>
        </is>
      </c>
      <c r="J551" s="2" t="inlineStr">
        <is>
          <t>named and classified by a chemist agent; reviewed by an independent agent</t>
        </is>
      </c>
    </row>
    <row r="552">
      <c r="A552" s="3" t="inlineStr">
        <is>
          <t>[B]</t>
        </is>
      </c>
      <c r="B552" s="2" t="inlineStr">
        <is>
          <t>boron</t>
        </is>
      </c>
      <c r="C552" s="2" t="inlineStr">
        <is>
          <t>BBr3</t>
        </is>
      </c>
      <c r="D552" s="2" t="inlineStr">
        <is>
          <t>Lewis acid</t>
        </is>
      </c>
      <c r="E552" s="2" t="inlineStr"/>
      <c r="F552" s="2" t="n"/>
      <c r="G552" s="2" t="n">
        <v>89</v>
      </c>
      <c r="H552" s="2" t="inlineStr">
        <is>
          <t>Boron (CID 5462311)</t>
        </is>
      </c>
      <c r="I552" s="2" t="inlineStr">
        <is>
          <t>Probably a fragment of BBr3 or BCl3, used to demethylate aryl methyl ethers.</t>
        </is>
      </c>
      <c r="J552" s="2" t="inlineStr">
        <is>
          <t>named and classified by a chemist agent; reviewed by an independent agent</t>
        </is>
      </c>
    </row>
    <row r="553">
      <c r="A553" s="3" t="inlineStr">
        <is>
          <t>O=[PH2][O-]</t>
        </is>
      </c>
      <c r="B553" s="2" t="inlineStr">
        <is>
          <t>hypophosphite ion</t>
        </is>
      </c>
      <c r="C553" s="2" t="inlineStr">
        <is>
          <t>NaH2PO2</t>
        </is>
      </c>
      <c r="D553" s="2" t="inlineStr">
        <is>
          <t>reductant</t>
        </is>
      </c>
      <c r="E553" s="2" t="inlineStr"/>
      <c r="F553" s="2" t="n"/>
      <c r="G553" s="2" t="n">
        <v>88</v>
      </c>
      <c r="H553" s="2" t="inlineStr"/>
      <c r="I553" s="2" t="inlineStr">
        <is>
          <t>Hydrogen donor for Pd-catalyzed transfer reduction of nitro groups.</t>
        </is>
      </c>
      <c r="J553" s="2" t="inlineStr">
        <is>
          <t>named and classified by a chemist agent; reviewed by an independent agent; PubChem's title for this SMILES was wrong (phosphenous acid (CID 22497)): H2PO2-. The lookup returned CID 22497, neutral HPO2 (phosphenous acid).</t>
        </is>
      </c>
    </row>
    <row r="554">
      <c r="A554" s="3" t="inlineStr">
        <is>
          <t>CC(=O)[O][Na]</t>
        </is>
      </c>
      <c r="B554" s="2" t="inlineStr">
        <is>
          <t>sodium acetate</t>
        </is>
      </c>
      <c r="C554" s="2" t="inlineStr">
        <is>
          <t>NaOAc</t>
        </is>
      </c>
      <c r="D554" s="2" t="inlineStr">
        <is>
          <t>base</t>
        </is>
      </c>
      <c r="E554" s="2" t="inlineStr"/>
      <c r="F554" s="2" t="n">
        <v>4.76</v>
      </c>
      <c r="G554" s="2" t="n">
        <v>88</v>
      </c>
      <c r="H554" s="2" t="inlineStr">
        <is>
          <t>Sodium Acetate (CID 517045)</t>
        </is>
      </c>
      <c r="I554" s="2" t="inlineStr">
        <is>
          <t>Mild base and buffer (AcOH pKa 4.76 in water).</t>
        </is>
      </c>
      <c r="J554" s="2" t="inlineStr">
        <is>
          <t>named and classified by a chemist agent; reviewed by an independent agent</t>
        </is>
      </c>
    </row>
    <row r="555">
      <c r="A555" s="3" t="inlineStr">
        <is>
          <t>COC</t>
        </is>
      </c>
      <c r="B555" s="2" t="inlineStr">
        <is>
          <t>dimethyl ether</t>
        </is>
      </c>
      <c r="C555" s="2" t="inlineStr">
        <is>
          <t>Me2O</t>
        </is>
      </c>
      <c r="D555" s="2" t="inlineStr">
        <is>
          <t>solvent</t>
        </is>
      </c>
      <c r="E555" s="2" t="inlineStr"/>
      <c r="F555" s="2" t="n"/>
      <c r="G555" s="2" t="n">
        <v>88</v>
      </c>
      <c r="H555" s="2" t="inlineStr">
        <is>
          <t>Dimethyl Ether (CID 8254)</t>
        </is>
      </c>
      <c r="I555" s="2" t="inlineStr">
        <is>
          <t>Unclear; probably a solvent drawn wrong.</t>
        </is>
      </c>
      <c r="J555" s="2" t="inlineStr">
        <is>
          <t>named and classified by a chemist agent; reviewed by an independent agent</t>
        </is>
      </c>
    </row>
    <row r="556">
      <c r="A556" s="3" t="inlineStr">
        <is>
          <t>C[CH](C)[Mg][Br]</t>
        </is>
      </c>
      <c r="B556" s="2" t="inlineStr">
        <is>
          <t>isopropylmagnesium bromide</t>
        </is>
      </c>
      <c r="C556" s="2" t="inlineStr">
        <is>
          <t>iPrMgBr</t>
        </is>
      </c>
      <c r="D556" s="2" t="inlineStr">
        <is>
          <t>organometallic reagent</t>
        </is>
      </c>
      <c r="E556" s="2" t="inlineStr"/>
      <c r="F556" s="2" t="n"/>
      <c r="G556" s="2" t="n">
        <v>88</v>
      </c>
      <c r="H556" s="2" t="inlineStr">
        <is>
          <t>Magnesium, bromo(1-methylethyl)- (CID 101909)</t>
        </is>
      </c>
      <c r="I556" s="2" t="inlineStr">
        <is>
          <t>Swaps Br for Mg on the aryl bromide; DMF then gives the aldehyde.</t>
        </is>
      </c>
      <c r="J556" s="2" t="inlineStr">
        <is>
          <t>named and classified by a chemist agent; reviewed by an independent agent</t>
        </is>
      </c>
    </row>
    <row r="557">
      <c r="A557" s="3" t="inlineStr">
        <is>
          <t>[CH3][Mg][I]</t>
        </is>
      </c>
      <c r="B557" s="2" t="inlineStr">
        <is>
          <t>methylmagnesium iodide</t>
        </is>
      </c>
      <c r="C557" s="2" t="inlineStr">
        <is>
          <t>MeMgI</t>
        </is>
      </c>
      <c r="D557" s="2" t="inlineStr">
        <is>
          <t>organometallic reagent</t>
        </is>
      </c>
      <c r="E557" s="2" t="inlineStr">
        <is>
          <t>nucleophile</t>
        </is>
      </c>
      <c r="F557" s="2" t="n"/>
      <c r="G557" s="2" t="n">
        <v>88</v>
      </c>
      <c r="H557" s="2" t="inlineStr">
        <is>
          <t>Iodomethylmagnesium (CID 101907)</t>
        </is>
      </c>
      <c r="I557" s="2" t="inlineStr">
        <is>
          <t>Grignard reagent.</t>
        </is>
      </c>
      <c r="J557" s="2" t="inlineStr">
        <is>
          <t>named and classified by a chemist agent; reviewed by an independent agent</t>
        </is>
      </c>
    </row>
    <row r="558">
      <c r="A558" s="3" t="inlineStr">
        <is>
          <t>O=C1O[C@H]([C@@H](O)CO)C(O)=C1O</t>
        </is>
      </c>
      <c r="B558" s="2" t="inlineStr">
        <is>
          <t>L-ascorbic acid</t>
        </is>
      </c>
      <c r="C558" s="2" t="inlineStr"/>
      <c r="D558" s="2" t="inlineStr">
        <is>
          <t>reductant</t>
        </is>
      </c>
      <c r="E558" s="2" t="inlineStr"/>
      <c r="F558" s="2" t="n"/>
      <c r="G558" s="2" t="n">
        <v>87</v>
      </c>
      <c r="H558" s="2" t="inlineStr">
        <is>
          <t>L-Ascorbic Acid (CID 54670067)</t>
        </is>
      </c>
      <c r="I558" s="2" t="inlineStr">
        <is>
          <t>Mild reductant (quenches oxidants, makes Cu(I)).</t>
        </is>
      </c>
      <c r="J558" s="2" t="inlineStr">
        <is>
          <t>named and classified by a chemist agent; reviewed by an independent agent</t>
        </is>
      </c>
    </row>
    <row r="559">
      <c r="A559" s="3" t="inlineStr">
        <is>
          <t>C=CC(=O)Cl</t>
        </is>
      </c>
      <c r="B559" s="2" t="inlineStr">
        <is>
          <t>acryloyl chloride</t>
        </is>
      </c>
      <c r="C559" s="2" t="inlineStr"/>
      <c r="D559" s="2" t="inlineStr">
        <is>
          <t>electrophile / alkylating agent</t>
        </is>
      </c>
      <c r="E559" s="2" t="inlineStr"/>
      <c r="F559" s="2" t="n"/>
      <c r="G559" s="2" t="n">
        <v>87</v>
      </c>
      <c r="H559" s="2" t="inlineStr">
        <is>
          <t>Acryloyl chloride (CID 13140)</t>
        </is>
      </c>
      <c r="I559" s="2" t="inlineStr">
        <is>
          <t>Acylating agent that gives acrylates and acrylamides.</t>
        </is>
      </c>
      <c r="J559" s="2" t="inlineStr">
        <is>
          <t>named and classified by a chemist agent; reviewed by an independent agent</t>
        </is>
      </c>
    </row>
    <row r="560">
      <c r="A560" s="3" t="inlineStr">
        <is>
          <t>N=CN</t>
        </is>
      </c>
      <c r="B560" s="2" t="inlineStr">
        <is>
          <t>formamidine</t>
        </is>
      </c>
      <c r="C560" s="2" t="inlineStr"/>
      <c r="D560" s="2" t="inlineStr">
        <is>
          <t>other</t>
        </is>
      </c>
      <c r="E560" s="2" t="inlineStr"/>
      <c r="F560" s="2" t="n"/>
      <c r="G560" s="2" t="n">
        <v>86</v>
      </c>
      <c r="H560" s="2" t="inlineStr">
        <is>
          <t>Formamidine (CID 68047)</t>
        </is>
      </c>
      <c r="I560" s="2" t="inlineStr">
        <is>
          <t>Amidine (usually the acetate salt) for building pyrimidines; incidental here.</t>
        </is>
      </c>
      <c r="J560" s="2" t="inlineStr">
        <is>
          <t>named and classified by a chemist agent; reviewed by an independent agent</t>
        </is>
      </c>
    </row>
    <row r="561">
      <c r="A561" s="3" t="inlineStr">
        <is>
          <t>O=C(O)CCc1ncc(-c2ccc(NC(=O)Nc3cccc(C(F)(F)F)c3)cc2)s1</t>
        </is>
      </c>
      <c r="B561" s="2" t="inlineStr">
        <is>
          <t>3-[5-(4-{[3-(trifluoromethyl)phenyl]carbamoylamino}phenyl)thiazol-2-yl]propanoic acid</t>
        </is>
      </c>
      <c r="C561" s="2" t="inlineStr"/>
      <c r="D561" s="2" t="inlineStr">
        <is>
          <t>other</t>
        </is>
      </c>
      <c r="E561" s="2" t="inlineStr"/>
      <c r="F561" s="2" t="n"/>
      <c r="G561" s="2" t="n">
        <v>86</v>
      </c>
      <c r="H561" s="2" t="inlineStr">
        <is>
          <t>3-(5-(4-(3-(3-(Trifluoromethyl)phenyl)ureido)phenyl)thiazol-2-yl)propanoic acid (CID 56932257)</t>
        </is>
      </c>
      <c r="I561" s="2" t="inlineStr">
        <is>
          <t>A product-like analog filed as an agent; not a reagent.</t>
        </is>
      </c>
      <c r="J561" s="2" t="inlineStr">
        <is>
          <t>named and classified by a chemist agent; reviewed by an independent agent</t>
        </is>
      </c>
    </row>
    <row r="562">
      <c r="A562" s="3" t="inlineStr">
        <is>
          <t>Cc1ccccc1[P](c1ccccc1C)(c1ccccc1C)[Pd]([Cl])([Cl])[P](c1ccccc1C)(c1ccccc1C)c1ccccc1C</t>
        </is>
      </c>
      <c r="B562" s="2" t="inlineStr">
        <is>
          <t>dichlorobis(tri-o-tolylphosphine)palladium(II)</t>
        </is>
      </c>
      <c r="C562" s="2" t="inlineStr">
        <is>
          <t>PdCl2[P(o-tol)3]2</t>
        </is>
      </c>
      <c r="D562" s="2" t="inlineStr">
        <is>
          <t>catalyst (metal)</t>
        </is>
      </c>
      <c r="E562" s="2" t="inlineStr"/>
      <c r="F562" s="2" t="n"/>
      <c r="G562" s="2" t="n">
        <v>86</v>
      </c>
      <c r="H562" s="2" t="inlineStr"/>
      <c r="I562" s="2" t="inlineStr">
        <is>
          <t>Pd catalyst for Suzuki coupling.</t>
        </is>
      </c>
      <c r="J562" s="2" t="inlineStr">
        <is>
          <t>named and classified by a chemist agent; reviewed by an independent agent; PubChem's title for this SMILES was wrong (Dichloropalladium;bis(tris(2-methylphenyl)phosphanium) (CID 21907388)): Neutral PdCl2(P(o-tol)3)2, C42H42Cl2P2Pd. PubChem's title names a phosphanium salt; its record is C42H44Cl2P2Pd(2+).</t>
        </is>
      </c>
    </row>
    <row r="563">
      <c r="A563" s="3" t="inlineStr">
        <is>
          <t>CCCCCCCCCCCCCCCC[N+](C)(C)C</t>
        </is>
      </c>
      <c r="B563" s="2" t="inlineStr">
        <is>
          <t>cetyltrimethylammonium ion</t>
        </is>
      </c>
      <c r="C563" s="2" t="inlineStr">
        <is>
          <t>CTAB</t>
        </is>
      </c>
      <c r="D563" s="2" t="inlineStr">
        <is>
          <t>phase-transfer catalyst</t>
        </is>
      </c>
      <c r="E563" s="2" t="inlineStr"/>
      <c r="F563" s="2" t="n"/>
      <c r="G563" s="2" t="n">
        <v>86</v>
      </c>
      <c r="H563" s="2" t="inlineStr">
        <is>
          <t>Cetyltrimethylammonium (CID 2681)</t>
        </is>
      </c>
      <c r="I563" s="2" t="inlineStr">
        <is>
          <t>Cationic surfactant and phase-transfer catalyst.</t>
        </is>
      </c>
      <c r="J563" s="2" t="inlineStr">
        <is>
          <t>named and classified by a chemist agent; reviewed by an independent agent</t>
        </is>
      </c>
    </row>
    <row r="564">
      <c r="A564" s="3" t="inlineStr">
        <is>
          <t>[In+3]</t>
        </is>
      </c>
      <c r="B564" s="2" t="inlineStr">
        <is>
          <t>indium(III) ion</t>
        </is>
      </c>
      <c r="C564" s="2" t="inlineStr">
        <is>
          <t>InCl3</t>
        </is>
      </c>
      <c r="D564" s="2" t="inlineStr">
        <is>
          <t>Lewis acid</t>
        </is>
      </c>
      <c r="E564" s="2" t="inlineStr"/>
      <c r="F564" s="2" t="n"/>
      <c r="G564" s="2" t="n">
        <v>86</v>
      </c>
      <c r="H564" s="2" t="inlineStr">
        <is>
          <t>Indium cation (CID 105148)</t>
        </is>
      </c>
      <c r="I564" s="2" t="inlineStr">
        <is>
          <t>From InCl3; water-tolerant Lewis acid, here removing a ketal.</t>
        </is>
      </c>
      <c r="J564" s="2" t="inlineStr">
        <is>
          <t>named and classified by a chemist agent; reviewed by an independent agent</t>
        </is>
      </c>
    </row>
    <row r="565">
      <c r="A565" s="3" t="inlineStr">
        <is>
          <t>[Li][c]1ccccc1</t>
        </is>
      </c>
      <c r="B565" s="2" t="inlineStr">
        <is>
          <t>phenyllithium</t>
        </is>
      </c>
      <c r="C565" s="2" t="inlineStr">
        <is>
          <t>PhLi</t>
        </is>
      </c>
      <c r="D565" s="2" t="inlineStr">
        <is>
          <t>organometallic reagent</t>
        </is>
      </c>
      <c r="E565" s="2" t="inlineStr">
        <is>
          <t>base</t>
        </is>
      </c>
      <c r="F565" s="2" t="n">
        <v>43</v>
      </c>
      <c r="G565" s="2" t="n">
        <v>86</v>
      </c>
      <c r="H565" s="2" t="inlineStr">
        <is>
          <t>Phenyl lithium (CID 637932)</t>
        </is>
      </c>
      <c r="I565" s="2" t="inlineStr">
        <is>
          <t>Benzene pKa ~43; here swaps Br for Li before DMF formylation.</t>
        </is>
      </c>
      <c r="J565" s="2" t="inlineStr">
        <is>
          <t>named and classified by a chemist agent; reviewed by an independent agent</t>
        </is>
      </c>
    </row>
    <row r="566">
      <c r="A566" s="3" t="inlineStr">
        <is>
          <t>C[CH2][Al+][CH2]C</t>
        </is>
      </c>
      <c r="B566" s="2" t="inlineStr">
        <is>
          <t>diethylaluminum cation</t>
        </is>
      </c>
      <c r="C566" s="2" t="inlineStr">
        <is>
          <t>Et2AlCl</t>
        </is>
      </c>
      <c r="D566" s="2" t="inlineStr">
        <is>
          <t>Lewis acid</t>
        </is>
      </c>
      <c r="E566" s="2" t="inlineStr"/>
      <c r="F566" s="2" t="n"/>
      <c r="G566" s="2" t="n">
        <v>86</v>
      </c>
      <c r="H566" s="2" t="inlineStr">
        <is>
          <t>Diethylalumanylium (CID 16684507)</t>
        </is>
      </c>
      <c r="I566" s="2" t="inlineStr">
        <is>
          <t>From Et2AlCl; promotes Friedel-Crafts acylation.</t>
        </is>
      </c>
      <c r="J566" s="2" t="inlineStr">
        <is>
          <t>named and classified by a chemist agent; reviewed by an independent agent</t>
        </is>
      </c>
    </row>
    <row r="567">
      <c r="A567" s="3" t="inlineStr">
        <is>
          <t>O=C1CCCCC1</t>
        </is>
      </c>
      <c r="B567" s="2" t="inlineStr">
        <is>
          <t>cyclohexanone</t>
        </is>
      </c>
      <c r="C567" s="2" t="inlineStr"/>
      <c r="D567" s="2" t="inlineStr">
        <is>
          <t>other</t>
        </is>
      </c>
      <c r="E567" s="2" t="inlineStr"/>
      <c r="F567" s="2" t="n"/>
      <c r="G567" s="2" t="n">
        <v>85</v>
      </c>
      <c r="H567" s="2" t="inlineStr">
        <is>
          <t>Cyclohexanone (CID 7967)</t>
        </is>
      </c>
      <c r="I567" s="2" t="inlineStr">
        <is>
          <t>Unclear in this record; a ketone partner for reductive amination.</t>
        </is>
      </c>
      <c r="J567" s="2" t="inlineStr">
        <is>
          <t>named and classified by a chemist agent; reviewed by an independent agent</t>
        </is>
      </c>
    </row>
    <row r="568">
      <c r="A568" s="3" t="inlineStr">
        <is>
          <t>c1ccc(P(c2ccccc2)c2ccccc2Oc2ccccc2P(c2ccccc2)c2ccccc2)cc1</t>
        </is>
      </c>
      <c r="B568" s="2" t="inlineStr">
        <is>
          <t>bis[2-(diphenylphosphino)phenyl] ether</t>
        </is>
      </c>
      <c r="C568" s="2" t="inlineStr">
        <is>
          <t>DPEphos</t>
        </is>
      </c>
      <c r="D568" s="2" t="inlineStr">
        <is>
          <t>ligand</t>
        </is>
      </c>
      <c r="E568" s="2" t="inlineStr"/>
      <c r="F568" s="2" t="n"/>
      <c r="G568" s="2" t="n">
        <v>85</v>
      </c>
      <c r="H568" s="2" t="inlineStr">
        <is>
          <t>Bis[2-(diphenylphosphino)phenyl] ether (CID 4285986)</t>
        </is>
      </c>
      <c r="I568" s="2" t="inlineStr">
        <is>
          <t>Wide-bite-angle bisphosphine for Pd amination.</t>
        </is>
      </c>
      <c r="J568" s="2" t="inlineStr">
        <is>
          <t>named and classified by a chemist agent; reviewed by an independent agent</t>
        </is>
      </c>
    </row>
    <row r="569">
      <c r="A569" s="3" t="inlineStr">
        <is>
          <t>Cc1ccc(S(=O)(=O)n2cc(-c3cnn(Cc4cccc(F)c4)c3)c3cc(-c4ccc(C5CCNCC5)cc4)cnc32)cc1</t>
        </is>
      </c>
      <c r="B569" s="2" t="inlineStr">
        <is>
          <t>3-[1-(3-fluorobenzyl)pyrazol-4-yl]-5-[4-(piperidin-4-yl)phenyl]-1-tosyl-pyrrolo[2,3-b]pyridine</t>
        </is>
      </c>
      <c r="C569" s="2" t="inlineStr"/>
      <c r="D569" s="2" t="inlineStr">
        <is>
          <t>other</t>
        </is>
      </c>
      <c r="E569" s="2" t="inlineStr"/>
      <c r="F569" s="2" t="n"/>
      <c r="G569" s="2" t="n">
        <v>85</v>
      </c>
      <c r="H569" s="2" t="inlineStr">
        <is>
          <t>3-[1-[(3-Fluorophenyl)methyl]pyrazol-4-yl]-1-(4-methylphenyl)sulfonyl-5-(4-piperidin-4-ylphenyl)pyrrolo[2,3-b]pyridine (CID 90031547)</t>
        </is>
      </c>
      <c r="I569" s="2" t="inlineStr">
        <is>
          <t>A substrate-like compound filed as an agent; not a reagent.</t>
        </is>
      </c>
      <c r="J569" s="2" t="inlineStr">
        <is>
          <t>named and classified by a chemist agent; reviewed by an independent agent</t>
        </is>
      </c>
    </row>
    <row r="570">
      <c r="A570" s="3" t="inlineStr">
        <is>
          <t>CC(C)(O)C#N</t>
        </is>
      </c>
      <c r="B570" s="2" t="inlineStr">
        <is>
          <t>acetone cyanohydrin</t>
        </is>
      </c>
      <c r="C570" s="2" t="inlineStr"/>
      <c r="D570" s="2" t="inlineStr">
        <is>
          <t>nucleophile</t>
        </is>
      </c>
      <c r="E570" s="2" t="inlineStr">
        <is>
          <t>catalyst</t>
        </is>
      </c>
      <c r="F570" s="2" t="n"/>
      <c r="G570" s="2" t="n">
        <v>85</v>
      </c>
      <c r="H570" s="2" t="inlineStr">
        <is>
          <t>Acetone Cyanohydrin (CID 6406)</t>
        </is>
      </c>
      <c r="I570" s="2" t="inlineStr">
        <is>
          <t>Source of catalytic cyanide; drives the O-to-C acyl shift of the enol ester.</t>
        </is>
      </c>
      <c r="J570" s="2" t="inlineStr">
        <is>
          <t>named and classified by a chemist agent; reviewed by an independent agent</t>
        </is>
      </c>
    </row>
    <row r="571">
      <c r="A571" s="3" t="inlineStr">
        <is>
          <t>O=[Si]=O</t>
        </is>
      </c>
      <c r="B571" s="2" t="inlineStr">
        <is>
          <t>silica (silicon dioxide)</t>
        </is>
      </c>
      <c r="C571" s="2" t="inlineStr">
        <is>
          <t>SiO2</t>
        </is>
      </c>
      <c r="D571" s="2" t="inlineStr">
        <is>
          <t>other</t>
        </is>
      </c>
      <c r="E571" s="2" t="inlineStr"/>
      <c r="F571" s="2" t="n"/>
      <c r="G571" s="2" t="n">
        <v>84</v>
      </c>
      <c r="H571" s="2" t="inlineStr">
        <is>
          <t>Silica (CID 24261)</t>
        </is>
      </c>
      <c r="I571" s="2" t="inlineStr">
        <is>
          <t>Catalyst support (Pt/SiO2) or adsorbent.</t>
        </is>
      </c>
      <c r="J571" s="2" t="inlineStr">
        <is>
          <t>named and classified by a chemist agent; reviewed by an independent agent</t>
        </is>
      </c>
    </row>
    <row r="572">
      <c r="A572" s="3" t="inlineStr">
        <is>
          <t>Oc1c(F)c(F)c(F)c(F)c1F</t>
        </is>
      </c>
      <c r="B572" s="2" t="inlineStr">
        <is>
          <t>pentafluorophenol</t>
        </is>
      </c>
      <c r="C572" s="2" t="inlineStr">
        <is>
          <t>PFP-OH</t>
        </is>
      </c>
      <c r="D572" s="2" t="inlineStr">
        <is>
          <t>additive</t>
        </is>
      </c>
      <c r="E572" s="2" t="inlineStr">
        <is>
          <t>coupling reagent (activates an acid)</t>
        </is>
      </c>
      <c r="F572" s="2" t="n"/>
      <c r="G572" s="2" t="n">
        <v>84</v>
      </c>
      <c r="H572" s="2" t="inlineStr">
        <is>
          <t>Pentafluorophenol (CID 13041)</t>
        </is>
      </c>
      <c r="I572" s="2" t="inlineStr">
        <is>
          <t>Forms pentafluorophenyl active esters with EDC.</t>
        </is>
      </c>
      <c r="J572" s="2" t="inlineStr">
        <is>
          <t>named and classified by a chemist agent; reviewed by an independent agent</t>
        </is>
      </c>
    </row>
    <row r="573">
      <c r="A573" s="3" t="inlineStr">
        <is>
          <t>c1ccc2c(c1)Nc1ccccc1S2</t>
        </is>
      </c>
      <c r="B573" s="2" t="inlineStr">
        <is>
          <t>phenothiazine</t>
        </is>
      </c>
      <c r="C573" s="2" t="inlineStr">
        <is>
          <t>PTZ</t>
        </is>
      </c>
      <c r="D573" s="2" t="inlineStr">
        <is>
          <t>additive</t>
        </is>
      </c>
      <c r="E573" s="2" t="inlineStr"/>
      <c r="F573" s="2" t="n"/>
      <c r="G573" s="2" t="n">
        <v>84</v>
      </c>
      <c r="H573" s="2" t="inlineStr">
        <is>
          <t>Phenothiazine (CID 7108)</t>
        </is>
      </c>
      <c r="I573" s="2" t="inlineStr">
        <is>
          <t>Polymerization inhibitor that protects the methacrylamide.</t>
        </is>
      </c>
      <c r="J573" s="2" t="inlineStr">
        <is>
          <t>named and classified by a chemist agent; reviewed by an independent agent</t>
        </is>
      </c>
    </row>
    <row r="574">
      <c r="A574" s="3" t="inlineStr">
        <is>
          <t>CC(C)(C)C(=O)CC(=O)C(C)(C)C</t>
        </is>
      </c>
      <c r="B574" s="2" t="inlineStr">
        <is>
          <t>2,2,6,6-tetramethyl-3,5-heptanedione</t>
        </is>
      </c>
      <c r="C574" s="2" t="inlineStr">
        <is>
          <t>TMHD</t>
        </is>
      </c>
      <c r="D574" s="2" t="inlineStr">
        <is>
          <t>ligand</t>
        </is>
      </c>
      <c r="E574" s="2" t="inlineStr"/>
      <c r="F574" s="2" t="n"/>
      <c r="G574" s="2" t="n">
        <v>84</v>
      </c>
      <c r="H574" s="2" t="inlineStr">
        <is>
          <t>2,2,6,6-Tetramethyl-3,5-heptanedione (CID 70700)</t>
        </is>
      </c>
      <c r="I574" s="2" t="inlineStr">
        <is>
          <t>Beta-diketone ligand for Cu-catalyzed Ullmann diaryl ether synthesis.</t>
        </is>
      </c>
      <c r="J574" s="2" t="inlineStr">
        <is>
          <t>named and classified by a chemist agent; reviewed by an independent agent</t>
        </is>
      </c>
    </row>
    <row r="575">
      <c r="A575" s="3" t="inlineStr">
        <is>
          <t>CN(C)C(=O)Cl</t>
        </is>
      </c>
      <c r="B575" s="2" t="inlineStr">
        <is>
          <t>dimethylcarbamoyl chloride</t>
        </is>
      </c>
      <c r="C575" s="2" t="inlineStr">
        <is>
          <t>DMCC</t>
        </is>
      </c>
      <c r="D575" s="2" t="inlineStr">
        <is>
          <t>electrophile / alkylating agent</t>
        </is>
      </c>
      <c r="E575" s="2" t="inlineStr"/>
      <c r="F575" s="2" t="n"/>
      <c r="G575" s="2" t="n">
        <v>83</v>
      </c>
      <c r="H575" s="2" t="inlineStr">
        <is>
          <t>Dimethylcarbamoyl Chloride (CID 6598)</t>
        </is>
      </c>
      <c r="I575" s="2" t="inlineStr">
        <is>
          <t>Carbamoylates amines to N,N-dimethylureas.</t>
        </is>
      </c>
      <c r="J575" s="2" t="inlineStr">
        <is>
          <t>named and classified by a chemist agent; reviewed by an independent agent</t>
        </is>
      </c>
    </row>
    <row r="576">
      <c r="A576" s="3" t="inlineStr">
        <is>
          <t>CC(C)CO</t>
        </is>
      </c>
      <c r="B576" s="2" t="inlineStr">
        <is>
          <t>isobutanol</t>
        </is>
      </c>
      <c r="C576" s="2" t="inlineStr">
        <is>
          <t>iBuOH</t>
        </is>
      </c>
      <c r="D576" s="2" t="inlineStr">
        <is>
          <t>solvent</t>
        </is>
      </c>
      <c r="E576" s="2" t="inlineStr"/>
      <c r="F576" s="2" t="n"/>
      <c r="G576" s="2" t="n">
        <v>82</v>
      </c>
      <c r="H576" s="2" t="inlineStr">
        <is>
          <t>Isobutanol (CID 6560)</t>
        </is>
      </c>
      <c r="I576" s="2" t="inlineStr">
        <is>
          <t>Alcohol solvent for hydrogenation.</t>
        </is>
      </c>
      <c r="J576" s="2" t="inlineStr">
        <is>
          <t>named and classified by a chemist agent; reviewed by an independent agent</t>
        </is>
      </c>
    </row>
    <row r="577">
      <c r="A577" s="3" t="inlineStr">
        <is>
          <t>C#CCBr</t>
        </is>
      </c>
      <c r="B577" s="2" t="inlineStr">
        <is>
          <t>propargyl bromide</t>
        </is>
      </c>
      <c r="C577" s="2" t="inlineStr"/>
      <c r="D577" s="2" t="inlineStr">
        <is>
          <t>electrophile / alkylating agent</t>
        </is>
      </c>
      <c r="E577" s="2" t="inlineStr"/>
      <c r="F577" s="2" t="n"/>
      <c r="G577" s="2" t="n">
        <v>82</v>
      </c>
      <c r="H577" s="2" t="inlineStr">
        <is>
          <t>Propargyl bromide (CID 7842)</t>
        </is>
      </c>
      <c r="I577" s="2" t="inlineStr">
        <is>
          <t>Adds a propargyl group.</t>
        </is>
      </c>
      <c r="J577" s="2" t="inlineStr">
        <is>
          <t>named and classified by a chemist agent; reviewed by an independent agent</t>
        </is>
      </c>
    </row>
    <row r="578">
      <c r="A578" s="3" t="inlineStr">
        <is>
          <t>CCOC(=O)CSc1cnc(N)s1</t>
        </is>
      </c>
      <c r="B578" s="2" t="inlineStr">
        <is>
          <t>ethyl 2-[(2-amino-1,3-thiazol-5-yl)sulfanyl]acetate</t>
        </is>
      </c>
      <c r="C578" s="2" t="inlineStr"/>
      <c r="D578" s="2" t="inlineStr">
        <is>
          <t>other</t>
        </is>
      </c>
      <c r="E578" s="2" t="inlineStr"/>
      <c r="F578" s="2" t="n"/>
      <c r="G578" s="2" t="n">
        <v>82</v>
      </c>
      <c r="H578" s="2" t="inlineStr">
        <is>
          <t>Ethyl 2-(2-aminothiazol-5-ylthio)acetate (CID 21455623)</t>
        </is>
      </c>
      <c r="I578" s="2" t="inlineStr">
        <is>
          <t>A substrate filed as an agent (carried over from the urea-forming step).</t>
        </is>
      </c>
      <c r="J578" s="2" t="inlineStr">
        <is>
          <t>named and classified by a chemist agent; reviewed by an independent agent</t>
        </is>
      </c>
    </row>
    <row r="579">
      <c r="A579" s="3" t="inlineStr">
        <is>
          <t>CCCCOC(C)=O</t>
        </is>
      </c>
      <c r="B579" s="2" t="inlineStr">
        <is>
          <t>butyl acetate</t>
        </is>
      </c>
      <c r="C579" s="2" t="inlineStr">
        <is>
          <t>BuOAc</t>
        </is>
      </c>
      <c r="D579" s="2" t="inlineStr">
        <is>
          <t>solvent</t>
        </is>
      </c>
      <c r="E579" s="2" t="inlineStr"/>
      <c r="F579" s="2" t="n"/>
      <c r="G579" s="2" t="n">
        <v>82</v>
      </c>
      <c r="H579" s="2" t="inlineStr">
        <is>
          <t>Butyl Acetate (CID 31272)</t>
        </is>
      </c>
      <c r="I579" s="2" t="inlineStr">
        <is>
          <t>Ester solvent.</t>
        </is>
      </c>
      <c r="J579" s="2" t="inlineStr">
        <is>
          <t>named and classified by a chemist agent; reviewed by an independent agent</t>
        </is>
      </c>
    </row>
    <row r="580">
      <c r="A580" s="3" t="inlineStr">
        <is>
          <t>C1=COCCC1</t>
        </is>
      </c>
      <c r="B580" s="2" t="inlineStr">
        <is>
          <t>3,4-dihydro-2H-pyran</t>
        </is>
      </c>
      <c r="C580" s="2" t="inlineStr">
        <is>
          <t>DHP</t>
        </is>
      </c>
      <c r="D580" s="2" t="inlineStr">
        <is>
          <t>protecting-group reagent</t>
        </is>
      </c>
      <c r="E580" s="2" t="inlineStr"/>
      <c r="F580" s="2" t="n"/>
      <c r="G580" s="2" t="n">
        <v>82</v>
      </c>
      <c r="H580" s="2" t="inlineStr">
        <is>
          <t>3,4-dihydro-2H-pyran (CID 8080)</t>
        </is>
      </c>
      <c r="I580" s="2" t="inlineStr">
        <is>
          <t>With acid it gives THP ethers and N-THP azoles.</t>
        </is>
      </c>
      <c r="J580" s="2" t="inlineStr">
        <is>
          <t>named and classified by a chemist agent; reviewed by an independent agent</t>
        </is>
      </c>
    </row>
    <row r="581">
      <c r="A581" s="3" t="inlineStr">
        <is>
          <t>BrCC1CCCCO1</t>
        </is>
      </c>
      <c r="B581" s="2" t="inlineStr">
        <is>
          <t>2-(bromomethyl)tetrahydropyran</t>
        </is>
      </c>
      <c r="C581" s="2" t="inlineStr"/>
      <c r="D581" s="2" t="inlineStr">
        <is>
          <t>electrophile / alkylating agent</t>
        </is>
      </c>
      <c r="E581" s="2" t="inlineStr"/>
      <c r="F581" s="2" t="n"/>
      <c r="G581" s="2" t="n">
        <v>82</v>
      </c>
      <c r="H581" s="2" t="inlineStr">
        <is>
          <t>2-(Bromomethyl)tetrahydro-2H-pyran (CID 141917)</t>
        </is>
      </c>
      <c r="I581" s="2" t="inlineStr">
        <is>
          <t>Alkylating agent.</t>
        </is>
      </c>
      <c r="J581" s="2" t="inlineStr">
        <is>
          <t>named and classified by a chemist agent; reviewed by an independent agent</t>
        </is>
      </c>
    </row>
    <row r="582">
      <c r="A582" s="3" t="inlineStr">
        <is>
          <t>BrCC1CC1</t>
        </is>
      </c>
      <c r="B582" s="2" t="inlineStr">
        <is>
          <t>(bromomethyl)cyclopropane</t>
        </is>
      </c>
      <c r="C582" s="2" t="inlineStr"/>
      <c r="D582" s="2" t="inlineStr">
        <is>
          <t>electrophile / alkylating agent</t>
        </is>
      </c>
      <c r="E582" s="2" t="inlineStr"/>
      <c r="F582" s="2" t="n"/>
      <c r="G582" s="2" t="n">
        <v>81</v>
      </c>
      <c r="H582" s="2" t="inlineStr">
        <is>
          <t>Bromomethylcyclopropane (CID 81503)</t>
        </is>
      </c>
      <c r="I582" s="2" t="inlineStr">
        <is>
          <t>Adds a cyclopropylmethyl group.</t>
        </is>
      </c>
      <c r="J582" s="2" t="inlineStr">
        <is>
          <t>named and classified by a chemist agent; reviewed by an independent agent</t>
        </is>
      </c>
    </row>
    <row r="583">
      <c r="A583" s="3" t="inlineStr">
        <is>
          <t>CCOC(=O)OC(=O)OCC</t>
        </is>
      </c>
      <c r="B583" s="2" t="inlineStr">
        <is>
          <t>diethyl pyrocarbonate (diethyl dicarbonate)</t>
        </is>
      </c>
      <c r="C583" s="2" t="inlineStr"/>
      <c r="D583" s="2" t="inlineStr">
        <is>
          <t>coupling reagent (activates an acid)</t>
        </is>
      </c>
      <c r="E583" s="2" t="inlineStr"/>
      <c r="F583" s="2" t="n"/>
      <c r="G583" s="2" t="n">
        <v>81</v>
      </c>
      <c r="H583" s="2" t="inlineStr">
        <is>
          <t>Diethyl Pyrocarbonate (CID 3051)</t>
        </is>
      </c>
      <c r="I583" s="2" t="inlineStr">
        <is>
          <t>Activates acids as mixed carbonic anhydrides.</t>
        </is>
      </c>
      <c r="J583" s="2" t="inlineStr">
        <is>
          <t>named and classified by a chemist agent; reviewed by an independent agent</t>
        </is>
      </c>
    </row>
    <row r="584">
      <c r="A584" s="3" t="inlineStr">
        <is>
          <t>CCN(CC)C(C)C</t>
        </is>
      </c>
      <c r="B584" s="2" t="inlineStr">
        <is>
          <t>N,N-diethylisopropylamine</t>
        </is>
      </c>
      <c r="C584" s="2" t="inlineStr"/>
      <c r="D584" s="2" t="inlineStr">
        <is>
          <t>base</t>
        </is>
      </c>
      <c r="E584" s="2" t="inlineStr"/>
      <c r="F584" s="2" t="n">
        <v>10.8</v>
      </c>
      <c r="G584" s="2" t="n">
        <v>81</v>
      </c>
      <c r="H584" s="2" t="inlineStr">
        <is>
          <t>N,N-Diethyl-2-propanamine (CID 521913)</t>
        </is>
      </c>
      <c r="I584" s="2" t="inlineStr">
        <is>
          <t>Hindered tertiary amine (pKa in water), a close relative of DIPEA.</t>
        </is>
      </c>
      <c r="J584" s="2" t="inlineStr">
        <is>
          <t>named and classified by a chemist agent; reviewed by an independent agent</t>
        </is>
      </c>
    </row>
    <row r="585">
      <c r="A585" s="3" t="inlineStr">
        <is>
          <t>COC(C)O</t>
        </is>
      </c>
      <c r="B585" s="2" t="inlineStr">
        <is>
          <t>1-methoxyethanol</t>
        </is>
      </c>
      <c r="C585" s="2" t="inlineStr"/>
      <c r="D585" s="2" t="inlineStr">
        <is>
          <t>solvent</t>
        </is>
      </c>
      <c r="E585" s="2" t="inlineStr"/>
      <c r="F585" s="2" t="n"/>
      <c r="G585" s="2" t="n">
        <v>80</v>
      </c>
      <c r="H585" s="2" t="inlineStr">
        <is>
          <t>1-Methoxyethanol (CID 3015637)</t>
        </is>
      </c>
      <c r="I585" s="2" t="inlineStr">
        <is>
          <t>A hemiacetal; probably 2-methoxyethanol or methanol solvent drawn wrong.</t>
        </is>
      </c>
      <c r="J585" s="2" t="inlineStr">
        <is>
          <t>named and classified by a chemist agent; reviewed by an independent agent</t>
        </is>
      </c>
    </row>
    <row r="586">
      <c r="A586" s="3" t="inlineStr">
        <is>
          <t>[Hg]</t>
        </is>
      </c>
      <c r="B586" s="2" t="inlineStr">
        <is>
          <t>mercury</t>
        </is>
      </c>
      <c r="C586" s="2" t="inlineStr">
        <is>
          <t>Hg</t>
        </is>
      </c>
      <c r="D586" s="2" t="inlineStr">
        <is>
          <t>other</t>
        </is>
      </c>
      <c r="E586" s="2" t="inlineStr"/>
      <c r="F586" s="2" t="n"/>
      <c r="G586" s="2" t="n">
        <v>80</v>
      </c>
      <c r="H586" s="2" t="inlineStr">
        <is>
          <t>Mercury (CID 23931)</t>
        </is>
      </c>
      <c r="I586" s="2" t="inlineStr">
        <is>
          <t>Unclear record.</t>
        </is>
      </c>
      <c r="J586" s="2" t="inlineStr">
        <is>
          <t>named and classified by a chemist agent; reviewed by an independent agent</t>
        </is>
      </c>
    </row>
    <row r="587">
      <c r="A587" s="3" t="inlineStr">
        <is>
          <t>CC(C)(C)OC(=O)/N=N/C(=O)OC(C)(C)C</t>
        </is>
      </c>
      <c r="B587" s="2" t="inlineStr">
        <is>
          <t>di-tert-butyl azodicarboxylate</t>
        </is>
      </c>
      <c r="C587" s="2" t="inlineStr">
        <is>
          <t>DBAD</t>
        </is>
      </c>
      <c r="D587" s="2" t="inlineStr">
        <is>
          <t>dehydrating / activating agent</t>
        </is>
      </c>
      <c r="E587" s="2" t="inlineStr">
        <is>
          <t>oxidant</t>
        </is>
      </c>
      <c r="F587" s="2" t="n"/>
      <c r="G587" s="2" t="n">
        <v>80</v>
      </c>
      <c r="H587" s="2" t="inlineStr">
        <is>
          <t>Di-tert-butyl azodicarboxylate (CID 97268)</t>
        </is>
      </c>
      <c r="I587" s="2" t="inlineStr">
        <is>
          <t>Mitsunobu azo reagent, used with PPh3 to form an aryl ether.</t>
        </is>
      </c>
      <c r="J587" s="2" t="inlineStr">
        <is>
          <t>named and classified by a chemist agent; reviewed by an independent agent</t>
        </is>
      </c>
    </row>
    <row r="588">
      <c r="A588" s="3" t="inlineStr">
        <is>
          <t>c1ccc(P(CCCCP(c2ccccc2)c2ccccc2)c2ccccc2)cc1</t>
        </is>
      </c>
      <c r="B588" s="2" t="inlineStr">
        <is>
          <t>1,4-bis(diphenylphosphino)butane</t>
        </is>
      </c>
      <c r="C588" s="2" t="inlineStr">
        <is>
          <t>dppb</t>
        </is>
      </c>
      <c r="D588" s="2" t="inlineStr">
        <is>
          <t>ligand</t>
        </is>
      </c>
      <c r="E588" s="2" t="inlineStr"/>
      <c r="F588" s="2" t="n"/>
      <c r="G588" s="2" t="n">
        <v>80</v>
      </c>
      <c r="H588" s="2" t="inlineStr">
        <is>
          <t>1,4-Bis(diphenylphosphino)butane (CID 82124)</t>
        </is>
      </c>
      <c r="I588" s="2" t="inlineStr">
        <is>
          <t>Bidentate phosphine for Pd/Cu couplings.</t>
        </is>
      </c>
      <c r="J588" s="2" t="inlineStr">
        <is>
          <t>named and classified by a chemist agent; reviewed by an independent agent</t>
        </is>
      </c>
    </row>
    <row r="589">
      <c r="A589" s="3" t="inlineStr">
        <is>
          <t>CN(C1CCCCC1)C1CCCCC1</t>
        </is>
      </c>
      <c r="B589" s="2" t="inlineStr">
        <is>
          <t>N-methyldicyclohexylamine</t>
        </is>
      </c>
      <c r="C589" s="2" t="inlineStr">
        <is>
          <t>Cy2NMe</t>
        </is>
      </c>
      <c r="D589" s="2" t="inlineStr">
        <is>
          <t>base</t>
        </is>
      </c>
      <c r="E589" s="2" t="inlineStr"/>
      <c r="F589" s="2" t="n">
        <v>10.5</v>
      </c>
      <c r="G589" s="2" t="n">
        <v>80</v>
      </c>
      <c r="H589" s="2" t="inlineStr">
        <is>
          <t>N-Methyl dicyclohexylamine (CID 24210)</t>
        </is>
      </c>
      <c r="I589" s="2" t="inlineStr">
        <is>
          <t>Hindered amine base (pKa in water, approximate) for Heck and Sonogashira couplings.</t>
        </is>
      </c>
      <c r="J589" s="2" t="inlineStr">
        <is>
          <t>named and classified by a chemist agent; reviewed by an independent agent</t>
        </is>
      </c>
    </row>
    <row r="590">
      <c r="A590" s="3" t="inlineStr">
        <is>
          <t>CCN=P(N=P(N(C)C)(N(C)C)N(C)C)(N(C)C)N(C)C</t>
        </is>
      </c>
      <c r="B590" s="2" t="inlineStr">
        <is>
          <t>phosphazene base P2-Et</t>
        </is>
      </c>
      <c r="C590" s="2" t="inlineStr">
        <is>
          <t>P2-Et</t>
        </is>
      </c>
      <c r="D590" s="2" t="inlineStr">
        <is>
          <t>base</t>
        </is>
      </c>
      <c r="E590" s="2" t="inlineStr"/>
      <c r="F590" s="2" t="n">
        <v>32.9</v>
      </c>
      <c r="G590" s="2" t="n">
        <v>80</v>
      </c>
      <c r="H590" s="2" t="inlineStr">
        <is>
          <t>2,N'3,N'3,N3,N3,N'5,N'5,N5,N5-nonamethyl-2,4,6-triaza-3lambda5,5lambda5-diphosphaocta-3,5-diene-3,3,5,5-tetramine (CID 3393106)</t>
        </is>
      </c>
      <c r="I590" s="2" t="inlineStr">
        <is>
          <t>Very strong uncharged base; pKa ~32.9 in MeCN.</t>
        </is>
      </c>
      <c r="J590" s="2" t="inlineStr">
        <is>
          <t>named and classified by a chemist agent; reviewed by an independent agent</t>
        </is>
      </c>
    </row>
    <row r="591">
      <c r="A591" s="3" t="inlineStr">
        <is>
          <t>CC(=O)OO</t>
        </is>
      </c>
      <c r="B591" s="2" t="inlineStr">
        <is>
          <t>peracetic acid</t>
        </is>
      </c>
      <c r="C591" s="2" t="inlineStr">
        <is>
          <t>AcOOH</t>
        </is>
      </c>
      <c r="D591" s="2" t="inlineStr">
        <is>
          <t>oxidant</t>
        </is>
      </c>
      <c r="E591" s="2" t="inlineStr"/>
      <c r="F591" s="2" t="n"/>
      <c r="G591" s="2" t="n">
        <v>79</v>
      </c>
      <c r="H591" s="2" t="inlineStr">
        <is>
          <t>Peracetic Acid (CID 6585)</t>
        </is>
      </c>
      <c r="I591" s="2" t="inlineStr">
        <is>
          <t>Peracid oxidant (epoxidation, N-oxidation).</t>
        </is>
      </c>
      <c r="J591" s="2" t="inlineStr">
        <is>
          <t>named and classified by a chemist agent; reviewed by an independent agent</t>
        </is>
      </c>
    </row>
    <row r="592">
      <c r="A592" s="3" t="inlineStr">
        <is>
          <t>CC(C)(C)OCl</t>
        </is>
      </c>
      <c r="B592" s="2" t="inlineStr">
        <is>
          <t>tert-butyl hypochlorite</t>
        </is>
      </c>
      <c r="C592" s="2" t="inlineStr">
        <is>
          <t>tBuOCl</t>
        </is>
      </c>
      <c r="D592" s="2" t="inlineStr">
        <is>
          <t>halogenating agent</t>
        </is>
      </c>
      <c r="E592" s="2" t="inlineStr">
        <is>
          <t>oxidant</t>
        </is>
      </c>
      <c r="F592" s="2" t="n"/>
      <c r="G592" s="2" t="n">
        <v>79</v>
      </c>
      <c r="H592" s="2" t="inlineStr">
        <is>
          <t>Tert-Butyl hypochlorite (CID 521297)</t>
        </is>
      </c>
      <c r="I592" s="2" t="inlineStr">
        <is>
          <t>Electrophilic chlorinating agent and oxidant.</t>
        </is>
      </c>
      <c r="J592" s="2" t="inlineStr">
        <is>
          <t>named and classified by a chemist agent; reviewed by an independent agent</t>
        </is>
      </c>
    </row>
    <row r="593">
      <c r="A593" s="3" t="inlineStr">
        <is>
          <t>FC(F)(F)c1ccc(CBr)o1</t>
        </is>
      </c>
      <c r="B593" s="2" t="inlineStr">
        <is>
          <t>2-(bromomethyl)-5-(trifluoromethyl)furan</t>
        </is>
      </c>
      <c r="C593" s="2" t="inlineStr"/>
      <c r="D593" s="2" t="inlineStr">
        <is>
          <t>electrophile / alkylating agent</t>
        </is>
      </c>
      <c r="E593" s="2" t="inlineStr"/>
      <c r="F593" s="2" t="n"/>
      <c r="G593" s="2" t="n">
        <v>79</v>
      </c>
      <c r="H593" s="2" t="inlineStr">
        <is>
          <t>2-(Bromomethyl)-5-(trifluoromethyl)furan (CID 2794605)</t>
        </is>
      </c>
      <c r="I593" s="2" t="inlineStr">
        <is>
          <t>Alkylating agent for N-H groups (here the oxindole nitrogen).</t>
        </is>
      </c>
      <c r="J593" s="2" t="inlineStr">
        <is>
          <t>named and classified by a chemist agent; reviewed by an independent agent</t>
        </is>
      </c>
    </row>
    <row r="594">
      <c r="A594" s="3" t="inlineStr">
        <is>
          <t>[Cl][Ni]1([Cl])[P](c2ccccc2)(c2ccccc2)CCC[P]1(c1ccccc1)c1ccccc1</t>
        </is>
      </c>
      <c r="B594" s="2" t="inlineStr">
        <is>
          <t>dichloro[1,3-bis(diphenylphosphino)propane]nickel(II)</t>
        </is>
      </c>
      <c r="C594" s="2" t="inlineStr">
        <is>
          <t>NiCl2(dppp)</t>
        </is>
      </c>
      <c r="D594" s="2" t="inlineStr">
        <is>
          <t>catalyst (metal)</t>
        </is>
      </c>
      <c r="E594" s="2" t="inlineStr"/>
      <c r="F594" s="2" t="n"/>
      <c r="G594" s="2" t="n">
        <v>78</v>
      </c>
      <c r="H594" s="2" t="inlineStr">
        <is>
          <t>Dichloro(1,3-bis(diphenylphosphino)propane)nickel/2/1) (CID 6329934)</t>
        </is>
      </c>
      <c r="I594" s="2" t="inlineStr">
        <is>
          <t>Ni catalyst for Kumada coupling with aryl Grignards.</t>
        </is>
      </c>
      <c r="J594" s="2" t="inlineStr">
        <is>
          <t>named and classified by a chemist agent; reviewed by an independent agent</t>
        </is>
      </c>
    </row>
    <row r="595">
      <c r="A595" s="3" t="inlineStr">
        <is>
          <t>O=C1C(Br)=C(c2ccccc2)c2ccc(OCCN3CCOCC3)cc21</t>
        </is>
      </c>
      <c r="B595" s="2" t="inlineStr">
        <is>
          <t>2-bromo-6-[2-(morpholin-4-yl)ethoxy]-3-phenyl-1H-inden-1-one</t>
        </is>
      </c>
      <c r="C595" s="2" t="inlineStr"/>
      <c r="D595" s="2" t="inlineStr">
        <is>
          <t>other</t>
        </is>
      </c>
      <c r="E595" s="2" t="inlineStr"/>
      <c r="F595" s="2" t="n"/>
      <c r="G595" s="2" t="n">
        <v>78</v>
      </c>
      <c r="H595" s="2" t="inlineStr">
        <is>
          <t>6-(2-morpholinoethoxy)-2-bromo-3-phenyl-1H-inden-1-one (CID 70307620)</t>
        </is>
      </c>
      <c r="I595" s="2" t="inlineStr">
        <is>
          <t>A substrate analog filed as an agent; not a reagent.</t>
        </is>
      </c>
      <c r="J595" s="2" t="inlineStr">
        <is>
          <t>named and classified by a chemist agent; reviewed by an independent agent</t>
        </is>
      </c>
    </row>
    <row r="596">
      <c r="A596" s="3" t="inlineStr">
        <is>
          <t>O=C(O)/C=C\C(=O)O</t>
        </is>
      </c>
      <c r="B596" s="2" t="inlineStr">
        <is>
          <t>maleic acid</t>
        </is>
      </c>
      <c r="C596" s="2" t="inlineStr"/>
      <c r="D596" s="2" t="inlineStr">
        <is>
          <t>acid</t>
        </is>
      </c>
      <c r="E596" s="2" t="inlineStr">
        <is>
          <t>salt (work-up or additive)</t>
        </is>
      </c>
      <c r="F596" s="2" t="n"/>
      <c r="G596" s="2" t="n">
        <v>77</v>
      </c>
      <c r="H596" s="2" t="inlineStr">
        <is>
          <t>Maleic Acid (CID 444266)</t>
        </is>
      </c>
      <c r="I596" s="2" t="inlineStr">
        <is>
          <t>Forms maleate salts of amines.</t>
        </is>
      </c>
      <c r="J596" s="2" t="inlineStr">
        <is>
          <t>named and classified by a chemist agent; reviewed by an independent agent</t>
        </is>
      </c>
    </row>
    <row r="597">
      <c r="A597" s="3" t="inlineStr">
        <is>
          <t>c1ccc(P(CCP(c2ccccc2)c2ccccc2)c2ccccc2)cc1</t>
        </is>
      </c>
      <c r="B597" s="2" t="inlineStr">
        <is>
          <t>1,2-bis(diphenylphosphino)ethane</t>
        </is>
      </c>
      <c r="C597" s="2" t="inlineStr">
        <is>
          <t>dppe</t>
        </is>
      </c>
      <c r="D597" s="2" t="inlineStr">
        <is>
          <t>ligand</t>
        </is>
      </c>
      <c r="E597" s="2" t="inlineStr"/>
      <c r="F597" s="2" t="n"/>
      <c r="G597" s="2" t="n">
        <v>77</v>
      </c>
      <c r="H597" s="2" t="inlineStr">
        <is>
          <t>1,2-Bis(diphenylphosphino)ethane (CID 74267)</t>
        </is>
      </c>
      <c r="I597" s="2" t="inlineStr">
        <is>
          <t>Bidentate phosphine for Pd and Ni catalysis.</t>
        </is>
      </c>
      <c r="J597" s="2" t="inlineStr">
        <is>
          <t>named and classified by a chemist agent; reviewed by an independent agent</t>
        </is>
      </c>
    </row>
    <row r="598">
      <c r="A598" s="3" t="inlineStr">
        <is>
          <t>P</t>
        </is>
      </c>
      <c r="B598" s="2" t="inlineStr">
        <is>
          <t>phosphine</t>
        </is>
      </c>
      <c r="C598" s="2" t="inlineStr">
        <is>
          <t>PH3</t>
        </is>
      </c>
      <c r="D598" s="2" t="inlineStr">
        <is>
          <t>other</t>
        </is>
      </c>
      <c r="E598" s="2" t="inlineStr"/>
      <c r="F598" s="2" t="n"/>
      <c r="G598" s="2" t="n">
        <v>76</v>
      </c>
      <c r="H598" s="2" t="inlineStr">
        <is>
          <t>Phosphine (CID 24404)</t>
        </is>
      </c>
      <c r="I598" s="2" t="inlineStr">
        <is>
          <t>Probably a fragment of a phosphine ligand record (e.g., TPPTS).</t>
        </is>
      </c>
      <c r="J598" s="2" t="inlineStr">
        <is>
          <t>named and classified by a chemist agent; reviewed by an independent agent</t>
        </is>
      </c>
    </row>
    <row r="599">
      <c r="A599" s="3" t="inlineStr">
        <is>
          <t>[Ir]</t>
        </is>
      </c>
      <c r="B599" s="2" t="inlineStr">
        <is>
          <t>iridium</t>
        </is>
      </c>
      <c r="C599" s="2" t="inlineStr">
        <is>
          <t>Ir</t>
        </is>
      </c>
      <c r="D599" s="2" t="inlineStr">
        <is>
          <t>catalyst (metal)</t>
        </is>
      </c>
      <c r="E599" s="2" t="inlineStr"/>
      <c r="F599" s="2" t="n"/>
      <c r="G599" s="2" t="n">
        <v>76</v>
      </c>
      <c r="H599" s="2" t="inlineStr">
        <is>
          <t>Iridium (CID 23924)</t>
        </is>
      </c>
      <c r="I599" s="2" t="inlineStr">
        <is>
          <t>Solid-supported Ir catalyst for selective nitro hydrogenation.</t>
        </is>
      </c>
      <c r="J599" s="2" t="inlineStr">
        <is>
          <t>named and classified by a chemist agent; reviewed by an independent agent</t>
        </is>
      </c>
    </row>
    <row r="600">
      <c r="A600" s="3" t="inlineStr">
        <is>
          <t>O=C([O-])c1cccs1</t>
        </is>
      </c>
      <c r="B600" s="2" t="inlineStr">
        <is>
          <t>thiophene-2-carboxylate ion</t>
        </is>
      </c>
      <c r="C600" s="2" t="inlineStr">
        <is>
          <t>CuTC</t>
        </is>
      </c>
      <c r="D600" s="2" t="inlineStr">
        <is>
          <t>counter-ion / spectator ion</t>
        </is>
      </c>
      <c r="E600" s="2" t="inlineStr">
        <is>
          <t>ligand</t>
        </is>
      </c>
      <c r="F600" s="2" t="n"/>
      <c r="G600" s="2" t="n">
        <v>76</v>
      </c>
      <c r="H600" s="2" t="inlineStr">
        <is>
          <t>Thiophene-2-carboxylate (CID 5017639)</t>
        </is>
      </c>
      <c r="I600" s="2" t="inlineStr">
        <is>
          <t>From copper(I) thiophene-2-carboxylate (CuTC).</t>
        </is>
      </c>
      <c r="J600" s="2" t="inlineStr">
        <is>
          <t>named and classified by a chemist agent; reviewed by an independent agent</t>
        </is>
      </c>
    </row>
    <row r="601">
      <c r="A601" s="3" t="inlineStr">
        <is>
          <t>[B][B][B][B][B][B][B][B][B][B]</t>
        </is>
      </c>
      <c r="B601" s="2" t="inlineStr">
        <is>
          <t>decaboron (linear B10 chain, no H)</t>
        </is>
      </c>
      <c r="C601" s="2" t="inlineStr">
        <is>
          <t>B10H14</t>
        </is>
      </c>
      <c r="D601" s="2" t="inlineStr">
        <is>
          <t>reductant</t>
        </is>
      </c>
      <c r="E601" s="2" t="inlineStr"/>
      <c r="F601" s="2" t="n"/>
      <c r="G601" s="2" t="n">
        <v>76</v>
      </c>
      <c r="H601" s="2" t="inlineStr"/>
      <c r="I601" s="2" t="inlineStr">
        <is>
          <t>With Pd/C it reduces nitro groups and also does reductive amination.</t>
        </is>
      </c>
      <c r="J601" s="2" t="inlineStr">
        <is>
          <t>named and classified by a chemist agent; reviewed by an independent agent; name corrected after comparing with PubChem (was: decaborane (drawn as B10)); PubChem's title for this SMILES was wrong (CID 6328162 (CID 6328162)): The SMILES is an H-free B10 chain. Decaborane is B10H14. PubChem CID 6328162 has no title, only a CID number.</t>
        </is>
      </c>
    </row>
    <row r="602">
      <c r="A602" s="3" t="inlineStr">
        <is>
          <t>O=C(Cl)CCl</t>
        </is>
      </c>
      <c r="B602" s="2" t="inlineStr">
        <is>
          <t>chloroacetyl chloride</t>
        </is>
      </c>
      <c r="C602" s="2" t="inlineStr"/>
      <c r="D602" s="2" t="inlineStr">
        <is>
          <t>electrophile / alkylating agent</t>
        </is>
      </c>
      <c r="E602" s="2" t="inlineStr">
        <is>
          <t>acylating agent</t>
        </is>
      </c>
      <c r="F602" s="2" t="n"/>
      <c r="G602" s="2" t="n">
        <v>76</v>
      </c>
      <c r="H602" s="2" t="inlineStr">
        <is>
          <t>Chloroacetyl chloride (CID 6577)</t>
        </is>
      </c>
      <c r="I602" s="2" t="inlineStr">
        <is>
          <t>Acylates the aniline NH2 to give a chloroacetamide that can be alkylated further.</t>
        </is>
      </c>
      <c r="J602" s="2" t="inlineStr">
        <is>
          <t>named and classified by a chemist agent; reviewed by an independent agent</t>
        </is>
      </c>
    </row>
    <row r="603">
      <c r="A603" s="3" t="inlineStr">
        <is>
          <t>CC(=O)OI(OC(C)=O)c1ccccc1</t>
        </is>
      </c>
      <c r="B603" s="2" t="inlineStr">
        <is>
          <t>(diacetoxyiodo)benzene</t>
        </is>
      </c>
      <c r="C603" s="2" t="inlineStr">
        <is>
          <t>PIDA (BAIB)</t>
        </is>
      </c>
      <c r="D603" s="2" t="inlineStr">
        <is>
          <t>oxidant</t>
        </is>
      </c>
      <c r="E603" s="2" t="inlineStr"/>
      <c r="F603" s="2" t="n"/>
      <c r="G603" s="2" t="n">
        <v>76</v>
      </c>
      <c r="H603" s="2" t="inlineStr">
        <is>
          <t>Iodobenzene diacetate (CID 76724)</t>
        </is>
      </c>
      <c r="I603" s="2" t="inlineStr">
        <is>
          <t>Terminal oxidant with catalytic TEMPO; oxidizes a primary alcohol to the aldehyde.</t>
        </is>
      </c>
      <c r="J603" s="2" t="inlineStr">
        <is>
          <t>named and classified by a chemist agent; reviewed by an independent agent</t>
        </is>
      </c>
    </row>
    <row r="604">
      <c r="A604" s="3" t="inlineStr">
        <is>
          <t>O=c1c2ccccc2nnn1O</t>
        </is>
      </c>
      <c r="B604" s="2" t="inlineStr">
        <is>
          <t>3-hydroxy-1,2,3-benzotriazin-4(3H)-one</t>
        </is>
      </c>
      <c r="C604" s="2" t="inlineStr">
        <is>
          <t>HOOBt (HODhbt)</t>
        </is>
      </c>
      <c r="D604" s="2" t="inlineStr">
        <is>
          <t>additive</t>
        </is>
      </c>
      <c r="E604" s="2" t="inlineStr">
        <is>
          <t>coupling reagent (activates an acid)</t>
        </is>
      </c>
      <c r="F604" s="2" t="n"/>
      <c r="G604" s="2" t="n">
        <v>75</v>
      </c>
      <c r="H604" s="2" t="inlineStr">
        <is>
          <t>3-hydroxy-1,2,3-benzotriazin-4(3H)-one (CID 73026)</t>
        </is>
      </c>
      <c r="I604" s="2" t="inlineStr">
        <is>
          <t>Coupling additive used with EDC; forms an active ester and limits racemization.</t>
        </is>
      </c>
      <c r="J604" s="2" t="inlineStr">
        <is>
          <t>named and classified by a chemist agent; reviewed by an independent agent</t>
        </is>
      </c>
    </row>
    <row r="605">
      <c r="A605" s="3" t="inlineStr">
        <is>
          <t>O=C(O)C(Cl)Cl</t>
        </is>
      </c>
      <c r="B605" s="2" t="inlineStr">
        <is>
          <t>dichloroacetic acid</t>
        </is>
      </c>
      <c r="C605" s="2" t="inlineStr">
        <is>
          <t>DCA</t>
        </is>
      </c>
      <c r="D605" s="2" t="inlineStr">
        <is>
          <t>acid</t>
        </is>
      </c>
      <c r="E605" s="2" t="inlineStr">
        <is>
          <t>catalyst</t>
        </is>
      </c>
      <c r="F605" s="2" t="n"/>
      <c r="G605" s="2" t="n">
        <v>75</v>
      </c>
      <c r="H605" s="2" t="inlineStr">
        <is>
          <t>Dichloroacetic Acid (CID 6597)</t>
        </is>
      </c>
      <c r="I605" s="2" t="inlineStr">
        <is>
          <t>Proton source in a Pfitzner-Moffatt-type DMSO oxidation of an alcohol to an aldehyde (carbodiimide not recorded).</t>
        </is>
      </c>
      <c r="J605" s="2" t="inlineStr">
        <is>
          <t>named and classified by a chemist agent; reviewed by an independent agent</t>
        </is>
      </c>
    </row>
    <row r="606">
      <c r="A606" s="3" t="inlineStr">
        <is>
          <t>Nc1ccccc1-c1cccc[c]1[Pd][Cl]</t>
        </is>
      </c>
      <c r="B606" s="2" t="inlineStr">
        <is>
          <t>chloro(2'-amino-1,1'-biphenyl-2-yl)palladium(II) (Buchwald G2 palladacycle)</t>
        </is>
      </c>
      <c r="C606" s="2" t="inlineStr">
        <is>
          <t>XPhos Pd G2 (palladacycle part)</t>
        </is>
      </c>
      <c r="D606" s="2" t="inlineStr">
        <is>
          <t>catalyst (metal)</t>
        </is>
      </c>
      <c r="E606" s="2" t="inlineStr"/>
      <c r="F606" s="2" t="n"/>
      <c r="G606" s="2" t="n">
        <v>75</v>
      </c>
      <c r="H606" s="2" t="inlineStr">
        <is>
          <t>[2-(2-Aminophenyl)phenyl]-chloro-palladium (CID 131748480)</t>
        </is>
      </c>
      <c r="I606" s="2" t="inlineStr">
        <is>
          <t>Palladacycle half of the 2nd-generation Buchwald precatalyst; the XPhos ligand is listed separately; Suzuki coupling.</t>
        </is>
      </c>
      <c r="J606" s="2" t="inlineStr">
        <is>
          <t>named and classified by a chemist agent; reviewed by an independent agent</t>
        </is>
      </c>
    </row>
    <row r="607">
      <c r="A607" s="3" t="inlineStr">
        <is>
          <t>[In]</t>
        </is>
      </c>
      <c r="B607" s="2" t="inlineStr">
        <is>
          <t>indium (metal)</t>
        </is>
      </c>
      <c r="C607" s="2" t="inlineStr">
        <is>
          <t>In</t>
        </is>
      </c>
      <c r="D607" s="2" t="inlineStr">
        <is>
          <t>reductant</t>
        </is>
      </c>
      <c r="E607" s="2" t="inlineStr"/>
      <c r="F607" s="2" t="n"/>
      <c r="G607" s="2" t="n">
        <v>74</v>
      </c>
      <c r="H607" s="2" t="inlineStr">
        <is>
          <t>Indium (CID 5359967)</t>
        </is>
      </c>
      <c r="I607" s="2" t="inlineStr">
        <is>
          <t>Indium metal with NH4Cl in aqueous ethanol reduces an aryl nitro group to the aniline.</t>
        </is>
      </c>
      <c r="J607" s="2" t="inlineStr">
        <is>
          <t>named and classified by a chemist agent; reviewed by an independent agent</t>
        </is>
      </c>
    </row>
    <row r="608">
      <c r="A608" s="3" t="inlineStr">
        <is>
          <t>CC1CO1</t>
        </is>
      </c>
      <c r="B608" s="2" t="inlineStr">
        <is>
          <t>propylene oxide</t>
        </is>
      </c>
      <c r="C608" s="2" t="inlineStr"/>
      <c r="D608" s="2" t="inlineStr">
        <is>
          <t>additive</t>
        </is>
      </c>
      <c r="E608" s="2" t="inlineStr">
        <is>
          <t>electrophile / alkylating agent</t>
        </is>
      </c>
      <c r="F608" s="2" t="n"/>
      <c r="G608" s="2" t="n">
        <v>74</v>
      </c>
      <c r="H608" s="2" t="inlineStr">
        <is>
          <t>Propylene Oxide (CID 6378)</t>
        </is>
      </c>
      <c r="I608" s="2" t="inlineStr">
        <is>
          <t>Acid (HBr) scavenger during BBr3 O-demethylation; also an epoxide electrophile in other reactions.</t>
        </is>
      </c>
      <c r="J608" s="2" t="inlineStr">
        <is>
          <t>named and classified by a chemist agent; reviewed by an independent agent</t>
        </is>
      </c>
    </row>
    <row r="609">
      <c r="A609" s="3" t="inlineStr">
        <is>
          <t>COCCOCCN(CCOCCOC)CCOCCOC</t>
        </is>
      </c>
      <c r="B609" s="2" t="inlineStr">
        <is>
          <t>tris[2-(2-methoxyethoxy)ethyl]amine</t>
        </is>
      </c>
      <c r="C609" s="2" t="inlineStr">
        <is>
          <t>TDA-1</t>
        </is>
      </c>
      <c r="D609" s="2" t="inlineStr">
        <is>
          <t>phase-transfer catalyst</t>
        </is>
      </c>
      <c r="E609" s="2" t="inlineStr"/>
      <c r="F609" s="2" t="n"/>
      <c r="G609" s="2" t="n">
        <v>74</v>
      </c>
      <c r="H609" s="2" t="inlineStr">
        <is>
          <t>Ethanamine, 2-(2-methoxyethoxy)-N,N-bis[2-(2-methoxyethoxy)ethyl]- (CID 112414)</t>
        </is>
      </c>
      <c r="I609" s="2" t="inlineStr">
        <is>
          <t>Chelates K+ from K2CO3, making phenoxide more reactive for O-alkylation in DCM.</t>
        </is>
      </c>
      <c r="J609" s="2" t="inlineStr">
        <is>
          <t>named and classified by a chemist agent; reviewed by an independent agent</t>
        </is>
      </c>
    </row>
    <row r="610">
      <c r="A610" s="3" t="inlineStr">
        <is>
          <t>CN(C)C(F)=[N+](C)C</t>
        </is>
      </c>
      <c r="B610" s="2" t="inlineStr">
        <is>
          <t>fluoro-N,N,N',N'-tetramethylformamidinium (TFFH cation)</t>
        </is>
      </c>
      <c r="C610" s="2" t="inlineStr">
        <is>
          <t>TFFH</t>
        </is>
      </c>
      <c r="D610" s="2" t="inlineStr">
        <is>
          <t>coupling reagent (activates an acid)</t>
        </is>
      </c>
      <c r="E610" s="2" t="inlineStr"/>
      <c r="F610" s="2" t="n"/>
      <c r="G610" s="2" t="n">
        <v>74</v>
      </c>
      <c r="H610" s="2" t="inlineStr">
        <is>
          <t>[Dimethylamino(fluoro)methylidene]-dimethylazanium (CID 854052)</t>
        </is>
      </c>
      <c r="I610" s="2" t="inlineStr">
        <is>
          <t>Converts the carboxylic acid to an acyl fluoride for amide formation; PF6- is the counter-ion.</t>
        </is>
      </c>
      <c r="J610" s="2" t="inlineStr">
        <is>
          <t>named and classified by a chemist agent; reviewed by an independent agent</t>
        </is>
      </c>
    </row>
    <row r="611">
      <c r="A611" s="3" t="inlineStr">
        <is>
          <t>O=C(/N=N/C(=O)OCc1ccccc1)OCc1ccccc1</t>
        </is>
      </c>
      <c r="B611" s="2" t="inlineStr">
        <is>
          <t>dibenzyl azodicarboxylate</t>
        </is>
      </c>
      <c r="C611" s="2" t="inlineStr">
        <is>
          <t>DBAD</t>
        </is>
      </c>
      <c r="D611" s="2" t="inlineStr">
        <is>
          <t>dehydrating / activating agent</t>
        </is>
      </c>
      <c r="E611" s="2" t="inlineStr">
        <is>
          <t>oxidant</t>
        </is>
      </c>
      <c r="F611" s="2" t="n"/>
      <c r="G611" s="2" t="n">
        <v>73</v>
      </c>
      <c r="H611" s="2" t="inlineStr">
        <is>
          <t>1,2-Bis(phenylmethyl) 1,2-diazenedicarboxylate (CID 75557)</t>
        </is>
      </c>
      <c r="I611" s="2" t="inlineStr">
        <is>
          <t>Mitsunobu azo reagent with PPh3; forms an aryl ether from a phenol and an alcohol.</t>
        </is>
      </c>
      <c r="J611" s="2" t="inlineStr">
        <is>
          <t>named and classified by a chemist agent; reviewed by an independent agent</t>
        </is>
      </c>
    </row>
    <row r="612">
      <c r="A612" s="3" t="inlineStr">
        <is>
          <t>O=C(Cl)c1c(Cl)cc(Cl)cc1Cl</t>
        </is>
      </c>
      <c r="B612" s="2" t="inlineStr">
        <is>
          <t>2,4,6-trichlorobenzoyl chloride</t>
        </is>
      </c>
      <c r="C612" s="2" t="inlineStr">
        <is>
          <t>TCBC (Yamaguchi reagent)</t>
        </is>
      </c>
      <c r="D612" s="2" t="inlineStr">
        <is>
          <t>coupling reagent (activates an acid)</t>
        </is>
      </c>
      <c r="E612" s="2" t="inlineStr"/>
      <c r="F612" s="2" t="n"/>
      <c r="G612" s="2" t="n">
        <v>73</v>
      </c>
      <c r="H612" s="2" t="inlineStr">
        <is>
          <t>2,4,6-Trichlorobenzoyl chloride (CID 2733703)</t>
        </is>
      </c>
      <c r="I612" s="2" t="inlineStr">
        <is>
          <t>Forms a mixed anhydride with the acid, which then acylates a sulfonamide with DMAP (N-acylsulfonamide).</t>
        </is>
      </c>
      <c r="J612" s="2" t="inlineStr">
        <is>
          <t>named and classified by a chemist agent; reviewed by an independent agent</t>
        </is>
      </c>
    </row>
    <row r="613">
      <c r="A613" s="3" t="inlineStr">
        <is>
          <t>O=S(=O)(c1ccccc1)n1cc(I)c2ccc(F)cc21</t>
        </is>
      </c>
      <c r="B613" s="2" t="inlineStr">
        <is>
          <t>6-fluoro-3-iodo-1-(phenylsulfonyl)-1H-indole</t>
        </is>
      </c>
      <c r="C613" s="2" t="inlineStr"/>
      <c r="D613" s="2" t="inlineStr">
        <is>
          <t>other</t>
        </is>
      </c>
      <c r="E613" s="2" t="inlineStr"/>
      <c r="F613" s="2" t="n"/>
      <c r="G613" s="2" t="n">
        <v>73</v>
      </c>
      <c r="H613" s="2" t="inlineStr">
        <is>
          <t>6-fluoro-3-iodo-1-(phenylsulfonyl)-1H-indole (CID 67279837)</t>
        </is>
      </c>
      <c r="I613" s="2" t="inlineStr">
        <is>
          <t>Starting-material analog recorded among the agents; the example is removal of an N-phenylsulfonyl group from an indole.</t>
        </is>
      </c>
      <c r="J613" s="2" t="inlineStr">
        <is>
          <t>named and classified by a chemist agent; reviewed by an independent agent</t>
        </is>
      </c>
    </row>
    <row r="614">
      <c r="A614" s="3" t="inlineStr">
        <is>
          <t>C=C[CH2][Pd][Cl]</t>
        </is>
      </c>
      <c r="B614" s="2" t="inlineStr">
        <is>
          <t>allylpalladium(II) chloride (monomer, C3H5ClPd)</t>
        </is>
      </c>
      <c r="C614" s="2" t="inlineStr">
        <is>
          <t>[Pd(allyl)Cl]2</t>
        </is>
      </c>
      <c r="D614" s="2" t="inlineStr">
        <is>
          <t>catalyst (metal)</t>
        </is>
      </c>
      <c r="E614" s="2" t="inlineStr"/>
      <c r="F614" s="2" t="n"/>
      <c r="G614" s="2" t="n">
        <v>73</v>
      </c>
      <c r="H614" s="2" t="inlineStr">
        <is>
          <t>Allylpalladium chloride (CID 2724183)</t>
        </is>
      </c>
      <c r="I614" s="2" t="inlineStr">
        <is>
          <t>Pd precatalyst for Buchwald-type C-O coupling of an aryl chloride with an alcohol.</t>
        </is>
      </c>
      <c r="J614" s="2" t="inlineStr">
        <is>
          <t>named and classified by a chemist agent; reviewed by an independent agent; name corrected after comparing with PubChem (was: allylpalladium(II) chloride (dimer))</t>
        </is>
      </c>
    </row>
    <row r="615">
      <c r="A615" s="3" t="inlineStr">
        <is>
          <t>CC(C)[C@@H](C(=O)O)N1Cc2ccc(-c3ccc(NC(=O)c4ccccc4)cc3)cc2C1=O</t>
        </is>
      </c>
      <c r="B615" s="2" t="inlineStr">
        <is>
          <t>(S)-2-[6-(4-benzamidophenyl)-1-oxoisoindolin-2-yl]-3-methylbutanoic acid</t>
        </is>
      </c>
      <c r="C615" s="2" t="inlineStr"/>
      <c r="D615" s="2" t="inlineStr">
        <is>
          <t>other</t>
        </is>
      </c>
      <c r="E615" s="2" t="inlineStr"/>
      <c r="F615" s="2" t="n"/>
      <c r="G615" s="2" t="n">
        <v>72</v>
      </c>
      <c r="H615" s="2" t="inlineStr">
        <is>
          <t>(S)-2-(6-(4-Benzamidophenyl)-1-oxoisoindolin-2-yl)-3-methylbutanoic acid (CID 53303631)</t>
        </is>
      </c>
      <c r="I615" s="2" t="inlineStr">
        <is>
          <t>Product analog recorded among the agents of an ester hydrolysis; it is not a reagent.</t>
        </is>
      </c>
      <c r="J615" s="2" t="inlineStr">
        <is>
          <t>named and classified by a chemist agent; reviewed by an independent agent</t>
        </is>
      </c>
    </row>
    <row r="616">
      <c r="A616" s="3" t="inlineStr">
        <is>
          <t>Cc1cccc(C)c1</t>
        </is>
      </c>
      <c r="B616" s="2" t="inlineStr">
        <is>
          <t>m-xylene</t>
        </is>
      </c>
      <c r="C616" s="2" t="inlineStr"/>
      <c r="D616" s="2" t="inlineStr">
        <is>
          <t>solvent</t>
        </is>
      </c>
      <c r="E616" s="2" t="inlineStr"/>
      <c r="F616" s="2" t="n"/>
      <c r="G616" s="2" t="n">
        <v>72</v>
      </c>
      <c r="H616" s="2" t="inlineStr">
        <is>
          <t>M-Xylene (CID 7929)</t>
        </is>
      </c>
      <c r="I616" s="2" t="inlineStr">
        <is>
          <t>Aromatic hydrocarbon solvent; here for BBr3 demethylation and ester cleavage.</t>
        </is>
      </c>
      <c r="J616" s="2" t="inlineStr">
        <is>
          <t>named and classified by a chemist agent; reviewed by an independent agent</t>
        </is>
      </c>
    </row>
    <row r="617">
      <c r="A617" s="3" t="inlineStr">
        <is>
          <t>C[C](C)(C)[Mg][Cl]</t>
        </is>
      </c>
      <c r="B617" s="2" t="inlineStr">
        <is>
          <t>tert-butylmagnesium chloride</t>
        </is>
      </c>
      <c r="C617" s="2" t="inlineStr">
        <is>
          <t>t-BuMgCl</t>
        </is>
      </c>
      <c r="D617" s="2" t="inlineStr">
        <is>
          <t>base</t>
        </is>
      </c>
      <c r="E617" s="2" t="inlineStr">
        <is>
          <t>organometallic reagent</t>
        </is>
      </c>
      <c r="F617" s="2" t="n">
        <v>53</v>
      </c>
      <c r="G617" s="2" t="n">
        <v>72</v>
      </c>
      <c r="H617" s="2" t="inlineStr">
        <is>
          <t>tert-Butylmagnesium chloride (CID 2724198)</t>
        </is>
      </c>
      <c r="I617" s="2" t="inlineStr">
        <is>
          <t>Bulky Grignard base that deprotonates the nucleoside 5'-OH for phosphoramidate (ProTide) coupling; pKa is for isobutane (est.).</t>
        </is>
      </c>
      <c r="J617" s="2" t="inlineStr">
        <is>
          <t>named and classified by a chemist agent; reviewed by an independent agent</t>
        </is>
      </c>
    </row>
    <row r="618">
      <c r="A618" s="3" t="inlineStr">
        <is>
          <t>CC(C)(C)C(=O)[O-]</t>
        </is>
      </c>
      <c r="B618" s="2" t="inlineStr">
        <is>
          <t>pivalate ion</t>
        </is>
      </c>
      <c r="C618" s="2" t="inlineStr">
        <is>
          <t>OPiv</t>
        </is>
      </c>
      <c r="D618" s="2" t="inlineStr">
        <is>
          <t>counter-ion / spectator ion</t>
        </is>
      </c>
      <c r="E618" s="2" t="inlineStr">
        <is>
          <t>base (CMD in C-H activation)</t>
        </is>
      </c>
      <c r="F618" s="2" t="n">
        <v>5</v>
      </c>
      <c r="G618" s="2" t="n">
        <v>72</v>
      </c>
      <c r="H618" s="2" t="inlineStr">
        <is>
          <t>Pivalate (CID 6919101)</t>
        </is>
      </c>
      <c r="I618" s="2" t="inlineStr">
        <is>
          <t>Here from a Knochel organozinc pivalate (RZnCl·Mg(OPiv)2); as KOPiv/CsOPiv it is the CMD base in Pd C-H arylation; pKa in water.</t>
        </is>
      </c>
      <c r="J618" s="2" t="inlineStr">
        <is>
          <t>named and classified by a chemist agent; reviewed by an independent agent</t>
        </is>
      </c>
    </row>
    <row r="619">
      <c r="A619" s="3" t="inlineStr">
        <is>
          <t>N#CCC#N</t>
        </is>
      </c>
      <c r="B619" s="2" t="inlineStr">
        <is>
          <t>malononitrile</t>
        </is>
      </c>
      <c r="C619" s="2" t="inlineStr"/>
      <c r="D619" s="2" t="inlineStr">
        <is>
          <t>nucleophile</t>
        </is>
      </c>
      <c r="E619" s="2" t="inlineStr"/>
      <c r="F619" s="2" t="n"/>
      <c r="G619" s="2" t="n">
        <v>72</v>
      </c>
      <c r="H619" s="2" t="inlineStr">
        <is>
          <t>Malononitrile (CID 8010)</t>
        </is>
      </c>
      <c r="I619" s="2" t="inlineStr">
        <is>
          <t>Active-methylene nucleophile; here it is the source of the dicyanohydrazone made by diazonium coupling.</t>
        </is>
      </c>
      <c r="J619" s="2" t="inlineStr">
        <is>
          <t>named and classified by a chemist agent; reviewed by an independent agent</t>
        </is>
      </c>
    </row>
    <row r="620">
      <c r="A620" s="3" t="inlineStr">
        <is>
          <t>CC(C)(C)N</t>
        </is>
      </c>
      <c r="B620" s="2" t="inlineStr">
        <is>
          <t>tert-butylamine</t>
        </is>
      </c>
      <c r="C620" s="2" t="inlineStr">
        <is>
          <t>t-BuNH2</t>
        </is>
      </c>
      <c r="D620" s="2" t="inlineStr">
        <is>
          <t>nucleophile</t>
        </is>
      </c>
      <c r="E620" s="2" t="inlineStr">
        <is>
          <t>base</t>
        </is>
      </c>
      <c r="F620" s="2" t="n">
        <v>10.7</v>
      </c>
      <c r="G620" s="2" t="n">
        <v>71</v>
      </c>
      <c r="H620" s="2" t="inlineStr">
        <is>
          <t>Tert-Butylamine (CID 6385)</t>
        </is>
      </c>
      <c r="I620" s="2" t="inlineStr">
        <is>
          <t>Amine that gives the N-tert-butyl amide; pKa in water.</t>
        </is>
      </c>
      <c r="J620" s="2" t="inlineStr">
        <is>
          <t>named and classified by a chemist agent; reviewed by an independent agent</t>
        </is>
      </c>
    </row>
    <row r="621">
      <c r="A621" s="3" t="inlineStr">
        <is>
          <t>c1cn[nH]c1</t>
        </is>
      </c>
      <c r="B621" s="2" t="inlineStr">
        <is>
          <t>pyrazole</t>
        </is>
      </c>
      <c r="C621" s="2" t="inlineStr"/>
      <c r="D621" s="2" t="inlineStr">
        <is>
          <t>nucleophile</t>
        </is>
      </c>
      <c r="E621" s="2" t="inlineStr"/>
      <c r="F621" s="2" t="n"/>
      <c r="G621" s="2" t="n">
        <v>70</v>
      </c>
      <c r="H621" s="2" t="inlineStr">
        <is>
          <t>Pyrazole (CID 1048)</t>
        </is>
      </c>
      <c r="I621" s="2" t="inlineStr">
        <is>
          <t>N-H heterocycle; it plays no clear role in this Fe/AcOH nitro reduction (likely a recording artifact).</t>
        </is>
      </c>
      <c r="J621" s="2" t="inlineStr">
        <is>
          <t>named and classified by a chemist agent; reviewed by an independent agent</t>
        </is>
      </c>
    </row>
    <row r="622">
      <c r="A622" s="3" t="inlineStr">
        <is>
          <t>CC(=O)CC(C)=O</t>
        </is>
      </c>
      <c r="B622" s="2" t="inlineStr">
        <is>
          <t>acetylacetone (2,4-pentanedione)</t>
        </is>
      </c>
      <c r="C622" s="2" t="inlineStr">
        <is>
          <t>acac</t>
        </is>
      </c>
      <c r="D622" s="2" t="inlineStr">
        <is>
          <t>electrophile / alkylating agent</t>
        </is>
      </c>
      <c r="E622" s="2" t="inlineStr">
        <is>
          <t>ligand</t>
        </is>
      </c>
      <c r="F622" s="2" t="n"/>
      <c r="G622" s="2" t="n">
        <v>70</v>
      </c>
      <c r="H622" s="2" t="inlineStr">
        <is>
          <t>Acetylacetone (CID 31261)</t>
        </is>
      </c>
      <c r="I622" s="2" t="inlineStr">
        <is>
          <t>1,3-Dielectrophile that condenses with an aminopyrazole to form the pyrazolo[1,5-a]pyrimidine.</t>
        </is>
      </c>
      <c r="J622" s="2" t="inlineStr">
        <is>
          <t>named and classified by a chemist agent; reviewed by an independent agent</t>
        </is>
      </c>
    </row>
    <row r="623">
      <c r="A623" s="3" t="inlineStr">
        <is>
          <t>CCB(CC)CC</t>
        </is>
      </c>
      <c r="B623" s="2" t="inlineStr">
        <is>
          <t>triethylborane</t>
        </is>
      </c>
      <c r="C623" s="2" t="inlineStr">
        <is>
          <t>Et3B</t>
        </is>
      </c>
      <c r="D623" s="2" t="inlineStr">
        <is>
          <t>radical initiator</t>
        </is>
      </c>
      <c r="E623" s="2" t="inlineStr">
        <is>
          <t>Lewis acid</t>
        </is>
      </c>
      <c r="F623" s="2" t="n"/>
      <c r="G623" s="2" t="n">
        <v>70</v>
      </c>
      <c r="H623" s="2" t="inlineStr">
        <is>
          <t>Triethylborane (CID 7357)</t>
        </is>
      </c>
      <c r="I623" s="2" t="inlineStr">
        <is>
          <t>Usually a radical initiator with O2; here it is an additive in the borane-THF reduction of an acid to an alcohol.</t>
        </is>
      </c>
      <c r="J623" s="2" t="inlineStr">
        <is>
          <t>named and classified by a chemist agent; reviewed by an independent agent</t>
        </is>
      </c>
    </row>
    <row r="624">
      <c r="A624" s="3" t="inlineStr">
        <is>
          <t>C#C</t>
        </is>
      </c>
      <c r="B624" s="2" t="inlineStr">
        <is>
          <t>acetylene</t>
        </is>
      </c>
      <c r="C624" s="2" t="inlineStr"/>
      <c r="D624" s="2" t="inlineStr">
        <is>
          <t>gas</t>
        </is>
      </c>
      <c r="E624" s="2" t="inlineStr">
        <is>
          <t>nucleophile</t>
        </is>
      </c>
      <c r="F624" s="2" t="n"/>
      <c r="G624" s="2" t="n">
        <v>69</v>
      </c>
      <c r="H624" s="2" t="inlineStr">
        <is>
          <t>Acetylene (CID 6326)</t>
        </is>
      </c>
      <c r="I624" s="2" t="inlineStr">
        <is>
          <t>Gaseous terminal alkyne (Sonogashira, A3 coupling); appears to be a recording artifact in this ester hydrolysis.</t>
        </is>
      </c>
      <c r="J624" s="2" t="inlineStr">
        <is>
          <t>named and classified by a chemist agent; reviewed by an independent agent</t>
        </is>
      </c>
    </row>
    <row r="625">
      <c r="A625" s="3" t="inlineStr">
        <is>
          <t>O=C([O-])/C=C/C(=O)[O-]</t>
        </is>
      </c>
      <c r="B625" s="2" t="inlineStr">
        <is>
          <t>fumarate ion</t>
        </is>
      </c>
      <c r="C625" s="2" t="inlineStr"/>
      <c r="D625" s="2" t="inlineStr">
        <is>
          <t>counter-ion / spectator ion</t>
        </is>
      </c>
      <c r="E625" s="2" t="inlineStr"/>
      <c r="F625" s="2" t="n"/>
      <c r="G625" s="2" t="n">
        <v>69</v>
      </c>
      <c r="H625" s="2" t="inlineStr">
        <is>
          <t>Fumarate (CID 5460307)</t>
        </is>
      </c>
      <c r="I625" s="2" t="inlineStr">
        <is>
          <t>Counter-ion from a fumarate salt; the example is a TFA Boc deprotection.</t>
        </is>
      </c>
      <c r="J625" s="2" t="inlineStr">
        <is>
          <t>named and classified by a chemist agent; reviewed by an independent agent</t>
        </is>
      </c>
    </row>
    <row r="626">
      <c r="A626" s="3" t="inlineStr">
        <is>
          <t>O=S(=O)(Cl)c1ccccc1</t>
        </is>
      </c>
      <c r="B626" s="2" t="inlineStr">
        <is>
          <t>benzenesulfonyl chloride</t>
        </is>
      </c>
      <c r="C626" s="2" t="inlineStr">
        <is>
          <t>PhSO2Cl</t>
        </is>
      </c>
      <c r="D626" s="2" t="inlineStr">
        <is>
          <t>electrophile / alkylating agent</t>
        </is>
      </c>
      <c r="E626" s="2" t="inlineStr">
        <is>
          <t>protecting-group reagent</t>
        </is>
      </c>
      <c r="F626" s="2" t="n"/>
      <c r="G626" s="2" t="n">
        <v>69</v>
      </c>
      <c r="H626" s="2" t="inlineStr">
        <is>
          <t>Benzenesulfonyl chloride (CID 7369)</t>
        </is>
      </c>
      <c r="I626" s="2" t="inlineStr">
        <is>
          <t>Sulfonylating agent for amines; the example sulfonamide uses a substituted analog.</t>
        </is>
      </c>
      <c r="J626" s="2" t="inlineStr">
        <is>
          <t>named and classified by a chemist agent; reviewed by an independent agent</t>
        </is>
      </c>
    </row>
    <row r="627">
      <c r="A627" s="3" t="inlineStr">
        <is>
          <t>C=CC#N</t>
        </is>
      </c>
      <c r="B627" s="2" t="inlineStr">
        <is>
          <t>acrylonitrile</t>
        </is>
      </c>
      <c r="C627" s="2" t="inlineStr"/>
      <c r="D627" s="2" t="inlineStr">
        <is>
          <t>electrophile / alkylating agent</t>
        </is>
      </c>
      <c r="E627" s="2" t="inlineStr"/>
      <c r="F627" s="2" t="n"/>
      <c r="G627" s="2" t="n">
        <v>69</v>
      </c>
      <c r="H627" s="2" t="inlineStr">
        <is>
          <t>Acrylonitrile (CID 7855)</t>
        </is>
      </c>
      <c r="I627" s="2" t="inlineStr">
        <is>
          <t>Michael acceptor for aza-Michael addition (cyanoethylation) of amines.</t>
        </is>
      </c>
      <c r="J627" s="2" t="inlineStr">
        <is>
          <t>named and classified by a chemist agent; reviewed by an independent agent</t>
        </is>
      </c>
    </row>
    <row r="628">
      <c r="A628" s="3" t="inlineStr">
        <is>
          <t>OB(O)C1CC1</t>
        </is>
      </c>
      <c r="B628" s="2" t="inlineStr">
        <is>
          <t>cyclopropylboronic acid</t>
        </is>
      </c>
      <c r="C628" s="2" t="inlineStr"/>
      <c r="D628" s="2" t="inlineStr">
        <is>
          <t>organometallic reagent</t>
        </is>
      </c>
      <c r="E628" s="2" t="inlineStr">
        <is>
          <t>nucleophile</t>
        </is>
      </c>
      <c r="F628" s="2" t="n"/>
      <c r="G628" s="2" t="n">
        <v>69</v>
      </c>
      <c r="H628" s="2" t="inlineStr">
        <is>
          <t>Cyclopropylboronic acid (CID 2760897)</t>
        </is>
      </c>
      <c r="I628" s="2" t="inlineStr">
        <is>
          <t>Suzuki or Chan-Lam partner that transfers a cyclopropyl group; here likely the reagent that made the cyclopropylarene.</t>
        </is>
      </c>
      <c r="J628" s="2" t="inlineStr">
        <is>
          <t>named and classified by a chemist agent; reviewed by an independent agent</t>
        </is>
      </c>
    </row>
    <row r="629">
      <c r="A629" s="3" t="inlineStr">
        <is>
          <t>OCC1(O)OC[C@@H](O)[C@@H](O)[C@H]1O</t>
        </is>
      </c>
      <c r="B629" s="2" t="inlineStr">
        <is>
          <t>D-psicose (D-allulose), pyranose form as drawn; C3 epimer of D-fructose (probably a mis-drawn D-fructose)</t>
        </is>
      </c>
      <c r="C629" s="2" t="inlineStr"/>
      <c r="D629" s="2" t="inlineStr">
        <is>
          <t>other</t>
        </is>
      </c>
      <c r="E629" s="2" t="inlineStr">
        <is>
          <t>reductant (H-donor)</t>
        </is>
      </c>
      <c r="F629" s="2" t="n"/>
      <c r="G629" s="2" t="n">
        <v>68</v>
      </c>
      <c r="H629" s="2" t="inlineStr">
        <is>
          <t>D-Psicose (CID 441036)</t>
        </is>
      </c>
      <c r="I629" s="2" t="inlineStr">
        <is>
          <t>Sugar recorded with Pd in methanol for a nitro reduction; at most a mild hydrogen donor.</t>
        </is>
      </c>
      <c r="J629" s="2" t="inlineStr">
        <is>
          <t>named and classified by a chemist agent; reviewed by an independent agent; corrected name (RDKit CIP gives (3R,4R,5R) for the chain carbons, but D-fructose is (3S,4R,5R). When PubChem's open-chain D-fructose is closed to the pyranose, C3 comes out as )</t>
        </is>
      </c>
    </row>
    <row r="630">
      <c r="A630" s="3" t="inlineStr">
        <is>
          <t>[Ni+2]</t>
        </is>
      </c>
      <c r="B630" s="2" t="inlineStr">
        <is>
          <t>nickel(II) ion</t>
        </is>
      </c>
      <c r="C630" s="2" t="inlineStr">
        <is>
          <t>Ni2+</t>
        </is>
      </c>
      <c r="D630" s="2" t="inlineStr">
        <is>
          <t>catalyst (metal)</t>
        </is>
      </c>
      <c r="E630" s="2" t="inlineStr"/>
      <c r="F630" s="2" t="n"/>
      <c r="G630" s="2" t="n">
        <v>68</v>
      </c>
      <c r="H630" s="2" t="inlineStr">
        <is>
          <t>Nickel cation (CID 934)</t>
        </is>
      </c>
      <c r="I630" s="2" t="inlineStr">
        <is>
          <t>Nickel catalyst (likely Raney Ni or a NiCl2 salt) with hydrazine; reduces nitro to amine.</t>
        </is>
      </c>
      <c r="J630" s="2" t="inlineStr">
        <is>
          <t>named and classified by a chemist agent; reviewed by an independent agent</t>
        </is>
      </c>
    </row>
    <row r="631">
      <c r="A631" s="3" t="inlineStr">
        <is>
          <t>C[O+](C)C</t>
        </is>
      </c>
      <c r="B631" s="2" t="inlineStr">
        <is>
          <t>trimethyloxonium ion</t>
        </is>
      </c>
      <c r="C631" s="2" t="inlineStr">
        <is>
          <t>Me3O+ BF4- (Meerwein salt)</t>
        </is>
      </c>
      <c r="D631" s="2" t="inlineStr">
        <is>
          <t>electrophile / alkylating agent</t>
        </is>
      </c>
      <c r="E631" s="2" t="inlineStr"/>
      <c r="F631" s="2" t="n"/>
      <c r="G631" s="2" t="n">
        <v>68</v>
      </c>
      <c r="H631" s="2" t="inlineStr">
        <is>
          <t>Trimethyloxonium (CID 93245)</t>
        </is>
      </c>
      <c r="I631" s="2" t="inlineStr">
        <is>
          <t>O-Methylates the lactam to an imidate, which NaBH4 then reduces to the cyclic amine; BF4- is the counter-ion.</t>
        </is>
      </c>
      <c r="J631" s="2" t="inlineStr">
        <is>
          <t>named and classified by a chemist agent; reviewed by an independent agent</t>
        </is>
      </c>
    </row>
    <row r="632">
      <c r="A632" s="3" t="inlineStr">
        <is>
          <t>OC(C(F)(F)F)C(F)(F)F</t>
        </is>
      </c>
      <c r="B632" s="2" t="inlineStr">
        <is>
          <t>1,1,1,3,3,3-hexafluoro-2-propanol</t>
        </is>
      </c>
      <c r="C632" s="2" t="inlineStr">
        <is>
          <t>HFIP</t>
        </is>
      </c>
      <c r="D632" s="2" t="inlineStr">
        <is>
          <t>solvent</t>
        </is>
      </c>
      <c r="E632" s="2" t="inlineStr"/>
      <c r="F632" s="2" t="n"/>
      <c r="G632" s="2" t="n">
        <v>67</v>
      </c>
      <c r="H632" s="2" t="inlineStr">
        <is>
          <t>1,1,1,3,3,3-Hexafluoro-2-propanol (CID 13529)</t>
        </is>
      </c>
      <c r="I632" s="2" t="inlineStr">
        <is>
          <t>Strongly H-bond-donating, weakly nucleophilic fluorinated solvent.</t>
        </is>
      </c>
      <c r="J632" s="2" t="inlineStr">
        <is>
          <t>named and classified by a chemist agent; reviewed by an independent agent</t>
        </is>
      </c>
    </row>
    <row r="633">
      <c r="A633" s="3" t="inlineStr">
        <is>
          <t>BrCBr</t>
        </is>
      </c>
      <c r="B633" s="2" t="inlineStr">
        <is>
          <t>dibromomethane</t>
        </is>
      </c>
      <c r="C633" s="2" t="inlineStr">
        <is>
          <t>CH2Br2</t>
        </is>
      </c>
      <c r="D633" s="2" t="inlineStr">
        <is>
          <t>solvent</t>
        </is>
      </c>
      <c r="E633" s="2" t="inlineStr">
        <is>
          <t>electrophile / alkylating agent</t>
        </is>
      </c>
      <c r="F633" s="2" t="n"/>
      <c r="G633" s="2" t="n">
        <v>67</v>
      </c>
      <c r="H633" s="2" t="inlineStr">
        <is>
          <t>Dibromomethane (CID 3024)</t>
        </is>
      </c>
      <c r="I633" s="2" t="inlineStr">
        <is>
          <t>Solvent for AlBr3/EtSH O-demethylation; elsewhere a methylenating agent (catechol to methylenedioxy).</t>
        </is>
      </c>
      <c r="J633" s="2" t="inlineStr">
        <is>
          <t>named and classified by a chemist agent; reviewed by an independent agent</t>
        </is>
      </c>
    </row>
    <row r="634">
      <c r="A634" s="3" t="inlineStr">
        <is>
          <t>c1ccc(-c2c(-c3ccccc3)c(-c3ccccc3)[c-](-c3ccccc3)c2-c2ccccc2)cc1</t>
        </is>
      </c>
      <c r="B634" s="2" t="inlineStr">
        <is>
          <t>pentaphenylcyclopentadienide (Cp ring of Q-Phos)</t>
        </is>
      </c>
      <c r="C634" s="2" t="inlineStr">
        <is>
          <t>Q-Phos (fragment)</t>
        </is>
      </c>
      <c r="D634" s="2" t="inlineStr">
        <is>
          <t>ligand</t>
        </is>
      </c>
      <c r="E634" s="2" t="inlineStr"/>
      <c r="F634" s="2" t="n"/>
      <c r="G634" s="2" t="n">
        <v>67</v>
      </c>
      <c r="H634" s="2" t="inlineStr"/>
      <c r="I634" s="2" t="inlineStr">
        <is>
          <t>One Cp ring of Q-Phos (Ph5FcP(t-Bu)2); recorded with Fe2+ and the di-tert-butylphosphino-Cp ring; Pd Suzuki coupling.</t>
        </is>
      </c>
      <c r="J634" s="2" t="inlineStr">
        <is>
          <t>named and classified by a chemist agent; reviewed by an independent agent; PubChem's title for this SMILES was wrong (CID 5252109 (CID 5252109)): CID 5252109 is the right C35H25- record, but it has no title, only a CID number.</t>
        </is>
      </c>
    </row>
    <row r="635">
      <c r="A635" s="3" t="inlineStr">
        <is>
          <t>c1cc(N2CCCC2)ccn1</t>
        </is>
      </c>
      <c r="B635" s="2" t="inlineStr">
        <is>
          <t>4-pyrrolidinopyridine</t>
        </is>
      </c>
      <c r="C635" s="2" t="inlineStr">
        <is>
          <t>PPY</t>
        </is>
      </c>
      <c r="D635" s="2" t="inlineStr">
        <is>
          <t>additive</t>
        </is>
      </c>
      <c r="E635" s="2" t="inlineStr">
        <is>
          <t>nucleophilic acylation catalyst; base</t>
        </is>
      </c>
      <c r="F635" s="2" t="n">
        <v>9.6</v>
      </c>
      <c r="G635" s="2" t="n">
        <v>67</v>
      </c>
      <c r="H635" s="2" t="inlineStr">
        <is>
          <t>4-Pyrrolidinopyridine (CID 75567)</t>
        </is>
      </c>
      <c r="I635" s="2" t="inlineStr">
        <is>
          <t>DMAP-like nucleophilic catalyst for amide or ester formation; pKa in water.</t>
        </is>
      </c>
      <c r="J635" s="2" t="inlineStr">
        <is>
          <t>named and classified by a chemist agent; reviewed by an independent agent</t>
        </is>
      </c>
    </row>
    <row r="636">
      <c r="A636" s="3" t="inlineStr">
        <is>
          <t>Nc1cc[nH]n1</t>
        </is>
      </c>
      <c r="B636" s="2" t="inlineStr">
        <is>
          <t>3-aminopyrazole</t>
        </is>
      </c>
      <c r="C636" s="2" t="inlineStr"/>
      <c r="D636" s="2" t="inlineStr">
        <is>
          <t>nucleophile</t>
        </is>
      </c>
      <c r="E636" s="2" t="inlineStr"/>
      <c r="F636" s="2" t="n"/>
      <c r="G636" s="2" t="n">
        <v>67</v>
      </c>
      <c r="H636" s="2" t="inlineStr">
        <is>
          <t>Pyrazol-3-ylamine (CID 74561)</t>
        </is>
      </c>
      <c r="I636" s="2" t="inlineStr">
        <is>
          <t>Heteroaryl amine; likely a recording artifact in this urea formation from a phenyl carbamate.</t>
        </is>
      </c>
      <c r="J636" s="2" t="inlineStr">
        <is>
          <t>named and classified by a chemist agent; reviewed by an independent agent</t>
        </is>
      </c>
    </row>
    <row r="637">
      <c r="A637" s="3" t="inlineStr">
        <is>
          <t>CN1C(=O)CC(=O)N(C)C1=O</t>
        </is>
      </c>
      <c r="B637" s="2" t="inlineStr">
        <is>
          <t>1,3-dimethylbarbituric acid</t>
        </is>
      </c>
      <c r="C637" s="2" t="inlineStr">
        <is>
          <t>NDMBA</t>
        </is>
      </c>
      <c r="D637" s="2" t="inlineStr">
        <is>
          <t>nucleophile</t>
        </is>
      </c>
      <c r="E637" s="2" t="inlineStr">
        <is>
          <t>allyl scavenger</t>
        </is>
      </c>
      <c r="F637" s="2" t="n"/>
      <c r="G637" s="2" t="n">
        <v>67</v>
      </c>
      <c r="H637" s="2" t="inlineStr">
        <is>
          <t>Dimethylbarbituric acid (CID 69860)</t>
        </is>
      </c>
      <c r="I637" s="2" t="inlineStr">
        <is>
          <t>Soft C-nucleophile that traps the pi-allyl in Pd(PPh3)4-catalysed O-deallylation.</t>
        </is>
      </c>
      <c r="J637" s="2" t="inlineStr">
        <is>
          <t>named and classified by a chemist agent; reviewed by an independent agent</t>
        </is>
      </c>
    </row>
    <row r="638">
      <c r="A638" s="3" t="inlineStr">
        <is>
          <t>COP(=O)(OC)C(=[N+]=[N-])C(C)=O</t>
        </is>
      </c>
      <c r="B638" s="2" t="inlineStr">
        <is>
          <t>dimethyl (1-diazo-2-oxopropyl)phosphonate</t>
        </is>
      </c>
      <c r="C638" s="2" t="inlineStr">
        <is>
          <t>Ohira-Bestmann reagent</t>
        </is>
      </c>
      <c r="D638" s="2" t="inlineStr">
        <is>
          <t>nucleophile</t>
        </is>
      </c>
      <c r="E638" s="2" t="inlineStr">
        <is>
          <t>homologation reagent</t>
        </is>
      </c>
      <c r="F638" s="2" t="n"/>
      <c r="G638" s="2" t="n">
        <v>67</v>
      </c>
      <c r="H638" s="2" t="inlineStr">
        <is>
          <t>Dimethyl (1-diazo-2-oxopropyl)phosphonate (CID 53397103)</t>
        </is>
      </c>
      <c r="I638" s="2" t="inlineStr">
        <is>
          <t>With K2CO3/MeOH it converts an aldehyde to a terminal alkyne (Seyferth-Gilbert homologation).</t>
        </is>
      </c>
      <c r="J638" s="2" t="inlineStr">
        <is>
          <t>named and classified by a chemist agent; reviewed by an independent agent</t>
        </is>
      </c>
    </row>
    <row r="639">
      <c r="A639" s="3" t="inlineStr">
        <is>
          <t>COC(C)=O</t>
        </is>
      </c>
      <c r="B639" s="2" t="inlineStr">
        <is>
          <t>methyl acetate</t>
        </is>
      </c>
      <c r="C639" s="2" t="inlineStr">
        <is>
          <t>MeOAc</t>
        </is>
      </c>
      <c r="D639" s="2" t="inlineStr">
        <is>
          <t>solvent</t>
        </is>
      </c>
      <c r="E639" s="2" t="inlineStr"/>
      <c r="F639" s="2" t="n"/>
      <c r="G639" s="2" t="n">
        <v>66</v>
      </c>
      <c r="H639" s="2" t="inlineStr">
        <is>
          <t>Methyl Acetate (CID 6584)</t>
        </is>
      </c>
      <c r="I639" s="2" t="inlineStr">
        <is>
          <t>Ester solvent; here for Ni/H2 nitro reduction.</t>
        </is>
      </c>
      <c r="J639" s="2" t="inlineStr">
        <is>
          <t>named and classified by a chemist agent; reviewed by an independent agent</t>
        </is>
      </c>
    </row>
    <row r="640">
      <c r="A640" s="3" t="inlineStr">
        <is>
          <t>N=C(N)N</t>
        </is>
      </c>
      <c r="B640" s="2" t="inlineStr">
        <is>
          <t>guanidine</t>
        </is>
      </c>
      <c r="C640" s="2" t="inlineStr"/>
      <c r="D640" s="2" t="inlineStr">
        <is>
          <t>base</t>
        </is>
      </c>
      <c r="E640" s="2" t="inlineStr">
        <is>
          <t>nucleophile</t>
        </is>
      </c>
      <c r="F640" s="2" t="n">
        <v>13.6</v>
      </c>
      <c r="G640" s="2" t="n">
        <v>66</v>
      </c>
      <c r="H640" s="2" t="inlineStr">
        <is>
          <t>Guanidine (CID 3520)</t>
        </is>
      </c>
      <c r="I640" s="2" t="inlineStr">
        <is>
          <t>Strong organic base and N,N-binucleophile for pyrimidine synthesis; likely an artifact in this nitration; pKa in water.</t>
        </is>
      </c>
      <c r="J640" s="2" t="inlineStr">
        <is>
          <t>named and classified by a chemist agent; reviewed by an independent agent</t>
        </is>
      </c>
    </row>
    <row r="641">
      <c r="A641" s="3" t="inlineStr">
        <is>
          <t>CCCC[O-]</t>
        </is>
      </c>
      <c r="B641" s="2" t="inlineStr">
        <is>
          <t>n-butoxide ion</t>
        </is>
      </c>
      <c r="C641" s="2" t="inlineStr"/>
      <c r="D641" s="2" t="inlineStr">
        <is>
          <t>base</t>
        </is>
      </c>
      <c r="E641" s="2" t="inlineStr"/>
      <c r="F641" s="2" t="n">
        <v>16</v>
      </c>
      <c r="G641" s="2" t="n">
        <v>65</v>
      </c>
      <c r="H641" s="2" t="inlineStr">
        <is>
          <t>Butan-1-olate (CID 12476378)</t>
        </is>
      </c>
      <c r="I641" s="2" t="inlineStr">
        <is>
          <t>Potassium n-butoxide in DMSO deprotonates the phenol for O-alkylation; pKa of n-BuOH in water (about 29 in DMSO).</t>
        </is>
      </c>
      <c r="J641" s="2" t="inlineStr">
        <is>
          <t>named and classified by a chemist agent; reviewed by an independent agent</t>
        </is>
      </c>
    </row>
    <row r="642">
      <c r="A642" s="3" t="inlineStr">
        <is>
          <t>CN(C)C(Oc1c(F)c(F)c(F)c(F)c1F)=[N+](C)C</t>
        </is>
      </c>
      <c r="B642" s="2" t="inlineStr">
        <is>
          <t>O-pentafluorophenyl-N,N,N',N'-tetramethyluronium</t>
        </is>
      </c>
      <c r="C642" s="2" t="inlineStr">
        <is>
          <t>PfTU (HPfTU)</t>
        </is>
      </c>
      <c r="D642" s="2" t="inlineStr">
        <is>
          <t>coupling reagent (activates an acid)</t>
        </is>
      </c>
      <c r="E642" s="2" t="inlineStr"/>
      <c r="F642" s="2" t="n"/>
      <c r="G642" s="2" t="n">
        <v>65</v>
      </c>
      <c r="H642" s="2" t="inlineStr"/>
      <c r="I642" s="2" t="inlineStr">
        <is>
          <t>Uronium reagent that forms a pentafluorophenyl active ester for amide coupling with DIPEA (PF6- salt).</t>
        </is>
      </c>
      <c r="J642" s="2" t="inlineStr">
        <is>
          <t>named and classified by a chemist agent; reviewed by an independent agent; PubChem's title for this SMILES was wrong (CID 10915624 (CID 10915624)): CID 10915624 is the right C11H12F5N2O+ record, but it has no title, only a CID number.</t>
        </is>
      </c>
    </row>
    <row r="643">
      <c r="A643" s="3" t="inlineStr">
        <is>
          <t>CC[N+](CC)(CC)S(=O)(=O)NC(=O)OC</t>
        </is>
      </c>
      <c r="B643" s="2" t="inlineStr">
        <is>
          <t>N-protonated Burgess reagent cation as drawn (Burgess reagent itself is the inner salt CC[N+](CC)(CC)S(=O)(=O)[N-]C(=O)OC, C8H18N2O4S)</t>
        </is>
      </c>
      <c r="C643" s="2" t="inlineStr">
        <is>
          <t>Burgess reagent</t>
        </is>
      </c>
      <c r="D643" s="2" t="inlineStr">
        <is>
          <t>dehydrating / activating agent</t>
        </is>
      </c>
      <c r="E643" s="2" t="inlineStr"/>
      <c r="F643" s="2" t="n"/>
      <c r="G643" s="2" t="n">
        <v>65</v>
      </c>
      <c r="H643" s="2" t="inlineStr">
        <is>
          <t>Triethyl(methoxycarbonylsulfamoyl)aminium (CID 2724995)</t>
        </is>
      </c>
      <c r="I643" s="2" t="inlineStr">
        <is>
          <t>Mild dehydrating agent; converts the primary amide to a nitrile.</t>
        </is>
      </c>
      <c r="J643" s="2" t="inlineStr">
        <is>
          <t>named and classified by a chemist agent; reviewed by an independent agent; corrected name (The protonation state is wrong. The recorded SMILES has NH and a net +1 charge (C8H19N2O4S+), while the name and the real reagent are the neutral zwitterion wit)</t>
        </is>
      </c>
    </row>
    <row r="644">
      <c r="A644" s="3" t="inlineStr">
        <is>
          <t>NCCC(=O)O</t>
        </is>
      </c>
      <c r="B644" s="2" t="inlineStr">
        <is>
          <t>beta-alanine</t>
        </is>
      </c>
      <c r="C644" s="2" t="inlineStr"/>
      <c r="D644" s="2" t="inlineStr">
        <is>
          <t>base</t>
        </is>
      </c>
      <c r="E644" s="2" t="inlineStr">
        <is>
          <t>amine catalyst (Knoevenagel)</t>
        </is>
      </c>
      <c r="F644" s="2" t="n">
        <v>10.2</v>
      </c>
      <c r="G644" s="2" t="n">
        <v>65</v>
      </c>
      <c r="H644" s="2" t="inlineStr">
        <is>
          <t>Beta-Alanine (CID 239)</t>
        </is>
      </c>
      <c r="I644" s="2" t="inlineStr">
        <is>
          <t>Amino-acid catalyst for the Knoevenagel condensation of an aldehyde with thiazolidinedione; pKa (NH3+) in water.</t>
        </is>
      </c>
      <c r="J644" s="2" t="inlineStr">
        <is>
          <t>named and classified by a chemist agent; reviewed by an independent agent</t>
        </is>
      </c>
    </row>
    <row r="645">
      <c r="A645" s="3" t="inlineStr">
        <is>
          <t>CON</t>
        </is>
      </c>
      <c r="B645" s="2" t="inlineStr">
        <is>
          <t>methoxyamine (O-methylhydroxylamine)</t>
        </is>
      </c>
      <c r="C645" s="2" t="inlineStr">
        <is>
          <t>MeONH2</t>
        </is>
      </c>
      <c r="D645" s="2" t="inlineStr">
        <is>
          <t>nucleophile</t>
        </is>
      </c>
      <c r="E645" s="2" t="inlineStr"/>
      <c r="F645" s="2" t="n"/>
      <c r="G645" s="2" t="n">
        <v>65</v>
      </c>
      <c r="H645" s="2" t="inlineStr">
        <is>
          <t>O-Methylhydroxylamine (CID 4113)</t>
        </is>
      </c>
      <c r="I645" s="2" t="inlineStr">
        <is>
          <t>Forms O-methyl oximes with carbonyls; appears to be an artifact in this HBr demethylation.</t>
        </is>
      </c>
      <c r="J645" s="2" t="inlineStr">
        <is>
          <t>named and classified by a chemist agent; reviewed by an independent agent</t>
        </is>
      </c>
    </row>
    <row r="646">
      <c r="A646" s="3" t="inlineStr">
        <is>
          <t>NC(=O)[O-]</t>
        </is>
      </c>
      <c r="B646" s="2" t="inlineStr">
        <is>
          <t>carbamate ion</t>
        </is>
      </c>
      <c r="C646" s="2" t="inlineStr"/>
      <c r="D646" s="2" t="inlineStr">
        <is>
          <t>reductant</t>
        </is>
      </c>
      <c r="E646" s="2" t="inlineStr"/>
      <c r="F646" s="2" t="n"/>
      <c r="G646" s="2" t="n">
        <v>64</v>
      </c>
      <c r="H646" s="2" t="inlineStr">
        <is>
          <t>Carbamate (CID 276)</t>
        </is>
      </c>
      <c r="I646" s="2" t="inlineStr">
        <is>
          <t>Ammonium carbamate (or a mis-drawn ammonium formate) as the H-donor for Pd transfer hydrogenation of a nitro group.</t>
        </is>
      </c>
      <c r="J646" s="2" t="inlineStr">
        <is>
          <t>named and classified by a chemist agent; reviewed by an independent agent</t>
        </is>
      </c>
    </row>
    <row r="647">
      <c r="A647" s="3" t="inlineStr">
        <is>
          <t>O=C(O)CS</t>
        </is>
      </c>
      <c r="B647" s="2" t="inlineStr">
        <is>
          <t>thioglycolic acid (mercaptoacetic acid)</t>
        </is>
      </c>
      <c r="C647" s="2" t="inlineStr"/>
      <c r="D647" s="2" t="inlineStr">
        <is>
          <t>additive</t>
        </is>
      </c>
      <c r="E647" s="2" t="inlineStr">
        <is>
          <t>cation scavenger</t>
        </is>
      </c>
      <c r="F647" s="2" t="n"/>
      <c r="G647" s="2" t="n">
        <v>64</v>
      </c>
      <c r="H647" s="2" t="inlineStr">
        <is>
          <t>Thioglycolic Acid (CID 1133)</t>
        </is>
      </c>
      <c r="I647" s="2" t="inlineStr">
        <is>
          <t>Thiol that reduces methionine sulfoxide back to methionine in peptides; also a scavenger.</t>
        </is>
      </c>
      <c r="J647" s="2" t="inlineStr">
        <is>
          <t>named and classified by a chemist agent; reviewed by an independent agent; corrected role (In the example (a Boc removal) the methionine sulfoxide CCS(C)=O is still present in the product, so thioglycolic acid is not reducing Met(O) here. It is a cati)</t>
        </is>
      </c>
    </row>
    <row r="648">
      <c r="A648" s="3" t="inlineStr">
        <is>
          <t>N#[C][Fe-3]([C]#N)([C]#N)([C]#N)([C]#N)[C]#N</t>
        </is>
      </c>
      <c r="B648" s="2" t="inlineStr">
        <is>
          <t>hexacyanoferrate(III) (ferricyanide)</t>
        </is>
      </c>
      <c r="C648" s="2" t="inlineStr">
        <is>
          <t>K3Fe(CN)6</t>
        </is>
      </c>
      <c r="D648" s="2" t="inlineStr">
        <is>
          <t>oxidant</t>
        </is>
      </c>
      <c r="E648" s="2" t="inlineStr"/>
      <c r="F648" s="2" t="n"/>
      <c r="G648" s="2" t="n">
        <v>64</v>
      </c>
      <c r="H648" s="2" t="inlineStr">
        <is>
          <t>Ferricyanide (CID 439210)</t>
        </is>
      </c>
      <c r="I648" s="2" t="inlineStr">
        <is>
          <t>Oxidizes the thioanilide to a 2-arylbenzothiazole (Jacobson cyclization) in basic aqueous methanol.</t>
        </is>
      </c>
      <c r="J648" s="2" t="inlineStr">
        <is>
          <t>named and classified by a chemist agent; reviewed by an independent agent</t>
        </is>
      </c>
    </row>
    <row r="649">
      <c r="A649" s="3" t="inlineStr">
        <is>
          <t>CCN(CC)S(F)(F)F</t>
        </is>
      </c>
      <c r="B649" s="2" t="inlineStr">
        <is>
          <t>diethylaminosulfur trifluoride</t>
        </is>
      </c>
      <c r="C649" s="2" t="inlineStr">
        <is>
          <t>DAST</t>
        </is>
      </c>
      <c r="D649" s="2" t="inlineStr">
        <is>
          <t>halogenating agent</t>
        </is>
      </c>
      <c r="E649" s="2" t="inlineStr"/>
      <c r="F649" s="2" t="n"/>
      <c r="G649" s="2" t="n">
        <v>63</v>
      </c>
      <c r="H649" s="2" t="inlineStr">
        <is>
          <t>(Diethylamino)sulfur trifluoride (CID 123472)</t>
        </is>
      </c>
      <c r="I649" s="2" t="inlineStr">
        <is>
          <t>Deoxyfluorinating agent that converts the tertiary alcohol to an alkyl fluoride.</t>
        </is>
      </c>
      <c r="J649" s="2" t="inlineStr">
        <is>
          <t>named and classified by a chemist agent; reviewed by an independent agent</t>
        </is>
      </c>
    </row>
    <row r="650">
      <c r="A650" s="3" t="inlineStr">
        <is>
          <t>[Sc+3]</t>
        </is>
      </c>
      <c r="B650" s="2" t="inlineStr">
        <is>
          <t>scandium(III) ion</t>
        </is>
      </c>
      <c r="C650" s="2" t="inlineStr">
        <is>
          <t>Sc(OTf)3</t>
        </is>
      </c>
      <c r="D650" s="2" t="inlineStr">
        <is>
          <t>Lewis acid</t>
        </is>
      </c>
      <c r="E650" s="2" t="inlineStr"/>
      <c r="F650" s="2" t="n"/>
      <c r="G650" s="2" t="n">
        <v>63</v>
      </c>
      <c r="H650" s="2" t="inlineStr">
        <is>
          <t>Scandium, ion (Sc3+) (CID 4534583)</t>
        </is>
      </c>
      <c r="I650" s="2" t="inlineStr">
        <is>
          <t>Scandium triflate Lewis acid; here it promotes prenyl migration and flavanone isomerization.</t>
        </is>
      </c>
      <c r="J650" s="2" t="inlineStr">
        <is>
          <t>named and classified by a chemist agent; reviewed by an independent agent</t>
        </is>
      </c>
    </row>
    <row r="651">
      <c r="A651" s="3" t="inlineStr">
        <is>
          <t>COC(=O)C[C@@H]1COc2cc(O[C@@H]3CCc4c(Br)ccc(F)c43)ccc21</t>
        </is>
      </c>
      <c r="B651" s="2" t="inlineStr">
        <is>
          <t>methyl 2-[6-(4-bromo-7-fluoroindan-1-yloxy)-2,3-dihydrobenzofuran-3-yl]acetate</t>
        </is>
      </c>
      <c r="C651" s="2" t="inlineStr"/>
      <c r="D651" s="2" t="inlineStr">
        <is>
          <t>other</t>
        </is>
      </c>
      <c r="E651" s="2" t="inlineStr"/>
      <c r="F651" s="2" t="n"/>
      <c r="G651" s="2" t="n">
        <v>63</v>
      </c>
      <c r="H651" s="2" t="inlineStr">
        <is>
          <t>{(S)-6-[(R)-4-bromo-7-fluoro-indan-1-yloxy]-2,3-dihydro-benzofuran-3-yl}-acetic acid methyl ester (CID 86697103)</t>
        </is>
      </c>
      <c r="I651" s="2" t="inlineStr">
        <is>
          <t>Aryl bromide precursor (Suzuki substrate) recorded among the agents of an ester hydrolysis.</t>
        </is>
      </c>
      <c r="J651" s="2" t="inlineStr">
        <is>
          <t>named and classified by a chemist agent; reviewed by an independent agent</t>
        </is>
      </c>
    </row>
    <row r="652">
      <c r="A652" s="3" t="inlineStr">
        <is>
          <t>[Zr+4]</t>
        </is>
      </c>
      <c r="B652" s="2" t="inlineStr">
        <is>
          <t>zirconium(IV) ion</t>
        </is>
      </c>
      <c r="C652" s="2" t="inlineStr">
        <is>
          <t>ZrCl4</t>
        </is>
      </c>
      <c r="D652" s="2" t="inlineStr">
        <is>
          <t>Lewis acid</t>
        </is>
      </c>
      <c r="E652" s="2" t="inlineStr"/>
      <c r="F652" s="2" t="n"/>
      <c r="G652" s="2" t="n">
        <v>63</v>
      </c>
      <c r="H652" s="2" t="inlineStr">
        <is>
          <t>Zirconium cation (4+) (CID 115139)</t>
        </is>
      </c>
      <c r="I652" s="2" t="inlineStr">
        <is>
          <t>ZrCl4 activates NaBH4 to reduce the nitrile to a primary amine.</t>
        </is>
      </c>
      <c r="J652" s="2" t="inlineStr">
        <is>
          <t>named and classified by a chemist agent; reviewed by an independent agent</t>
        </is>
      </c>
    </row>
    <row r="653">
      <c r="A653" s="3" t="inlineStr">
        <is>
          <t>CCCCC(CC)C(=O)[O-]</t>
        </is>
      </c>
      <c r="B653" s="2" t="inlineStr">
        <is>
          <t>2-ethylhexanoate ion</t>
        </is>
      </c>
      <c r="C653" s="2" t="inlineStr"/>
      <c r="D653" s="2" t="inlineStr">
        <is>
          <t>salt (work-up or additive)</t>
        </is>
      </c>
      <c r="E653" s="2" t="inlineStr">
        <is>
          <t>base</t>
        </is>
      </c>
      <c r="F653" s="2" t="n">
        <v>4.8</v>
      </c>
      <c r="G653" s="2" t="n">
        <v>63</v>
      </c>
      <c r="H653" s="2" t="inlineStr">
        <is>
          <t>2-Ethylhexanoate (CID 4072356)</t>
        </is>
      </c>
      <c r="I653" s="2" t="inlineStr">
        <is>
          <t>Sodium 2-ethylhexanoate in EtOAc forms the sodium salt of the drug acid (sulbactam sodium); pKa in water.</t>
        </is>
      </c>
      <c r="J653" s="2" t="inlineStr">
        <is>
          <t>named and classified by a chemist agent; reviewed by an independent agent</t>
        </is>
      </c>
    </row>
    <row r="654">
      <c r="A654" s="3" t="inlineStr">
        <is>
          <t>O=[N+]([O-])[N+](=O)[O-]</t>
        </is>
      </c>
      <c r="B654" s="2" t="inlineStr">
        <is>
          <t>dinitrogen tetroxide</t>
        </is>
      </c>
      <c r="C654" s="2" t="inlineStr">
        <is>
          <t>N2O4</t>
        </is>
      </c>
      <c r="D654" s="2" t="inlineStr">
        <is>
          <t>reactant (inorganic)</t>
        </is>
      </c>
      <c r="E654" s="2" t="inlineStr">
        <is>
          <t>nitrosating agent (diazotization)</t>
        </is>
      </c>
      <c r="F654" s="2" t="n"/>
      <c r="G654" s="2" t="n">
        <v>63</v>
      </c>
      <c r="H654" s="2" t="inlineStr">
        <is>
          <t>Nitrogen oxide (N2O4) (CID 25352)</t>
        </is>
      </c>
      <c r="I654" s="2" t="inlineStr">
        <is>
          <t>NO+ source that diazotizes the aniline before iodide substitution (Sandmeyer-type iodination).</t>
        </is>
      </c>
      <c r="J654" s="2" t="inlineStr">
        <is>
          <t>named and classified by a chemist agent; reviewed by an independent agent</t>
        </is>
      </c>
    </row>
    <row r="655">
      <c r="A655" s="3" t="inlineStr">
        <is>
          <t>CN(C)c1ccc(P(C2CCCCC2)C2CCCCC2)cc1</t>
        </is>
      </c>
      <c r="B655" s="2" t="inlineStr">
        <is>
          <t>4-(dicyclohexylphosphino)-N,N-dimethylaniline</t>
        </is>
      </c>
      <c r="C655" s="2" t="inlineStr">
        <is>
          <t>Cy2P(4-Me2NC6H4)</t>
        </is>
      </c>
      <c r="D655" s="2" t="inlineStr">
        <is>
          <t>ligand</t>
        </is>
      </c>
      <c r="E655" s="2" t="inlineStr"/>
      <c r="F655" s="2" t="n"/>
      <c r="G655" s="2" t="n">
        <v>63</v>
      </c>
      <c r="H655" s="2" t="inlineStr">
        <is>
          <t>Benzenamine, 4-(dicyclohexylphosphino)-N,N-dimethyl- (CID 142458)</t>
        </is>
      </c>
      <c r="I655" s="2" t="inlineStr">
        <is>
          <t>Electron-rich phosphine for Pd/pivalate C-H arylation of imidazole with an aryl bromide.</t>
        </is>
      </c>
      <c r="J655" s="2" t="inlineStr">
        <is>
          <t>named and classified by a chemist agent; reviewed by an independent agent</t>
        </is>
      </c>
    </row>
    <row r="656">
      <c r="A656" s="3" t="inlineStr">
        <is>
          <t>[O]=[Hg]</t>
        </is>
      </c>
      <c r="B656" s="2" t="inlineStr">
        <is>
          <t>mercury(II) oxide</t>
        </is>
      </c>
      <c r="C656" s="2" t="inlineStr">
        <is>
          <t>HgO</t>
        </is>
      </c>
      <c r="D656" s="2" t="inlineStr">
        <is>
          <t>dehydrating / activating agent</t>
        </is>
      </c>
      <c r="E656" s="2" t="inlineStr">
        <is>
          <t>desulfurizing agent (thiophile)</t>
        </is>
      </c>
      <c r="F656" s="2" t="n"/>
      <c r="G656" s="2" t="n">
        <v>63</v>
      </c>
      <c r="H656" s="2" t="inlineStr">
        <is>
          <t>Mercuric oxide (CID 30856)</t>
        </is>
      </c>
      <c r="I656" s="2" t="inlineStr">
        <is>
          <t>Thiophile that removes sulfur from the thiourea, driving cyclization to the 2-aminobenzoxazole.</t>
        </is>
      </c>
      <c r="J656" s="2" t="inlineStr">
        <is>
          <t>named and classified by a chemist agent; reviewed by an independent agent</t>
        </is>
      </c>
    </row>
    <row r="657">
      <c r="A657" s="3" t="inlineStr">
        <is>
          <t>CC(C)(C)[Si](C)(C)Cl</t>
        </is>
      </c>
      <c r="B657" s="2" t="inlineStr">
        <is>
          <t>tert-butyldimethylsilyl chloride</t>
        </is>
      </c>
      <c r="C657" s="2" t="inlineStr">
        <is>
          <t>TBSCl</t>
        </is>
      </c>
      <c r="D657" s="2" t="inlineStr">
        <is>
          <t>protecting-group reagent</t>
        </is>
      </c>
      <c r="E657" s="2" t="inlineStr"/>
      <c r="F657" s="2" t="n"/>
      <c r="G657" s="2" t="n">
        <v>62</v>
      </c>
      <c r="H657" s="2" t="inlineStr">
        <is>
          <t>tert-Butyldimethylsilyl chloride (CID 28928)</t>
        </is>
      </c>
      <c r="I657" s="2" t="inlineStr">
        <is>
          <t>Silylates alcohols or phenols with imidazole in DMF (TBS ether); here likely silylates the phenol/acid.</t>
        </is>
      </c>
      <c r="J657" s="2" t="inlineStr">
        <is>
          <t>named and classified by a chemist agent; reviewed by an independent agent</t>
        </is>
      </c>
    </row>
    <row r="658">
      <c r="A658" s="3" t="inlineStr">
        <is>
          <t>CC(C)[SiH](C(C)C)C(C)C</t>
        </is>
      </c>
      <c r="B658" s="2" t="inlineStr">
        <is>
          <t>triisopropylsilane</t>
        </is>
      </c>
      <c r="C658" s="2" t="inlineStr">
        <is>
          <t>TIPS-H (TIS)</t>
        </is>
      </c>
      <c r="D658" s="2" t="inlineStr">
        <is>
          <t>additive</t>
        </is>
      </c>
      <c r="E658" s="2" t="inlineStr">
        <is>
          <t>reductant</t>
        </is>
      </c>
      <c r="F658" s="2" t="n"/>
      <c r="G658" s="2" t="n">
        <v>62</v>
      </c>
      <c r="H658" s="2" t="inlineStr">
        <is>
          <t>Silane, tris(1-methylethyl)- (CID 138754)</t>
        </is>
      </c>
      <c r="I658" s="2" t="inlineStr">
        <is>
          <t>Carbocation scavenger in TFA Boc deprotection; also a hydride donor.</t>
        </is>
      </c>
      <c r="J658" s="2" t="inlineStr">
        <is>
          <t>named and classified by a chemist agent; reviewed by an independent agent</t>
        </is>
      </c>
    </row>
    <row r="659">
      <c r="A659" s="3" t="inlineStr">
        <is>
          <t>CCCC(C)O</t>
        </is>
      </c>
      <c r="B659" s="2" t="inlineStr">
        <is>
          <t>2-pentanol</t>
        </is>
      </c>
      <c r="C659" s="2" t="inlineStr"/>
      <c r="D659" s="2" t="inlineStr">
        <is>
          <t>solvent</t>
        </is>
      </c>
      <c r="E659" s="2" t="inlineStr"/>
      <c r="F659" s="2" t="n"/>
      <c r="G659" s="2" t="n">
        <v>62</v>
      </c>
      <c r="H659" s="2" t="inlineStr">
        <is>
          <t>2-Pentanol (CID 22386)</t>
        </is>
      </c>
      <c r="I659" s="2" t="inlineStr">
        <is>
          <t>High-boiling alcohol solvent for acid-catalysed (TsOH) SNAr amination of a chloropyrimidine.</t>
        </is>
      </c>
      <c r="J659" s="2" t="inlineStr">
        <is>
          <t>named and classified by a chemist agent; reviewed by an independent agent</t>
        </is>
      </c>
    </row>
    <row r="660">
      <c r="A660" s="3" t="inlineStr">
        <is>
          <t>Nc1cccnc1</t>
        </is>
      </c>
      <c r="B660" s="2" t="inlineStr">
        <is>
          <t>3-aminopyridine</t>
        </is>
      </c>
      <c r="C660" s="2" t="inlineStr"/>
      <c r="D660" s="2" t="inlineStr">
        <is>
          <t>nucleophile</t>
        </is>
      </c>
      <c r="E660" s="2" t="inlineStr"/>
      <c r="F660" s="2" t="n"/>
      <c r="G660" s="2" t="n">
        <v>62</v>
      </c>
      <c r="H660" s="2" t="inlineStr">
        <is>
          <t>3-Aminopyridine (CID 10009)</t>
        </is>
      </c>
      <c r="I660" s="2" t="inlineStr">
        <is>
          <t>Heteroaryl amine; likely a recording artifact in this EDC amide coupling.</t>
        </is>
      </c>
      <c r="J660" s="2" t="inlineStr">
        <is>
          <t>named and classified by a chemist agent; reviewed by an independent agent</t>
        </is>
      </c>
    </row>
    <row r="661">
      <c r="A661" s="3" t="inlineStr">
        <is>
          <t>CN(C)CCO</t>
        </is>
      </c>
      <c r="B661" s="2" t="inlineStr">
        <is>
          <t>2-(dimethylamino)ethanol</t>
        </is>
      </c>
      <c r="C661" s="2" t="inlineStr">
        <is>
          <t>DMAE</t>
        </is>
      </c>
      <c r="D661" s="2" t="inlineStr">
        <is>
          <t>additive</t>
        </is>
      </c>
      <c r="E661" s="2" t="inlineStr">
        <is>
          <t>base</t>
        </is>
      </c>
      <c r="F661" s="2" t="n">
        <v>9.199999999999999</v>
      </c>
      <c r="G661" s="2" t="n">
        <v>62</v>
      </c>
      <c r="H661" s="2" t="inlineStr">
        <is>
          <t>2-(Dimethylamino)ethanol (CID 7902)</t>
        </is>
      </c>
      <c r="I661" s="2" t="inlineStr">
        <is>
          <t>Added after the BH3 amide reduction to break up the amine-borane complex; pKa in water.</t>
        </is>
      </c>
      <c r="J661" s="2" t="inlineStr">
        <is>
          <t>named and classified by a chemist agent; reviewed by an independent agent</t>
        </is>
      </c>
    </row>
    <row r="662">
      <c r="A662" s="3" t="inlineStr">
        <is>
          <t>CC1(C)C(=O)N(Br)C(=O)N1Br</t>
        </is>
      </c>
      <c r="B662" s="2" t="inlineStr">
        <is>
          <t>1,3-dibromo-5,5-dimethylhydantoin</t>
        </is>
      </c>
      <c r="C662" s="2" t="inlineStr">
        <is>
          <t>DBDMH</t>
        </is>
      </c>
      <c r="D662" s="2" t="inlineStr">
        <is>
          <t>oxidant</t>
        </is>
      </c>
      <c r="E662" s="2" t="inlineStr">
        <is>
          <t>halogenating agent</t>
        </is>
      </c>
      <c r="F662" s="2" t="n"/>
      <c r="G662" s="2" t="n">
        <v>62</v>
      </c>
      <c r="H662" s="2" t="inlineStr">
        <is>
          <t>1,3-Dibromo-5,5-dimethylhydantoin (CID 6479)</t>
        </is>
      </c>
      <c r="I662" s="2" t="inlineStr">
        <is>
          <t>Terminal oxidant with catalytic TEMPO; oxidizes the secondary alcohol to a ketone.</t>
        </is>
      </c>
      <c r="J662" s="2" t="inlineStr">
        <is>
          <t>named and classified by a chemist agent; reviewed by an independent agent</t>
        </is>
      </c>
    </row>
    <row r="663">
      <c r="A663" s="3" t="inlineStr">
        <is>
          <t>O=S(=O)([O-])c1cccc(P(c2cccc(S(=O)(=O)[O-])c2)c2cccc(S(=O)(=O)[O-])c2)c1</t>
        </is>
      </c>
      <c r="B663" s="2" t="inlineStr">
        <is>
          <t>triphenylphosphine-3,3',3''-trisulfonate</t>
        </is>
      </c>
      <c r="C663" s="2" t="inlineStr">
        <is>
          <t>TPPTS</t>
        </is>
      </c>
      <c r="D663" s="2" t="inlineStr">
        <is>
          <t>ligand</t>
        </is>
      </c>
      <c r="E663" s="2" t="inlineStr"/>
      <c r="F663" s="2" t="n"/>
      <c r="G663" s="2" t="n">
        <v>61</v>
      </c>
      <c r="H663" s="2" t="inlineStr">
        <is>
          <t>Tris(3-sulfonatophenyl) phosphine (CID 3675707)</t>
        </is>
      </c>
      <c r="I663" s="2" t="inlineStr">
        <is>
          <t>Water-soluble phosphine (trisodium salt) for aqueous-biphasic Pd catalysis; here a nitro reduction.</t>
        </is>
      </c>
      <c r="J663" s="2" t="inlineStr">
        <is>
          <t>named and classified by a chemist agent; reviewed by an independent agent</t>
        </is>
      </c>
    </row>
    <row r="664">
      <c r="A664" s="3" t="inlineStr">
        <is>
          <t>[Hg+2]</t>
        </is>
      </c>
      <c r="B664" s="2" t="inlineStr">
        <is>
          <t>mercury(II) ion</t>
        </is>
      </c>
      <c r="C664" s="2" t="inlineStr">
        <is>
          <t>Hg(OAc)2</t>
        </is>
      </c>
      <c r="D664" s="2" t="inlineStr">
        <is>
          <t>additive</t>
        </is>
      </c>
      <c r="E664" s="2" t="inlineStr"/>
      <c r="F664" s="2" t="n"/>
      <c r="G664" s="2" t="n">
        <v>61</v>
      </c>
      <c r="H664" s="2" t="inlineStr">
        <is>
          <t>Mercuric cation (CID 26623)</t>
        </is>
      </c>
      <c r="I664" s="2" t="inlineStr">
        <is>
          <t>Amalgamates zinc (Zn(Hg)) for the Clemmensen reduction of the ketone to CH2 in HCl.</t>
        </is>
      </c>
      <c r="J664" s="2" t="inlineStr">
        <is>
          <t>named and classified by a chemist agent; reviewed by an independent agent; corrected abbreviation (Acetate (CC(=O)[O-]) is the only counter-anion recorded with Hg2+; the chloride comes from the HCl. The amalgam is therefore made from mercury(II) acetate, so H)</t>
        </is>
      </c>
    </row>
    <row r="665">
      <c r="A665" s="3" t="inlineStr">
        <is>
          <t>[Cl][Pt-2]([Cl])([Cl])([Cl])([Cl])[Cl]</t>
        </is>
      </c>
      <c r="B665" s="2" t="inlineStr">
        <is>
          <t>hexachloroplatinate(IV)</t>
        </is>
      </c>
      <c r="C665" s="2" t="inlineStr">
        <is>
          <t>H2PtCl6 (Speier's catalyst)</t>
        </is>
      </c>
      <c r="D665" s="2" t="inlineStr">
        <is>
          <t>catalyst (metal)</t>
        </is>
      </c>
      <c r="E665" s="2" t="inlineStr"/>
      <c r="F665" s="2" t="n"/>
      <c r="G665" s="2" t="n">
        <v>61</v>
      </c>
      <c r="H665" s="2" t="inlineStr">
        <is>
          <t>Hexachloroplatinate(2-) (CID 61857)</t>
        </is>
      </c>
      <c r="I665" s="2" t="inlineStr">
        <is>
          <t>Hydrosilylation catalyst; adds trimethoxysilane across the terminal alkene (anti-Markovnikov).</t>
        </is>
      </c>
      <c r="J665" s="2" t="inlineStr">
        <is>
          <t>named and classified by a chemist agent; reviewed by an independent agent</t>
        </is>
      </c>
    </row>
    <row r="666">
      <c r="A666" s="3" t="inlineStr">
        <is>
          <t>CNC1CCCCC1NC</t>
        </is>
      </c>
      <c r="B666" s="2" t="inlineStr">
        <is>
          <t>N,N'-dimethylcyclohexane-1,2-diamine</t>
        </is>
      </c>
      <c r="C666" s="2" t="inlineStr">
        <is>
          <t>DMCHDA</t>
        </is>
      </c>
      <c r="D666" s="2" t="inlineStr">
        <is>
          <t>ligand</t>
        </is>
      </c>
      <c r="E666" s="2" t="inlineStr"/>
      <c r="F666" s="2" t="n"/>
      <c r="G666" s="2" t="n">
        <v>60</v>
      </c>
      <c r="H666" s="2" t="inlineStr">
        <is>
          <t>1-N,2-N-dimethylcyclohexane-1,2-diamine (CID 551074)</t>
        </is>
      </c>
      <c r="I666" s="2" t="inlineStr">
        <is>
          <t>Diamine ligand for CuI/K3PO4 Goldberg N-arylation of a lactam.</t>
        </is>
      </c>
      <c r="J666" s="2" t="inlineStr">
        <is>
          <t>named and classified by a chemist agent; reviewed by an independent agent</t>
        </is>
      </c>
    </row>
    <row r="667">
      <c r="A667" s="3" t="inlineStr">
        <is>
          <t>NCC1CC1</t>
        </is>
      </c>
      <c r="B667" s="2" t="inlineStr">
        <is>
          <t>cyclopropylmethylamine</t>
        </is>
      </c>
      <c r="C667" s="2" t="inlineStr"/>
      <c r="D667" s="2" t="inlineStr">
        <is>
          <t>nucleophile</t>
        </is>
      </c>
      <c r="E667" s="2" t="inlineStr"/>
      <c r="F667" s="2" t="n"/>
      <c r="G667" s="2" t="n">
        <v>60</v>
      </c>
      <c r="H667" s="2" t="inlineStr">
        <is>
          <t>Cyclopropanemethanamine (CID 75646)</t>
        </is>
      </c>
      <c r="I667" s="2" t="inlineStr">
        <is>
          <t>Primary amine that installs the N-cyclopropylmethyl enamine in the furanone.</t>
        </is>
      </c>
      <c r="J667" s="2" t="inlineStr">
        <is>
          <t>named and classified by a chemist agent; reviewed by an independent agent</t>
        </is>
      </c>
    </row>
    <row r="668">
      <c r="A668" s="3" t="inlineStr">
        <is>
          <t>O=C(O)C(O)C(O)C(=O)O</t>
        </is>
      </c>
      <c r="B668" s="2" t="inlineStr">
        <is>
          <t>tartaric acid</t>
        </is>
      </c>
      <c r="C668" s="2" t="inlineStr"/>
      <c r="D668" s="2" t="inlineStr">
        <is>
          <t>acid</t>
        </is>
      </c>
      <c r="E668" s="2" t="inlineStr">
        <is>
          <t>chiral resolving agent</t>
        </is>
      </c>
      <c r="F668" s="2" t="n"/>
      <c r="G668" s="2" t="n">
        <v>59</v>
      </c>
      <c r="H668" s="2" t="inlineStr">
        <is>
          <t>2,3-Dihydroxybutanedioic Acid (CID 875)</t>
        </is>
      </c>
      <c r="I668" s="2" t="inlineStr">
        <is>
          <t>Acidifies or forms salts after KOH ester hydrolysis; also used for resolution and as a chelating work-up agent.</t>
        </is>
      </c>
      <c r="J668" s="2" t="inlineStr">
        <is>
          <t>named and classified by a chemist agent; reviewed by an independent agent</t>
        </is>
      </c>
    </row>
    <row r="669">
      <c r="A669" s="3" t="inlineStr">
        <is>
          <t>CCCC[N+](CCCC)(CCCC)Cc1ccccc1</t>
        </is>
      </c>
      <c r="B669" s="2" t="inlineStr">
        <is>
          <t>benzyltributylammonium ion</t>
        </is>
      </c>
      <c r="C669" s="2" t="inlineStr">
        <is>
          <t>BnBu3N+ Cl-</t>
        </is>
      </c>
      <c r="D669" s="2" t="inlineStr">
        <is>
          <t>phase-transfer catalyst</t>
        </is>
      </c>
      <c r="E669" s="2" t="inlineStr"/>
      <c r="F669" s="2" t="n"/>
      <c r="G669" s="2" t="n">
        <v>59</v>
      </c>
      <c r="H669" s="2" t="inlineStr"/>
      <c r="I669" s="2" t="inlineStr">
        <is>
          <t>Quaternary ammonium PTC for NaOH-mediated O-alkylation of a phenol with dibromoethane.</t>
        </is>
      </c>
      <c r="J669" s="2" t="inlineStr">
        <is>
          <t>named and classified by a chemist agent; reviewed by an independent agent; PubChem's title for this SMILES was wrong (Benzyltributylammonium bromide (CID 124611)): SMILES is the bare cation; PubChem returned the bromide salt.</t>
        </is>
      </c>
    </row>
    <row r="670">
      <c r="A670" s="3" t="inlineStr">
        <is>
          <t>COS(=O)(=O)c1ccc(C)cc1</t>
        </is>
      </c>
      <c r="B670" s="2" t="inlineStr">
        <is>
          <t>methyl p-toluenesulfonate</t>
        </is>
      </c>
      <c r="C670" s="2" t="inlineStr">
        <is>
          <t>MeOTs</t>
        </is>
      </c>
      <c r="D670" s="2" t="inlineStr">
        <is>
          <t>electrophile / alkylating agent</t>
        </is>
      </c>
      <c r="E670" s="2" t="inlineStr"/>
      <c r="F670" s="2" t="n"/>
      <c r="G670" s="2" t="n">
        <v>59</v>
      </c>
      <c r="H670" s="2" t="inlineStr">
        <is>
          <t>Methyl p-toluenesulfonate (CID 6645)</t>
        </is>
      </c>
      <c r="I670" s="2" t="inlineStr">
        <is>
          <t>Methylating agent; likely a recording artifact in this Cbz protection.</t>
        </is>
      </c>
      <c r="J670" s="2" t="inlineStr">
        <is>
          <t>named and classified by a chemist agent; reviewed by an independent agent</t>
        </is>
      </c>
    </row>
    <row r="671">
      <c r="A671" s="3" t="inlineStr">
        <is>
          <t>CB1OC(c2ccccc2)(c2ccccc2)[C@@H]2CCCN12</t>
        </is>
      </c>
      <c r="B671" s="2" t="inlineStr">
        <is>
          <t>(S)-2-methyl-CBS-oxazaborolidine</t>
        </is>
      </c>
      <c r="C671" s="2" t="inlineStr">
        <is>
          <t>(S)-Me-CBS</t>
        </is>
      </c>
      <c r="D671" s="2" t="inlineStr">
        <is>
          <t>Lewis acid</t>
        </is>
      </c>
      <c r="E671" s="2" t="inlineStr">
        <is>
          <t>chiral catalyst (CBS reduction)</t>
        </is>
      </c>
      <c r="F671" s="2" t="n"/>
      <c r="G671" s="2" t="n">
        <v>59</v>
      </c>
      <c r="H671" s="2" t="inlineStr">
        <is>
          <t>(3aS)-1-methyl-3,3-diphenyl-hexahydropyrrolo(1,2-c)(1,3,2)oxazaborole (CID 2734713)</t>
        </is>
      </c>
      <c r="I671" s="2" t="inlineStr">
        <is>
          <t>With BH3 it reduces the prochiral ketone enantioselectively to the secondary alcohol.</t>
        </is>
      </c>
      <c r="J671" s="2" t="inlineStr">
        <is>
          <t>named and classified by a chemist agent; reviewed by an independent agent</t>
        </is>
      </c>
    </row>
    <row r="672">
      <c r="A672" s="3" t="inlineStr">
        <is>
          <t>O=[Si]([O-])[O-]</t>
        </is>
      </c>
      <c r="B672" s="2" t="inlineStr">
        <is>
          <t>metasilicate ion</t>
        </is>
      </c>
      <c r="C672" s="2" t="inlineStr"/>
      <c r="D672" s="2" t="inlineStr">
        <is>
          <t>other</t>
        </is>
      </c>
      <c r="E672" s="2" t="inlineStr">
        <is>
          <t>catalyst support</t>
        </is>
      </c>
      <c r="F672" s="2" t="n"/>
      <c r="G672" s="2" t="n">
        <v>58</v>
      </c>
      <c r="H672" s="2" t="inlineStr">
        <is>
          <t>Silicate (SiO32-) (CID 115035)</t>
        </is>
      </c>
      <c r="I672" s="2" t="inlineStr">
        <is>
          <t>From magnesium silicate used as a support or filter aid in Pd/H2 nitro reduction.</t>
        </is>
      </c>
      <c r="J672" s="2" t="inlineStr">
        <is>
          <t>named and classified by a chemist agent; reviewed by an independent agent</t>
        </is>
      </c>
    </row>
    <row r="673">
      <c r="A673" s="3" t="inlineStr">
        <is>
          <t>CCOC(=O)CC(=O)OCC</t>
        </is>
      </c>
      <c r="B673" s="2" t="inlineStr">
        <is>
          <t>diethyl malonate</t>
        </is>
      </c>
      <c r="C673" s="2" t="inlineStr"/>
      <c r="D673" s="2" t="inlineStr">
        <is>
          <t>electrophile / alkylating agent</t>
        </is>
      </c>
      <c r="E673" s="2" t="inlineStr">
        <is>
          <t>nucleophile</t>
        </is>
      </c>
      <c r="F673" s="2" t="n"/>
      <c r="G673" s="2" t="n">
        <v>58</v>
      </c>
      <c r="H673" s="2" t="inlineStr">
        <is>
          <t>Diethyl Malonate (CID 7761)</t>
        </is>
      </c>
      <c r="I673" s="2" t="inlineStr">
        <is>
          <t>Acylates the hydrazinopyridazine and cyclizes to the triazolopyridazine-3-acetate; elsewhere a malonic ester nucleophile.</t>
        </is>
      </c>
      <c r="J673" s="2" t="inlineStr">
        <is>
          <t>named and classified by a chemist agent; reviewed by an independent agent</t>
        </is>
      </c>
    </row>
    <row r="674">
      <c r="A674" s="3" t="inlineStr">
        <is>
          <t>CC(C)(C)OC(=O)N1CCC(c2nc3c(oc4ccc(Br)cc43)c(=O)[nH]2)CC1</t>
        </is>
      </c>
      <c r="B674" s="2" t="inlineStr">
        <is>
          <t>tert-butyl 4-(8-bromo-4-oxo-3,4-dihydrobenzofuro[3,2-d]pyrimidin-2-yl)piperidine-1-carboxylate</t>
        </is>
      </c>
      <c r="C674" s="2" t="inlineStr"/>
      <c r="D674" s="2" t="inlineStr">
        <is>
          <t>other</t>
        </is>
      </c>
      <c r="E674" s="2" t="inlineStr"/>
      <c r="F674" s="2" t="n"/>
      <c r="G674" s="2" t="n">
        <v>58</v>
      </c>
      <c r="H674" s="2" t="inlineStr">
        <is>
          <t>1,1-Dimethylethyl 4-(8-bromo-4-oxo-3,4-dihydrobenzofuro[3,2-d]pyrimidin-2-yl)piperidine-1-carboxylate (CID 136189866)</t>
        </is>
      </c>
      <c r="I674" s="2" t="inlineStr">
        <is>
          <t>Boc-protected substrate analog recorded among the agents of a Boc deprotection.</t>
        </is>
      </c>
      <c r="J674" s="2" t="inlineStr">
        <is>
          <t>named and classified by a chemist agent; reviewed by an independent agent</t>
        </is>
      </c>
    </row>
    <row r="675">
      <c r="A675" s="3" t="inlineStr">
        <is>
          <t>CCCBr</t>
        </is>
      </c>
      <c r="B675" s="2" t="inlineStr">
        <is>
          <t>1-bromopropane</t>
        </is>
      </c>
      <c r="C675" s="2" t="inlineStr">
        <is>
          <t>n-PrBr</t>
        </is>
      </c>
      <c r="D675" s="2" t="inlineStr">
        <is>
          <t>electrophile / alkylating agent</t>
        </is>
      </c>
      <c r="E675" s="2" t="inlineStr"/>
      <c r="F675" s="2" t="n"/>
      <c r="G675" s="2" t="n">
        <v>58</v>
      </c>
      <c r="H675" s="2" t="inlineStr">
        <is>
          <t>1-Bromopropane (CID 7840)</t>
        </is>
      </c>
      <c r="I675" s="2" t="inlineStr">
        <is>
          <t>Alkyl halide for O- or N-propylation (the example uses the butyl analog).</t>
        </is>
      </c>
      <c r="J675" s="2" t="inlineStr">
        <is>
          <t>named and classified by a chemist agent; reviewed by an independent agent</t>
        </is>
      </c>
    </row>
    <row r="676">
      <c r="A676" s="3" t="inlineStr">
        <is>
          <t>Nc1ccccn1</t>
        </is>
      </c>
      <c r="B676" s="2" t="inlineStr">
        <is>
          <t>2-aminopyridine</t>
        </is>
      </c>
      <c r="C676" s="2" t="inlineStr"/>
      <c r="D676" s="2" t="inlineStr">
        <is>
          <t>nucleophile</t>
        </is>
      </c>
      <c r="E676" s="2" t="inlineStr"/>
      <c r="F676" s="2" t="n"/>
      <c r="G676" s="2" t="n">
        <v>58</v>
      </c>
      <c r="H676" s="2" t="inlineStr">
        <is>
          <t>2-Aminopyridine (CID 10439)</t>
        </is>
      </c>
      <c r="I676" s="2" t="inlineStr">
        <is>
          <t>Heteroaryl amine; likely a recording artifact in this DIPEA-mediated SNAr amination.</t>
        </is>
      </c>
      <c r="J676" s="2" t="inlineStr">
        <is>
          <t>named and classified by a chemist agent; reviewed by an independent agent</t>
        </is>
      </c>
    </row>
    <row r="677">
      <c r="A677" s="3" t="inlineStr">
        <is>
          <t>[O-]O</t>
        </is>
      </c>
      <c r="B677" s="2" t="inlineStr">
        <is>
          <t>hydroperoxide ion</t>
        </is>
      </c>
      <c r="C677" s="2" t="inlineStr">
        <is>
          <t>HOO-</t>
        </is>
      </c>
      <c r="D677" s="2" t="inlineStr">
        <is>
          <t>oxidant</t>
        </is>
      </c>
      <c r="E677" s="2" t="inlineStr"/>
      <c r="F677" s="2" t="n"/>
      <c r="G677" s="2" t="n">
        <v>58</v>
      </c>
      <c r="H677" s="2" t="inlineStr"/>
      <c r="I677" s="2" t="inlineStr">
        <is>
          <t>Basic H2O2 nucleophilic oxidant (enone epoxidation, borane oxidation); here an oxygenation of a terpene diene.</t>
        </is>
      </c>
      <c r="J677" s="2" t="inlineStr">
        <is>
          <t>named and classified by a chemist agent; reviewed by an independent agent; PubChem's title for this SMILES was wrong (Perhydroxyl radical (CID 18500)): [O-]O is the closed-shell HO2- anion, not the neutral perhydroxyl radical.</t>
        </is>
      </c>
    </row>
    <row r="678">
      <c r="A678" s="3" t="inlineStr">
        <is>
          <t>ClCI</t>
        </is>
      </c>
      <c r="B678" s="2" t="inlineStr">
        <is>
          <t>chloroiodomethane</t>
        </is>
      </c>
      <c r="C678" s="2" t="inlineStr">
        <is>
          <t>ICH2Cl</t>
        </is>
      </c>
      <c r="D678" s="2" t="inlineStr">
        <is>
          <t>electrophile / alkylating agent</t>
        </is>
      </c>
      <c r="E678" s="2" t="inlineStr">
        <is>
          <t>carbenoid precursor (Simmons-Smith)</t>
        </is>
      </c>
      <c r="F678" s="2" t="n"/>
      <c r="G678" s="2" t="n">
        <v>58</v>
      </c>
      <c r="H678" s="2" t="inlineStr">
        <is>
          <t>Chloroiodomethane (CID 11644)</t>
        </is>
      </c>
      <c r="I678" s="2" t="inlineStr">
        <is>
          <t>With Et2Zn it forms a zinc carbenoid that cyclopropanates the vinyl ether.</t>
        </is>
      </c>
      <c r="J678" s="2" t="inlineStr">
        <is>
          <t>named and classified by a chemist agent; reviewed by an independent agent</t>
        </is>
      </c>
    </row>
    <row r="679">
      <c r="A679" s="3" t="inlineStr">
        <is>
          <t>CC(C)(C)OC(=O)N1CCNCC1</t>
        </is>
      </c>
      <c r="B679" s="2" t="inlineStr">
        <is>
          <t>1-Boc-piperazine</t>
        </is>
      </c>
      <c r="C679" s="2" t="inlineStr"/>
      <c r="D679" s="2" t="inlineStr">
        <is>
          <t>nucleophile</t>
        </is>
      </c>
      <c r="E679" s="2" t="inlineStr"/>
      <c r="F679" s="2" t="n"/>
      <c r="G679" s="2" t="n">
        <v>57</v>
      </c>
      <c r="H679" s="2" t="inlineStr">
        <is>
          <t>tert-Butyl piperazine-1-carboxylate (CID 143452)</t>
        </is>
      </c>
      <c r="I679" s="2" t="inlineStr">
        <is>
          <t>Mono-protected piperazine amine; here related to the urea substrate being Boc-deprotected.</t>
        </is>
      </c>
      <c r="J679" s="2" t="inlineStr">
        <is>
          <t>named and classified by a chemist agent; reviewed by an independent agent</t>
        </is>
      </c>
    </row>
    <row r="680">
      <c r="A680" s="3" t="inlineStr">
        <is>
          <t>CCN=C=NCCCN(CC)CC</t>
        </is>
      </c>
      <c r="B680" s="2" t="inlineStr">
        <is>
          <t>1-[3-(diethylamino)propyl]-3-ethylcarbodiimide (EDC analog)</t>
        </is>
      </c>
      <c r="C680" s="2" t="inlineStr">
        <is>
          <t>EDC (likely mis-drawn)</t>
        </is>
      </c>
      <c r="D680" s="2" t="inlineStr">
        <is>
          <t>coupling reagent (activates an acid)</t>
        </is>
      </c>
      <c r="E680" s="2" t="inlineStr"/>
      <c r="F680" s="2" t="n"/>
      <c r="G680" s="2" t="n">
        <v>57</v>
      </c>
      <c r="H680" s="2" t="inlineStr">
        <is>
          <t>1-Ethyl-3-(3-diethylaminopropyl)carbodiimide (CID 9964513)</t>
        </is>
      </c>
      <c r="I680" s="2" t="inlineStr">
        <is>
          <t>Carbodiimide used with HOBt for amide coupling; probably EDC with diethyl drawn in place of dimethyl.</t>
        </is>
      </c>
      <c r="J680" s="2" t="inlineStr">
        <is>
          <t>named and classified by a chemist agent; reviewed by an independent agent</t>
        </is>
      </c>
    </row>
    <row r="681">
      <c r="A681" s="3" t="inlineStr">
        <is>
          <t>CN(C)C(On1nnc2ccc(Cl)cc21)=[N+](C)C</t>
        </is>
      </c>
      <c r="B681" s="2" t="inlineStr">
        <is>
          <t>O-(6-chlorobenzotriazol-1-yl)-N,N,N',N'-tetramethyluronium</t>
        </is>
      </c>
      <c r="C681" s="2" t="inlineStr">
        <is>
          <t>HCTU (TCTU)</t>
        </is>
      </c>
      <c r="D681" s="2" t="inlineStr">
        <is>
          <t>coupling reagent (activates an acid)</t>
        </is>
      </c>
      <c r="E681" s="2" t="inlineStr"/>
      <c r="F681" s="2" t="n"/>
      <c r="G681" s="2" t="n">
        <v>57</v>
      </c>
      <c r="H681" s="2" t="inlineStr">
        <is>
          <t>[(6-Chlorobenzotriazol-1-yl)oxy-(dimethylamino)methylene]-dimethyl-ammonium (CID 16211085)</t>
        </is>
      </c>
      <c r="I681" s="2" t="inlineStr">
        <is>
          <t>Uronium coupling reagent (PF6- or BF4- salt) used with DIPEA for amide formation.</t>
        </is>
      </c>
      <c r="J681" s="2" t="inlineStr">
        <is>
          <t>named and classified by a chemist agent; reviewed by an independent agent</t>
        </is>
      </c>
    </row>
    <row r="682">
      <c r="A682" s="3" t="inlineStr">
        <is>
          <t>O=C([O-])C(=O)[O-]</t>
        </is>
      </c>
      <c r="B682" s="2" t="inlineStr">
        <is>
          <t>oxalate ion</t>
        </is>
      </c>
      <c r="C682" s="2" t="inlineStr"/>
      <c r="D682" s="2" t="inlineStr">
        <is>
          <t>counter-ion / spectator ion</t>
        </is>
      </c>
      <c r="E682" s="2" t="inlineStr"/>
      <c r="F682" s="2" t="n"/>
      <c r="G682" s="2" t="n">
        <v>57</v>
      </c>
      <c r="H682" s="2" t="inlineStr">
        <is>
          <t>Oxalate (CID 71081)</t>
        </is>
      </c>
      <c r="I682" s="2" t="inlineStr">
        <is>
          <t>Counter-ion of an amine oxalate salt used as the coupling partner.</t>
        </is>
      </c>
      <c r="J682" s="2" t="inlineStr">
        <is>
          <t>named and classified by a chemist agent; reviewed by an independent agent</t>
        </is>
      </c>
    </row>
    <row r="683">
      <c r="A683" s="3" t="inlineStr">
        <is>
          <t>O=C=Nc1ccccc1</t>
        </is>
      </c>
      <c r="B683" s="2" t="inlineStr">
        <is>
          <t>phenyl isocyanate</t>
        </is>
      </c>
      <c r="C683" s="2" t="inlineStr">
        <is>
          <t>PhNCO</t>
        </is>
      </c>
      <c r="D683" s="2" t="inlineStr">
        <is>
          <t>electrophile / alkylating agent</t>
        </is>
      </c>
      <c r="E683" s="2" t="inlineStr">
        <is>
          <t>amine scavenger</t>
        </is>
      </c>
      <c r="F683" s="2" t="n"/>
      <c r="G683" s="2" t="n">
        <v>57</v>
      </c>
      <c r="H683" s="2" t="inlineStr">
        <is>
          <t>Phenyl isocyanate (CID 7672)</t>
        </is>
      </c>
      <c r="I683" s="2" t="inlineStr">
        <is>
          <t>Forms ureas or carbamates; here it scavenges excess amine after NaBH3CN reductive amination.</t>
        </is>
      </c>
      <c r="J683" s="2" t="inlineStr">
        <is>
          <t>named and classified by a chemist agent; reviewed by an independent agent</t>
        </is>
      </c>
    </row>
    <row r="684">
      <c r="A684" s="3" t="inlineStr">
        <is>
          <t>CC(C)c1cc(C(C)C)c(-c2cccc(P(C3CCCCC3)C3CCCCC3)c2)c(C(C)C)c1</t>
        </is>
      </c>
      <c r="B684" s="2" t="inlineStr">
        <is>
          <t>dicyclohexyl(2',4',6'-triisopropylbiphenyl-3-yl)phosphine</t>
        </is>
      </c>
      <c r="C684" s="2" t="inlineStr">
        <is>
          <t>XPhos</t>
        </is>
      </c>
      <c r="D684" s="2" t="inlineStr">
        <is>
          <t>ligand</t>
        </is>
      </c>
      <c r="E684" s="2" t="inlineStr"/>
      <c r="F684" s="2" t="n"/>
      <c r="G684" s="2" t="n">
        <v>57</v>
      </c>
      <c r="H684" s="2" t="inlineStr">
        <is>
          <t>Phosphine, dicyclohexyl(2',4',6'-tris(1-methylethyl)(1,1'-biphenyl)-3-yl)- (CID 71309965)</t>
        </is>
      </c>
      <c r="I684" s="2" t="inlineStr">
        <is>
          <t>Buchwald biaryl phosphine for Pd Suzuki coupling; correct XPhos has PCy2 ortho to the biaryl bond.</t>
        </is>
      </c>
      <c r="J684" s="2" t="inlineStr">
        <is>
          <t>named and classified by a chemist agent; reviewed by an independent agent; name corrected after comparing with PubChem (was: XPhos (drawn as the meta-phosphino isomer))</t>
        </is>
      </c>
    </row>
    <row r="685">
      <c r="A685" s="3" t="inlineStr">
        <is>
          <t>CN[C@H]1CCCC[C@@H]1NC</t>
        </is>
      </c>
      <c r="B685" s="2" t="inlineStr">
        <is>
          <t>(1S,2S)-N,N'-dimethylcyclohexane-1,2-diamine</t>
        </is>
      </c>
      <c r="C685" s="2" t="inlineStr">
        <is>
          <t>DMCHDA</t>
        </is>
      </c>
      <c r="D685" s="2" t="inlineStr">
        <is>
          <t>ligand</t>
        </is>
      </c>
      <c r="E685" s="2" t="inlineStr"/>
      <c r="F685" s="2" t="n"/>
      <c r="G685" s="2" t="n">
        <v>57</v>
      </c>
      <c r="H685" s="2" t="inlineStr">
        <is>
          <t>(1S,2S)-(+)-N,N'-Dimethylcyclohexane-1,2-diamine (CID 13822957)</t>
        </is>
      </c>
      <c r="I685" s="2" t="inlineStr">
        <is>
          <t>Diamine ligand for CuI/carbonate Goldberg N-arylation of pyrrolidinone with an aryl bromide.</t>
        </is>
      </c>
      <c r="J685" s="2" t="inlineStr">
        <is>
          <t>named and classified by a chemist agent; reviewed by an independent agent</t>
        </is>
      </c>
    </row>
    <row r="686">
      <c r="A686" s="3" t="inlineStr">
        <is>
          <t>O=C1NC(=O)c2ccccc21</t>
        </is>
      </c>
      <c r="B686" s="2" t="inlineStr">
        <is>
          <t>phthalimide</t>
        </is>
      </c>
      <c r="C686" s="2" t="inlineStr"/>
      <c r="D686" s="2" t="inlineStr">
        <is>
          <t>nucleophile</t>
        </is>
      </c>
      <c r="E686" s="2" t="inlineStr"/>
      <c r="F686" s="2" t="n"/>
      <c r="G686" s="2" t="n">
        <v>56</v>
      </c>
      <c r="H686" s="2" t="inlineStr">
        <is>
          <t>Phthalimide (CID 6809)</t>
        </is>
      </c>
      <c r="I686" s="2" t="inlineStr">
        <is>
          <t>Gabriel N-nucleophile (as K salt); likely an artifact in this Ni nitro reduction of an N-aryl phthalimide.</t>
        </is>
      </c>
      <c r="J686" s="2" t="inlineStr">
        <is>
          <t>named and classified by a chemist agent; reviewed by an independent agent</t>
        </is>
      </c>
    </row>
    <row r="687">
      <c r="A687" s="3" t="inlineStr">
        <is>
          <t>CCl</t>
        </is>
      </c>
      <c r="B687" s="2" t="inlineStr">
        <is>
          <t>chloromethane</t>
        </is>
      </c>
      <c r="C687" s="2" t="inlineStr">
        <is>
          <t>MeCl</t>
        </is>
      </c>
      <c r="D687" s="2" t="inlineStr">
        <is>
          <t>electrophile / alkylating agent</t>
        </is>
      </c>
      <c r="E687" s="2" t="inlineStr"/>
      <c r="F687" s="2" t="n"/>
      <c r="G687" s="2" t="n">
        <v>56</v>
      </c>
      <c r="H687" s="2" t="inlineStr">
        <is>
          <t>Methyl Chloride (CID 6327)</t>
        </is>
      </c>
      <c r="I687" s="2" t="inlineStr">
        <is>
          <t>Methylating gas; probably a recording artifact here (methyl ester formation recorded as MeCl).</t>
        </is>
      </c>
      <c r="J687" s="2" t="inlineStr">
        <is>
          <t>named and classified by a chemist agent; reviewed by an independent agent</t>
        </is>
      </c>
    </row>
    <row r="688">
      <c r="A688" s="3" t="inlineStr">
        <is>
          <t>CC(C)(C)[Si](C)(C)OS(=O)(=O)C(F)(F)F</t>
        </is>
      </c>
      <c r="B688" s="2" t="inlineStr">
        <is>
          <t>tert-butyldimethylsilyl trifluoromethanesulfonate</t>
        </is>
      </c>
      <c r="C688" s="2" t="inlineStr">
        <is>
          <t>TBSOTf</t>
        </is>
      </c>
      <c r="D688" s="2" t="inlineStr">
        <is>
          <t>deprotecting agent</t>
        </is>
      </c>
      <c r="E688" s="2" t="inlineStr">
        <is>
          <t>protecting-group reagent</t>
        </is>
      </c>
      <c r="F688" s="2" t="n"/>
      <c r="G688" s="2" t="n">
        <v>56</v>
      </c>
      <c r="H688" s="2" t="inlineStr">
        <is>
          <t>tert-Butyldimethylsilyl trifluoromethanesulphonate (CID 123564)</t>
        </is>
      </c>
      <c r="I688" s="2" t="inlineStr">
        <is>
          <t>With 2,6-lutidine it removes the Boc group under mild conditions (via a silyl carbamate); also a strong silylating agent.</t>
        </is>
      </c>
      <c r="J688" s="2" t="inlineStr">
        <is>
          <t>named and classified by a chemist agent; reviewed by an independent agent</t>
        </is>
      </c>
    </row>
    <row r="689">
      <c r="A689" s="3" t="inlineStr">
        <is>
          <t>CN(C)C(ON1C(=O)CCC1=O)=[N+](C)C</t>
        </is>
      </c>
      <c r="B689" s="2" t="inlineStr">
        <is>
          <t>O-(N-succinimidyl)-N,N,N',N'-tetramethyluronium</t>
        </is>
      </c>
      <c r="C689" s="2" t="inlineStr">
        <is>
          <t>TSTU</t>
        </is>
      </c>
      <c r="D689" s="2" t="inlineStr">
        <is>
          <t>coupling reagent (activates an acid)</t>
        </is>
      </c>
      <c r="E689" s="2" t="inlineStr"/>
      <c r="F689" s="2" t="n"/>
      <c r="G689" s="2" t="n">
        <v>56</v>
      </c>
      <c r="H689" s="2" t="inlineStr">
        <is>
          <t>[Dimethylamino-(2,5-dioxopyrrolidin-1-yl)oxymethylidene]-dimethylazanium (CID 4389974)</t>
        </is>
      </c>
      <c r="I689" s="2" t="inlineStr">
        <is>
          <t>Makes an NHS active ester in situ for amide formation with DIPEA (BF4- salt).</t>
        </is>
      </c>
      <c r="J689" s="2" t="inlineStr">
        <is>
          <t>named and classified by a chemist agent; reviewed by an independent agent</t>
        </is>
      </c>
    </row>
    <row r="690">
      <c r="A690" s="3" t="inlineStr">
        <is>
          <t>O=C1c2ccccc2C(=O)N1O</t>
        </is>
      </c>
      <c r="B690" s="2" t="inlineStr">
        <is>
          <t>N-hydroxyphthalimide</t>
        </is>
      </c>
      <c r="C690" s="2" t="inlineStr">
        <is>
          <t>NHPI</t>
        </is>
      </c>
      <c r="D690" s="2" t="inlineStr">
        <is>
          <t>additive</t>
        </is>
      </c>
      <c r="E690" s="2" t="inlineStr"/>
      <c r="F690" s="2" t="n"/>
      <c r="G690" s="2" t="n">
        <v>56</v>
      </c>
      <c r="H690" s="2" t="inlineStr">
        <is>
          <t>N-Hydroxyphthalimide (CID 10665)</t>
        </is>
      </c>
      <c r="I690" s="2" t="inlineStr">
        <is>
          <t>Active-ester additive with EDC for amide coupling; also used in radical oxidations.</t>
        </is>
      </c>
      <c r="J690" s="2" t="inlineStr">
        <is>
          <t>named and classified by a chemist agent; reviewed by an independent agent</t>
        </is>
      </c>
    </row>
    <row r="691">
      <c r="A691" s="3" t="inlineStr">
        <is>
          <t>c1ccc2[nH]ncc2c1</t>
        </is>
      </c>
      <c r="B691" s="2" t="inlineStr">
        <is>
          <t>1H-indazole</t>
        </is>
      </c>
      <c r="C691" s="2" t="inlineStr"/>
      <c r="D691" s="2" t="inlineStr">
        <is>
          <t>other</t>
        </is>
      </c>
      <c r="E691" s="2" t="inlineStr"/>
      <c r="F691" s="2" t="n"/>
      <c r="G691" s="2" t="n">
        <v>56</v>
      </c>
      <c r="H691" s="2" t="inlineStr">
        <is>
          <t>1H-Indazole (CID 9221)</t>
        </is>
      </c>
      <c r="I691" s="2" t="inlineStr">
        <is>
          <t>N-heterocycle related to the substrate; no reagent role in this Sonogashira coupling.</t>
        </is>
      </c>
      <c r="J691" s="2" t="inlineStr">
        <is>
          <t>named and classified by a chemist agent; reviewed by an independent agent</t>
        </is>
      </c>
    </row>
    <row r="692">
      <c r="A692" s="3" t="inlineStr">
        <is>
          <t>CCCCCCCCCCCC</t>
        </is>
      </c>
      <c r="B692" s="2" t="inlineStr">
        <is>
          <t>n-dodecane</t>
        </is>
      </c>
      <c r="C692" s="2" t="inlineStr"/>
      <c r="D692" s="2" t="inlineStr">
        <is>
          <t>solvent</t>
        </is>
      </c>
      <c r="E692" s="2" t="inlineStr">
        <is>
          <t>internal standard</t>
        </is>
      </c>
      <c r="F692" s="2" t="n"/>
      <c r="G692" s="2" t="n">
        <v>56</v>
      </c>
      <c r="H692" s="2" t="inlineStr">
        <is>
          <t>Dodecane (CID 8182)</t>
        </is>
      </c>
      <c r="I692" s="2" t="inlineStr">
        <is>
          <t>High-boiling alkane, often a GC internal standard in Pd amination.</t>
        </is>
      </c>
      <c r="J692" s="2" t="inlineStr">
        <is>
          <t>named and classified by a chemist agent; reviewed by an independent agent</t>
        </is>
      </c>
    </row>
    <row r="693">
      <c r="A693" s="3" t="inlineStr">
        <is>
          <t>CC(C)c1ccccc1</t>
        </is>
      </c>
      <c r="B693" s="2" t="inlineStr">
        <is>
          <t>cumene (isopropylbenzene)</t>
        </is>
      </c>
      <c r="C693" s="2" t="inlineStr"/>
      <c r="D693" s="2" t="inlineStr">
        <is>
          <t>solvent</t>
        </is>
      </c>
      <c r="E693" s="2" t="inlineStr"/>
      <c r="F693" s="2" t="n"/>
      <c r="G693" s="2" t="n">
        <v>56</v>
      </c>
      <c r="H693" s="2" t="inlineStr">
        <is>
          <t>Cumene (CID 7406)</t>
        </is>
      </c>
      <c r="I693" s="2" t="inlineStr">
        <is>
          <t>Aromatic solvent; here for sulfonylation of glycidol.</t>
        </is>
      </c>
      <c r="J693" s="2" t="inlineStr">
        <is>
          <t>named and classified by a chemist agent; reviewed by an independent agent</t>
        </is>
      </c>
    </row>
    <row r="694">
      <c r="A694" s="3" t="inlineStr">
        <is>
          <t>COS(=O)(=O)[O-]</t>
        </is>
      </c>
      <c r="B694" s="2" t="inlineStr">
        <is>
          <t>methyl sulfate ion</t>
        </is>
      </c>
      <c r="C694" s="2" t="inlineStr">
        <is>
          <t>MeOSO3-</t>
        </is>
      </c>
      <c r="D694" s="2" t="inlineStr">
        <is>
          <t>electrophile / alkylating agent</t>
        </is>
      </c>
      <c r="E694" s="2" t="inlineStr"/>
      <c r="F694" s="2" t="n"/>
      <c r="G694" s="2" t="n">
        <v>56</v>
      </c>
      <c r="H694" s="2" t="inlineStr">
        <is>
          <t>Methyl sulfate(1-) (CID 4694097)</t>
        </is>
      </c>
      <c r="I694" s="2" t="inlineStr">
        <is>
          <t>Probably dimethyl sulfate recorded as its ion; O-methylates the phenol with K2CO3.</t>
        </is>
      </c>
      <c r="J694" s="2" t="inlineStr">
        <is>
          <t>named and classified by a chemist agent; reviewed by an independent agent</t>
        </is>
      </c>
    </row>
    <row r="695">
      <c r="A695" s="3" t="inlineStr">
        <is>
          <t>CC(C)C[C@H]1CN(C(=O)[C@@H]2C[C@H]2c2ccccc2)[C@@H](CC(C)C)C(=O)N1</t>
        </is>
      </c>
      <c r="B695" s="2" t="inlineStr">
        <is>
          <t>3,6-diisobutyl-4-(2-phenylcyclopropanecarbonyl)piperazin-2-one</t>
        </is>
      </c>
      <c r="C695" s="2" t="inlineStr"/>
      <c r="D695" s="2" t="inlineStr">
        <is>
          <t>other</t>
        </is>
      </c>
      <c r="E695" s="2" t="inlineStr"/>
      <c r="F695" s="2" t="n"/>
      <c r="G695" s="2" t="n">
        <v>56</v>
      </c>
      <c r="H695" s="2" t="inlineStr">
        <is>
          <t>(3S,6S)-3,6-diisobutyl-4-[(1R,2R)-2-phenylcyclopropanecarbonyl]piperazin-2-one (CID 68158619)</t>
        </is>
      </c>
      <c r="I695" s="2" t="inlineStr">
        <is>
          <t>Product analog recorded among the agents of an amide coupling.</t>
        </is>
      </c>
      <c r="J695" s="2" t="inlineStr">
        <is>
          <t>named and classified by a chemist agent; reviewed by an independent agent</t>
        </is>
      </c>
    </row>
    <row r="696">
      <c r="A696" s="3" t="inlineStr">
        <is>
          <t>COC(=O)OC</t>
        </is>
      </c>
      <c r="B696" s="2" t="inlineStr">
        <is>
          <t>dimethyl carbonate</t>
        </is>
      </c>
      <c r="C696" s="2" t="inlineStr">
        <is>
          <t>DMC</t>
        </is>
      </c>
      <c r="D696" s="2" t="inlineStr">
        <is>
          <t>solvent</t>
        </is>
      </c>
      <c r="E696" s="2" t="inlineStr">
        <is>
          <t>methylating agent</t>
        </is>
      </c>
      <c r="F696" s="2" t="n"/>
      <c r="G696" s="2" t="n">
        <v>56</v>
      </c>
      <c r="H696" s="2" t="inlineStr">
        <is>
          <t>Dimethyl Carbonate (CID 12021)</t>
        </is>
      </c>
      <c r="I696" s="2" t="inlineStr">
        <is>
          <t>Green solvent for phenol acetylation; also a mild methylating or methoxycarbonylating agent.</t>
        </is>
      </c>
      <c r="J696" s="2" t="inlineStr">
        <is>
          <t>named and classified by a chemist agent; reviewed by an independent agent</t>
        </is>
      </c>
    </row>
    <row r="697">
      <c r="A697" s="3" t="inlineStr">
        <is>
          <t>C[S+](C)C</t>
        </is>
      </c>
      <c r="B697" s="2" t="inlineStr">
        <is>
          <t>trimethylsulfonium ion</t>
        </is>
      </c>
      <c r="C697" s="2" t="inlineStr">
        <is>
          <t>Me3S+ I-</t>
        </is>
      </c>
      <c r="D697" s="2" t="inlineStr">
        <is>
          <t>nucleophile (sulfur ylide precursor)</t>
        </is>
      </c>
      <c r="E697" s="2" t="inlineStr">
        <is>
          <t>ylide precursor (Corey-Chaykovsky)</t>
        </is>
      </c>
      <c r="F697" s="2" t="n"/>
      <c r="G697" s="2" t="n">
        <v>56</v>
      </c>
      <c r="H697" s="2" t="inlineStr">
        <is>
          <t>Trimethylsulfonium (CID 1147)</t>
        </is>
      </c>
      <c r="I697" s="2" t="inlineStr">
        <is>
          <t>With KOtBu it gives a sulfur ylide that C-methylates the nitroarene by vicarious nucleophilic substitution.</t>
        </is>
      </c>
      <c r="J697" s="2" t="inlineStr">
        <is>
          <t>named and classified by a chemist agent; reviewed by an independent agent; corrected role (In the KOtBu vicarious nucleophilic substitution described, Me3S+ is deprotonated to the ylide CH2=SMe2. That carbanion attacks the nitroarene as a nucleophile )</t>
        </is>
      </c>
    </row>
    <row r="698">
      <c r="A698" s="3" t="inlineStr">
        <is>
          <t>NC1(c2ccc(-c3c(-c4ccccc4)oc4ccc(F)cc4c3=O)cc2)CCC1</t>
        </is>
      </c>
      <c r="B698" s="2" t="inlineStr">
        <is>
          <t>3-[4-(1-aminocyclobutyl)phenyl]-6-fluoro-2-phenylchromen-4-one</t>
        </is>
      </c>
      <c r="C698" s="2" t="inlineStr"/>
      <c r="D698" s="2" t="inlineStr">
        <is>
          <t>other</t>
        </is>
      </c>
      <c r="E698" s="2" t="inlineStr"/>
      <c r="F698" s="2" t="n"/>
      <c r="G698" s="2" t="n">
        <v>55</v>
      </c>
      <c r="H698" s="2" t="inlineStr">
        <is>
          <t>3-[4-(1-Amino-cyclobutyl)-phenyl]-6-fluoro-2-phenyl-chromen-4-one (CID 51030598)</t>
        </is>
      </c>
      <c r="I698" s="2" t="inlineStr">
        <is>
          <t>Product analog recorded among the agents of a Boc deprotection.</t>
        </is>
      </c>
      <c r="J698" s="2" t="inlineStr">
        <is>
          <t>named and classified by a chemist agent; reviewed by an independent agent</t>
        </is>
      </c>
    </row>
    <row r="699">
      <c r="A699" s="3" t="inlineStr">
        <is>
          <t>O=P(Cl)(Oc1ccccc1)Oc1ccccc1</t>
        </is>
      </c>
      <c r="B699" s="2" t="inlineStr">
        <is>
          <t>diphenyl chlorophosphate</t>
        </is>
      </c>
      <c r="C699" s="2" t="inlineStr">
        <is>
          <t>DPCP ((PhO)2P(O)Cl)</t>
        </is>
      </c>
      <c r="D699" s="2" t="inlineStr">
        <is>
          <t>coupling reagent (activates an acid)</t>
        </is>
      </c>
      <c r="E699" s="2" t="inlineStr"/>
      <c r="F699" s="2" t="n"/>
      <c r="G699" s="2" t="n">
        <v>55</v>
      </c>
      <c r="H699" s="2" t="inlineStr">
        <is>
          <t>Diphenyl chlorophosphate (CID 75654)</t>
        </is>
      </c>
      <c r="I699" s="2" t="inlineStr">
        <is>
          <t>Forms a mixed carboxylic-phosphoric anhydride that acylates the amine.</t>
        </is>
      </c>
      <c r="J699" s="2" t="inlineStr">
        <is>
          <t>named and classified by a chemist agent; reviewed by an independent agent; corrected abbreviation (Dpp-Cl / DPPCl is the standard abbreviation for diphenylphosphinic chloride, Ph2P(O)Cl, another mixed-anhydride coupling reagent. Diphenyl chlorophosphate is DP)</t>
        </is>
      </c>
    </row>
    <row r="700">
      <c r="A700" s="3" t="inlineStr">
        <is>
          <t>CB(O)O</t>
        </is>
      </c>
      <c r="B700" s="2" t="inlineStr">
        <is>
          <t>methylboronic acid</t>
        </is>
      </c>
      <c r="C700" s="2" t="inlineStr">
        <is>
          <t>MeB(OH)2</t>
        </is>
      </c>
      <c r="D700" s="2" t="inlineStr">
        <is>
          <t>organometallic reagent</t>
        </is>
      </c>
      <c r="E700" s="2" t="inlineStr"/>
      <c r="F700" s="2" t="n"/>
      <c r="G700" s="2" t="n">
        <v>55</v>
      </c>
      <c r="H700" s="2" t="inlineStr">
        <is>
          <t>Methylboronic Acid (CID 139377)</t>
        </is>
      </c>
      <c r="I700" s="2" t="inlineStr">
        <is>
          <t>Suzuki methylation reagent; likely a recording artifact in this ester hydrolysis.</t>
        </is>
      </c>
      <c r="J700" s="2" t="inlineStr">
        <is>
          <t>named and classified by a chemist agent; reviewed by an independent agent</t>
        </is>
      </c>
    </row>
    <row r="701">
      <c r="A701" s="3" t="inlineStr">
        <is>
          <t>[PH4+]</t>
        </is>
      </c>
      <c r="B701" s="2" t="inlineStr">
        <is>
          <t>phosphonium ion</t>
        </is>
      </c>
      <c r="C701" s="2" t="inlineStr"/>
      <c r="D701" s="2" t="inlineStr">
        <is>
          <t>counter-ion / spectator ion</t>
        </is>
      </c>
      <c r="E701" s="2" t="inlineStr"/>
      <c r="F701" s="2" t="n"/>
      <c r="G701" s="2" t="n">
        <v>55</v>
      </c>
      <c r="H701" s="2" t="inlineStr">
        <is>
          <t>Phosphonium (CID 5460504)</t>
        </is>
      </c>
      <c r="I701" s="2" t="inlineStr">
        <is>
          <t>Artifact; probably a phosphonium coupling reagent (BOP/PyBOP-type, with PF6-) reduced to PH4+ during recording.</t>
        </is>
      </c>
      <c r="J701" s="2" t="inlineStr">
        <is>
          <t>named and classified by a chemist agent; reviewed by an independent agent</t>
        </is>
      </c>
    </row>
    <row r="702">
      <c r="A702" s="3" t="inlineStr">
        <is>
          <t>N#[C][Cu][C]#N</t>
        </is>
      </c>
      <c r="B702" s="2" t="inlineStr">
        <is>
          <t>dicyanocopper, Cu(CN)2 as drawn (recorded form of copper(I) cyanide, CuCN)</t>
        </is>
      </c>
      <c r="C702" s="2" t="inlineStr">
        <is>
          <t>CuCN</t>
        </is>
      </c>
      <c r="D702" s="2" t="inlineStr">
        <is>
          <t>nucleophile</t>
        </is>
      </c>
      <c r="E702" s="2" t="inlineStr"/>
      <c r="F702" s="2" t="n"/>
      <c r="G702" s="2" t="n">
        <v>55</v>
      </c>
      <c r="H702" s="2" t="inlineStr">
        <is>
          <t>Cupric cyanide (CID 61358)</t>
        </is>
      </c>
      <c r="I702" s="2" t="inlineStr">
        <is>
          <t>Cyanide source for Rosenmund-von Braun cyanation of aryl halides in DMF.</t>
        </is>
      </c>
      <c r="J702" s="2" t="inlineStr">
        <is>
          <t>named and classified by a chemist agent; reviewed by an independent agent; corrected name (The ligand count is wrong. The SMILES and formula (C2CuN2) have two cyanides on a neutral Cu, which would be copper(II) cyanide, whereas CuCN is CCuN. Dicyanocu)</t>
        </is>
      </c>
    </row>
    <row r="703">
      <c r="A703" s="3" t="inlineStr">
        <is>
          <t>O=C1CCC(=O)N1I</t>
        </is>
      </c>
      <c r="B703" s="2" t="inlineStr">
        <is>
          <t>N-iodosuccinimide</t>
        </is>
      </c>
      <c r="C703" s="2" t="inlineStr">
        <is>
          <t>NIS</t>
        </is>
      </c>
      <c r="D703" s="2" t="inlineStr">
        <is>
          <t>halogenating agent</t>
        </is>
      </c>
      <c r="E703" s="2" t="inlineStr">
        <is>
          <t>oxidant</t>
        </is>
      </c>
      <c r="F703" s="2" t="n"/>
      <c r="G703" s="2" t="n">
        <v>55</v>
      </c>
      <c r="H703" s="2" t="inlineStr">
        <is>
          <t>N-Iodosuccinimide (CID 120273)</t>
        </is>
      </c>
      <c r="I703" s="2" t="inlineStr">
        <is>
          <t>Electrophilic I+ source, often activated by TfOH.</t>
        </is>
      </c>
      <c r="J703" s="2" t="inlineStr">
        <is>
          <t>named and classified by a chemist agent; reviewed by an independent agent</t>
        </is>
      </c>
    </row>
    <row r="704">
      <c r="A704" s="3" t="inlineStr">
        <is>
          <t>CC(C)OB(OC(C)C)OC(C)C</t>
        </is>
      </c>
      <c r="B704" s="2" t="inlineStr">
        <is>
          <t>triisopropyl borate</t>
        </is>
      </c>
      <c r="C704" s="2" t="inlineStr">
        <is>
          <t>B(OiPr)3</t>
        </is>
      </c>
      <c r="D704" s="2" t="inlineStr">
        <is>
          <t>dehydrating / activating agent</t>
        </is>
      </c>
      <c r="E704" s="2" t="inlineStr">
        <is>
          <t>electrophile (borylation of ArLi)</t>
        </is>
      </c>
      <c r="F704" s="2" t="n"/>
      <c r="G704" s="2" t="n">
        <v>55</v>
      </c>
      <c r="H704" s="2" t="inlineStr">
        <is>
          <t>Triisopropyl borate (CID 21531)</t>
        </is>
      </c>
      <c r="I704" s="2" t="inlineStr">
        <is>
          <t>Water scavenger in Pabon-type curcuminoid synthesis (acac-B2O3 complex with n-BuNH2).</t>
        </is>
      </c>
      <c r="J704" s="2" t="inlineStr">
        <is>
          <t>named and classified by a chemist agent; reviewed by an independent agent</t>
        </is>
      </c>
    </row>
    <row r="705">
      <c r="A705" s="3" t="inlineStr">
        <is>
          <t>CCCCCCCCCCCC(=O)[O-]</t>
        </is>
      </c>
      <c r="B705" s="2" t="inlineStr">
        <is>
          <t>laurate (dodecanoate) ion</t>
        </is>
      </c>
      <c r="C705" s="2" t="inlineStr">
        <is>
          <t>DBTDL (part)</t>
        </is>
      </c>
      <c r="D705" s="2" t="inlineStr">
        <is>
          <t>counter-ion / spectator ion</t>
        </is>
      </c>
      <c r="E705" s="2" t="inlineStr"/>
      <c r="F705" s="2" t="n"/>
      <c r="G705" s="2" t="n">
        <v>55</v>
      </c>
      <c r="H705" s="2" t="inlineStr">
        <is>
          <t>Dodecanoate (CID 4149208)</t>
        </is>
      </c>
      <c r="I705" s="2" t="inlineStr">
        <is>
          <t>Ligand of dibutyltin dilaurate, the catalyst for carbamate formation from an isocyanate and an alcohol.</t>
        </is>
      </c>
      <c r="J705" s="2" t="inlineStr">
        <is>
          <t>named and classified by a chemist agent; reviewed by an independent agent</t>
        </is>
      </c>
    </row>
    <row r="706">
      <c r="A706" s="3" t="inlineStr">
        <is>
          <t>c1nc[nH]n1</t>
        </is>
      </c>
      <c r="B706" s="2" t="inlineStr">
        <is>
          <t>1,2,4-triazole</t>
        </is>
      </c>
      <c r="C706" s="2" t="inlineStr"/>
      <c r="D706" s="2" t="inlineStr">
        <is>
          <t>additive</t>
        </is>
      </c>
      <c r="E706" s="2" t="inlineStr">
        <is>
          <t>nucleophile</t>
        </is>
      </c>
      <c r="F706" s="2" t="n"/>
      <c r="G706" s="2" t="n">
        <v>55</v>
      </c>
      <c r="H706" s="2" t="inlineStr">
        <is>
          <t>1H-1,2,4-Triazole (CID 9257)</t>
        </is>
      </c>
      <c r="I706" s="2" t="inlineStr">
        <is>
          <t>Acyl-transfer catalyst or N-nucleophile; here linked to the triazolyl azetidine amine.</t>
        </is>
      </c>
      <c r="J706" s="2" t="inlineStr">
        <is>
          <t>named and classified by a chemist agent; reviewed by an independent agent</t>
        </is>
      </c>
    </row>
    <row r="707">
      <c r="A707" s="3" t="inlineStr">
        <is>
          <t>NC1CCCC1</t>
        </is>
      </c>
      <c r="B707" s="2" t="inlineStr">
        <is>
          <t>cyclopentylamine</t>
        </is>
      </c>
      <c r="C707" s="2" t="inlineStr"/>
      <c r="D707" s="2" t="inlineStr">
        <is>
          <t>nucleophile</t>
        </is>
      </c>
      <c r="E707" s="2" t="inlineStr"/>
      <c r="F707" s="2" t="n"/>
      <c r="G707" s="2" t="n">
        <v>55</v>
      </c>
      <c r="H707" s="2" t="inlineStr">
        <is>
          <t>Cyclopentylamine (CID 2906)</t>
        </is>
      </c>
      <c r="I707" s="2" t="inlineStr">
        <is>
          <t>Primary amine nucleophile for SNAr or amide formation; likely an artifact in this example.</t>
        </is>
      </c>
      <c r="J707" s="2" t="inlineStr">
        <is>
          <t>named and classified by a chemist agent; reviewed by an independent agent</t>
        </is>
      </c>
    </row>
    <row r="708">
      <c r="A708" s="3" t="inlineStr">
        <is>
          <t>C[CH2][Mg+]</t>
        </is>
      </c>
      <c r="B708" s="2" t="inlineStr">
        <is>
          <t>ethylmagnesium cation (ethylmagnesium bromide)</t>
        </is>
      </c>
      <c r="C708" s="2" t="inlineStr">
        <is>
          <t>EtMgBr</t>
        </is>
      </c>
      <c r="D708" s="2" t="inlineStr">
        <is>
          <t>base</t>
        </is>
      </c>
      <c r="E708" s="2" t="inlineStr">
        <is>
          <t>organometallic reagent</t>
        </is>
      </c>
      <c r="F708" s="2" t="n">
        <v>50</v>
      </c>
      <c r="G708" s="2" t="n">
        <v>55</v>
      </c>
      <c r="H708" s="2" t="inlineStr"/>
      <c r="I708" s="2" t="inlineStr">
        <is>
          <t>Deprotonates the aniline; the magnesium amide adds to the nitrile to give the N-aryl amidine; pKa is for ethane (est.).</t>
        </is>
      </c>
      <c r="J708" s="2" t="inlineStr">
        <is>
          <t>named and classified by a chemist agent; reviewed by an independent agent</t>
        </is>
      </c>
    </row>
    <row r="709">
      <c r="A709" s="3" t="inlineStr">
        <is>
          <t>[Au]</t>
        </is>
      </c>
      <c r="B709" s="2" t="inlineStr">
        <is>
          <t>gold (metal / nanoparticles)</t>
        </is>
      </c>
      <c r="C709" s="2" t="inlineStr">
        <is>
          <t>Au</t>
        </is>
      </c>
      <c r="D709" s="2" t="inlineStr">
        <is>
          <t>catalyst (metal)</t>
        </is>
      </c>
      <c r="E709" s="2" t="inlineStr"/>
      <c r="F709" s="2" t="n"/>
      <c r="G709" s="2" t="n">
        <v>54</v>
      </c>
      <c r="H709" s="2" t="inlineStr">
        <is>
          <t>Gold (CID 23985)</t>
        </is>
      </c>
      <c r="I709" s="2" t="inlineStr">
        <is>
          <t>Gold catalyst with NaBH4 and Ni(OAc)2 for nitro-to-amine reduction.</t>
        </is>
      </c>
      <c r="J709" s="2" t="inlineStr">
        <is>
          <t>named and classified by a chemist agent; reviewed by an independent agent</t>
        </is>
      </c>
    </row>
    <row r="710">
      <c r="A710" s="3" t="inlineStr">
        <is>
          <t>CC(C)CC(C)O</t>
        </is>
      </c>
      <c r="B710" s="2" t="inlineStr">
        <is>
          <t>4-methyl-2-pentanol</t>
        </is>
      </c>
      <c r="C710" s="2" t="inlineStr">
        <is>
          <t>MIBC</t>
        </is>
      </c>
      <c r="D710" s="2" t="inlineStr">
        <is>
          <t>solvent</t>
        </is>
      </c>
      <c r="E710" s="2" t="inlineStr"/>
      <c r="F710" s="2" t="n"/>
      <c r="G710" s="2" t="n">
        <v>54</v>
      </c>
      <c r="H710" s="2" t="inlineStr">
        <is>
          <t>4-Methyl-2-Pentanol (CID 7910)</t>
        </is>
      </c>
      <c r="I710" s="2" t="inlineStr">
        <is>
          <t>High-boiling alcohol solvent for TsOH-catalysed SNAr amination.</t>
        </is>
      </c>
      <c r="J710" s="2" t="inlineStr">
        <is>
          <t>named and classified by a chemist agent; reviewed by an independent agent</t>
        </is>
      </c>
    </row>
    <row r="711">
      <c r="A711" s="3" t="inlineStr">
        <is>
          <t>CC(C)(C)P(c1ccc2ccccc2c1-c1cccc2ccccc12)C(C)(C)C</t>
        </is>
      </c>
      <c r="B711" s="2" t="inlineStr">
        <is>
          <t>2-di-tert-butylphosphino-1,1'-binaphthyl</t>
        </is>
      </c>
      <c r="C711" s="2" t="inlineStr">
        <is>
          <t>TrixiePhos</t>
        </is>
      </c>
      <c r="D711" s="2" t="inlineStr">
        <is>
          <t>ligand</t>
        </is>
      </c>
      <c r="E711" s="2" t="inlineStr"/>
      <c r="F711" s="2" t="n"/>
      <c r="G711" s="2" t="n">
        <v>54</v>
      </c>
      <c r="H711" s="2" t="inlineStr">
        <is>
          <t>(1,1'-Binaphthalen)-2-yldi-tert-butylphosphine (CID 2734941)</t>
        </is>
      </c>
      <c r="I711" s="2" t="inlineStr">
        <is>
          <t>Bulky phosphine for Pd(OAc)2-catalysed C-O coupling of an alcohol with a chloropyridine.</t>
        </is>
      </c>
      <c r="J711" s="2" t="inlineStr">
        <is>
          <t>named and classified by a chemist agent; reviewed by an independent agent</t>
        </is>
      </c>
    </row>
    <row r="712">
      <c r="A712" s="3" t="inlineStr">
        <is>
          <t>CCC=O</t>
        </is>
      </c>
      <c r="B712" s="2" t="inlineStr">
        <is>
          <t>propanal (propionaldehyde)</t>
        </is>
      </c>
      <c r="C712" s="2" t="inlineStr"/>
      <c r="D712" s="2" t="inlineStr">
        <is>
          <t>electrophile / alkylating agent</t>
        </is>
      </c>
      <c r="E712" s="2" t="inlineStr"/>
      <c r="F712" s="2" t="n"/>
      <c r="G712" s="2" t="n">
        <v>54</v>
      </c>
      <c r="H712" s="2" t="inlineStr">
        <is>
          <t>Propanal (CID 527)</t>
        </is>
      </c>
      <c r="I712" s="2" t="inlineStr">
        <is>
          <t>Aldehyde for aldol or reductive amination; likely an artifact in this Claisen-Schmidt condensation.</t>
        </is>
      </c>
      <c r="J712" s="2" t="inlineStr">
        <is>
          <t>named and classified by a chemist agent; reviewed by an independent agent</t>
        </is>
      </c>
    </row>
    <row r="713">
      <c r="A713" s="3" t="inlineStr">
        <is>
          <t>CCC[CH2][Mg][Cl]</t>
        </is>
      </c>
      <c r="B713" s="2" t="inlineStr">
        <is>
          <t>n-butylmagnesium chloride</t>
        </is>
      </c>
      <c r="C713" s="2" t="inlineStr">
        <is>
          <t>n-BuMgCl</t>
        </is>
      </c>
      <c r="D713" s="2" t="inlineStr">
        <is>
          <t>organometallic reagent</t>
        </is>
      </c>
      <c r="E713" s="2" t="inlineStr"/>
      <c r="F713" s="2" t="n"/>
      <c r="G713" s="2" t="n">
        <v>54</v>
      </c>
      <c r="H713" s="2" t="inlineStr">
        <is>
          <t>Butylmagnesium chloride (CID 101837)</t>
        </is>
      </c>
      <c r="I713" s="2" t="inlineStr">
        <is>
          <t>With n-BuLi it forms Bu3MgLi, which does Br/Mg exchange on the dibromoarene before DMF formylation.</t>
        </is>
      </c>
      <c r="J713" s="2" t="inlineStr">
        <is>
          <t>named and classified by a chemist agent; reviewed by an independent agent</t>
        </is>
      </c>
    </row>
    <row r="714">
      <c r="A714" s="3" t="inlineStr">
        <is>
          <t>O=NOS(=O)(=O)O</t>
        </is>
      </c>
      <c r="B714" s="2" t="inlineStr">
        <is>
          <t>nitrosylsulfuric acid</t>
        </is>
      </c>
      <c r="C714" s="2" t="inlineStr">
        <is>
          <t>NOHSO4</t>
        </is>
      </c>
      <c r="D714" s="2" t="inlineStr">
        <is>
          <t>reactant (inorganic)</t>
        </is>
      </c>
      <c r="E714" s="2" t="inlineStr">
        <is>
          <t>nitrosating agent (diazotization)</t>
        </is>
      </c>
      <c r="F714" s="2" t="n"/>
      <c r="G714" s="2" t="n">
        <v>54</v>
      </c>
      <c r="H714" s="2" t="inlineStr">
        <is>
          <t>Nitrosylsulfuric acid (CID 82157)</t>
        </is>
      </c>
      <c r="I714" s="2" t="inlineStr">
        <is>
          <t>Diazotizes the weakly basic nitroaniline before iodide displacement.</t>
        </is>
      </c>
      <c r="J714" s="2" t="inlineStr">
        <is>
          <t>named and classified by a chemist agent; reviewed by an independent agent</t>
        </is>
      </c>
    </row>
    <row r="715">
      <c r="A715" s="3" t="inlineStr">
        <is>
          <t>COc1ccc(P2(=S)SP(=S)(c3ccc(OC)cc3)S2)cc1</t>
        </is>
      </c>
      <c r="B715" s="2" t="inlineStr">
        <is>
          <t>Lawesson's reagent</t>
        </is>
      </c>
      <c r="C715" s="2" t="inlineStr">
        <is>
          <t>LR</t>
        </is>
      </c>
      <c r="D715" s="2" t="inlineStr">
        <is>
          <t>other</t>
        </is>
      </c>
      <c r="E715" s="2" t="inlineStr">
        <is>
          <t>thionating agent</t>
        </is>
      </c>
      <c r="F715" s="2" t="n"/>
      <c r="G715" s="2" t="n">
        <v>54</v>
      </c>
      <c r="H715" s="2" t="inlineStr">
        <is>
          <t>Lawesson's reagent (CID 87949)</t>
        </is>
      </c>
      <c r="I715" s="2" t="inlineStr">
        <is>
          <t>Converts the lactam C=O to C=S (thiolactam) in pyridine.</t>
        </is>
      </c>
      <c r="J715" s="2" t="inlineStr">
        <is>
          <t>named and classified by a chemist agent; reviewed by an independent agent</t>
        </is>
      </c>
    </row>
    <row r="716">
      <c r="A716" s="3" t="inlineStr">
        <is>
          <t>CN(C)C(On1ccccc1=O)=[N+](C)C</t>
        </is>
      </c>
      <c r="B716" s="2" t="inlineStr">
        <is>
          <t>O-(2-oxo-1(2H)-pyridyl)-N,N,N',N'-tetramethyluronium</t>
        </is>
      </c>
      <c r="C716" s="2" t="inlineStr">
        <is>
          <t>TPTU</t>
        </is>
      </c>
      <c r="D716" s="2" t="inlineStr">
        <is>
          <t>coupling reagent (activates an acid)</t>
        </is>
      </c>
      <c r="E716" s="2" t="inlineStr"/>
      <c r="F716" s="2" t="n"/>
      <c r="G716" s="2" t="n">
        <v>53</v>
      </c>
      <c r="H716" s="2" t="inlineStr"/>
      <c r="I716" s="2" t="inlineStr">
        <is>
          <t>Uronium coupling reagent (BF4- salt) with DIPEA/HOBt for amide formation.</t>
        </is>
      </c>
      <c r="J716" s="2" t="inlineStr">
        <is>
          <t>named and classified by a chemist agent; reviewed by an independent agent; PubChem's title for this SMILES was wrong (2-(2-Pyridon-1yl)-1,1,3,3-tetramethyluronium tetrafluoroborate (CID 2733205)): SMILES is the cation only; PubChem returned the tetrafluoroborate salt.</t>
        </is>
      </c>
    </row>
    <row r="717">
      <c r="A717" s="3" t="inlineStr">
        <is>
          <t>c1ccc(-c2ccccc2CN2CCN(c3ccccc3)CC2)cc1</t>
        </is>
      </c>
      <c r="B717" s="2" t="inlineStr">
        <is>
          <t>1-(biphenyl-2-ylmethyl)-4-phenylpiperazine</t>
        </is>
      </c>
      <c r="C717" s="2" t="inlineStr"/>
      <c r="D717" s="2" t="inlineStr">
        <is>
          <t>other</t>
        </is>
      </c>
      <c r="E717" s="2" t="inlineStr"/>
      <c r="F717" s="2" t="n"/>
      <c r="G717" s="2" t="n">
        <v>53</v>
      </c>
      <c r="H717" s="2" t="inlineStr">
        <is>
          <t>1-(Biphenyl-2-ylmethyl)-4-phenylpiperazine (CID 71602523)</t>
        </is>
      </c>
      <c r="I717" s="2" t="inlineStr">
        <is>
          <t>Product analog recorded among the agents of a reductive amination.</t>
        </is>
      </c>
      <c r="J717" s="2" t="inlineStr">
        <is>
          <t>named and classified by a chemist agent; reviewed by an independent agent</t>
        </is>
      </c>
    </row>
    <row r="718">
      <c r="A718" s="3" t="inlineStr">
        <is>
          <t>ClCc1ccccc1</t>
        </is>
      </c>
      <c r="B718" s="2" t="inlineStr">
        <is>
          <t>benzyl chloride</t>
        </is>
      </c>
      <c r="C718" s="2" t="inlineStr">
        <is>
          <t>BnCl</t>
        </is>
      </c>
      <c r="D718" s="2" t="inlineStr">
        <is>
          <t>electrophile / alkylating agent</t>
        </is>
      </c>
      <c r="E718" s="2" t="inlineStr">
        <is>
          <t>protecting-group reagent</t>
        </is>
      </c>
      <c r="F718" s="2" t="n"/>
      <c r="G718" s="2" t="n">
        <v>53</v>
      </c>
      <c r="H718" s="2" t="inlineStr">
        <is>
          <t>Benzyl Chloride (CID 7503)</t>
        </is>
      </c>
      <c r="I718" s="2" t="inlineStr">
        <is>
          <t>Benzylating agent for phenols, alcohols and amines (benzyl ether protection).</t>
        </is>
      </c>
      <c r="J718" s="2" t="inlineStr">
        <is>
          <t>named and classified by a chemist agent; reviewed by an independent agent</t>
        </is>
      </c>
    </row>
    <row r="719">
      <c r="A719" s="3" t="inlineStr">
        <is>
          <t>N#CCN</t>
        </is>
      </c>
      <c r="B719" s="2" t="inlineStr">
        <is>
          <t>aminoacetonitrile</t>
        </is>
      </c>
      <c r="C719" s="2" t="inlineStr"/>
      <c r="D719" s="2" t="inlineStr">
        <is>
          <t>nucleophile</t>
        </is>
      </c>
      <c r="E719" s="2" t="inlineStr"/>
      <c r="F719" s="2" t="n"/>
      <c r="G719" s="2" t="n">
        <v>53</v>
      </c>
      <c r="H719" s="2" t="inlineStr">
        <is>
          <t>Aminoacetonitrile (CID 10901)</t>
        </is>
      </c>
      <c r="I719" s="2" t="inlineStr">
        <is>
          <t>Amine (as HCl salt) acylated by the acid under PyBOP/Et3N to give the cyanomethyl amide.</t>
        </is>
      </c>
      <c r="J719" s="2" t="inlineStr">
        <is>
          <t>named and classified by a chemist agent; reviewed by an independent agent</t>
        </is>
      </c>
    </row>
    <row r="720">
      <c r="A720" s="3" t="inlineStr">
        <is>
          <t>NCC(=O)O</t>
        </is>
      </c>
      <c r="B720" s="2" t="inlineStr">
        <is>
          <t>glycine</t>
        </is>
      </c>
      <c r="C720" s="2" t="inlineStr">
        <is>
          <t>Gly</t>
        </is>
      </c>
      <c r="D720" s="2" t="inlineStr">
        <is>
          <t>nucleophile</t>
        </is>
      </c>
      <c r="E720" s="2" t="inlineStr">
        <is>
          <t>ligand (Cu)</t>
        </is>
      </c>
      <c r="F720" s="2" t="n"/>
      <c r="G720" s="2" t="n">
        <v>52</v>
      </c>
      <c r="H720" s="2" t="inlineStr">
        <is>
          <t>Glycine (CID 750)</t>
        </is>
      </c>
      <c r="I720" s="2" t="inlineStr">
        <is>
          <t>Amino acid nucleophile for N-acylation; here from the recorded acylation that formed the glycinamide.</t>
        </is>
      </c>
      <c r="J720" s="2" t="inlineStr">
        <is>
          <t>named and classified by a chemist agent; reviewed by an independent agent</t>
        </is>
      </c>
    </row>
    <row r="721">
      <c r="A721" s="3" t="inlineStr">
        <is>
          <t>CN(C)C(N(C)C)=[N+]1N=[N+]([O-])c2ccccc21</t>
        </is>
      </c>
      <c r="B721" s="2" t="inlineStr">
        <is>
          <t>HBTU/TBTU cation (guanidinium N-oxide form)</t>
        </is>
      </c>
      <c r="C721" s="2" t="inlineStr">
        <is>
          <t>HBTU / TBTU</t>
        </is>
      </c>
      <c r="D721" s="2" t="inlineStr">
        <is>
          <t>coupling reagent (activates an acid)</t>
        </is>
      </c>
      <c r="E721" s="2" t="inlineStr"/>
      <c r="F721" s="2" t="n"/>
      <c r="G721" s="2" t="n">
        <v>52</v>
      </c>
      <c r="H721" s="2" t="inlineStr">
        <is>
          <t>1H-Benzotriazolium, 1-[bis(dimethylamino)methylene]-, 3-oxide (CID 51341377)</t>
        </is>
      </c>
      <c r="I721" s="2" t="inlineStr">
        <is>
          <t>N-Guanidinium N-oxide drawing (the true solid-state structure) of HBTU/TBTU; amide coupling.</t>
        </is>
      </c>
      <c r="J721" s="2" t="inlineStr">
        <is>
          <t>named and classified by a chemist agent; reviewed by an independent agent</t>
        </is>
      </c>
    </row>
    <row r="722">
      <c r="A722" s="3" t="inlineStr">
        <is>
          <t>C=CCO</t>
        </is>
      </c>
      <c r="B722" s="2" t="inlineStr">
        <is>
          <t>allyl alcohol</t>
        </is>
      </c>
      <c r="C722" s="2" t="inlineStr"/>
      <c r="D722" s="2" t="inlineStr">
        <is>
          <t>solvent</t>
        </is>
      </c>
      <c r="E722" s="2" t="inlineStr"/>
      <c r="F722" s="2" t="n"/>
      <c r="G722" s="2" t="n">
        <v>52</v>
      </c>
      <c r="H722" s="2" t="inlineStr">
        <is>
          <t>Allyl Alcohol (CID 7858)</t>
        </is>
      </c>
      <c r="I722" s="2" t="inlineStr">
        <is>
          <t>Alcohol medium for HCl removal of a MOM group; matching the allyl ester avoids transesterification.</t>
        </is>
      </c>
      <c r="J722" s="2" t="inlineStr">
        <is>
          <t>named and classified by a chemist agent; reviewed by an independent agent</t>
        </is>
      </c>
    </row>
    <row r="723">
      <c r="A723" s="3" t="inlineStr">
        <is>
          <t>CCOC(=O)C(=O)OCC</t>
        </is>
      </c>
      <c r="B723" s="2" t="inlineStr">
        <is>
          <t>diethyl oxalate</t>
        </is>
      </c>
      <c r="C723" s="2" t="inlineStr"/>
      <c r="D723" s="2" t="inlineStr">
        <is>
          <t>electrophile / alkylating agent</t>
        </is>
      </c>
      <c r="E723" s="2" t="inlineStr"/>
      <c r="F723" s="2" t="n"/>
      <c r="G723" s="2" t="n">
        <v>51</v>
      </c>
      <c r="H723" s="2" t="inlineStr">
        <is>
          <t>Diethyl Oxalate (CID 7268)</t>
        </is>
      </c>
      <c r="I723" s="2" t="inlineStr">
        <is>
          <t>Claisen partner of an o-hydroxyacetophenone; cyclizes to the chromone-2-carboxylate.</t>
        </is>
      </c>
      <c r="J723" s="2" t="inlineStr">
        <is>
          <t>named and classified by a chemist agent; reviewed by an independent agent</t>
        </is>
      </c>
    </row>
    <row r="724">
      <c r="A724" s="3" t="inlineStr">
        <is>
          <t>CCC[CH2][Sn]([Cl])([Cl])[CH2]CCC</t>
        </is>
      </c>
      <c r="B724" s="2" t="inlineStr">
        <is>
          <t>dibutyltin dichloride</t>
        </is>
      </c>
      <c r="C724" s="2" t="inlineStr">
        <is>
          <t>Bu2SnCl2</t>
        </is>
      </c>
      <c r="D724" s="2" t="inlineStr">
        <is>
          <t>Lewis acid</t>
        </is>
      </c>
      <c r="E724" s="2" t="inlineStr">
        <is>
          <t>catalyst</t>
        </is>
      </c>
      <c r="F724" s="2" t="n"/>
      <c r="G724" s="2" t="n">
        <v>51</v>
      </c>
      <c r="H724" s="2" t="inlineStr">
        <is>
          <t>Dibutyltin dichloride (CID 12688)</t>
        </is>
      </c>
      <c r="I724" s="2" t="inlineStr">
        <is>
          <t>Catalyses direct reductive amination with phenylsilane.</t>
        </is>
      </c>
      <c r="J724" s="2" t="inlineStr">
        <is>
          <t>named and classified by a chemist agent; reviewed by an independent agent</t>
        </is>
      </c>
    </row>
    <row r="725">
      <c r="A725" s="3" t="inlineStr">
        <is>
          <t>c1cncnc1</t>
        </is>
      </c>
      <c r="B725" s="2" t="inlineStr">
        <is>
          <t>pyrimidine</t>
        </is>
      </c>
      <c r="C725" s="2" t="inlineStr"/>
      <c r="D725" s="2" t="inlineStr">
        <is>
          <t>other</t>
        </is>
      </c>
      <c r="E725" s="2" t="inlineStr"/>
      <c r="F725" s="2" t="n"/>
      <c r="G725" s="2" t="n">
        <v>51</v>
      </c>
      <c r="H725" s="2" t="inlineStr">
        <is>
          <t>Pyrimidine (CID 9260)</t>
        </is>
      </c>
      <c r="I725" s="2" t="inlineStr">
        <is>
          <t>Heteroarene with no clear role in this NaOH ester hydrolysis (recording artifact).</t>
        </is>
      </c>
      <c r="J725" s="2" t="inlineStr">
        <is>
          <t>named and classified by a chemist agent; reviewed by an independent agent</t>
        </is>
      </c>
    </row>
    <row r="726">
      <c r="A726" s="3" t="inlineStr">
        <is>
          <t>Cc1ccccn1</t>
        </is>
      </c>
      <c r="B726" s="2" t="inlineStr">
        <is>
          <t>2-picoline (2-methylpyridine)</t>
        </is>
      </c>
      <c r="C726" s="2" t="inlineStr"/>
      <c r="D726" s="2" t="inlineStr">
        <is>
          <t>base</t>
        </is>
      </c>
      <c r="E726" s="2" t="inlineStr">
        <is>
          <t>carrier in 2-picoline-borane (reductant)</t>
        </is>
      </c>
      <c r="F726" s="2" t="n">
        <v>6</v>
      </c>
      <c r="G726" s="2" t="n">
        <v>51</v>
      </c>
      <c r="H726" s="2" t="inlineStr">
        <is>
          <t>2-Methylpyridine (CID 7975)</t>
        </is>
      </c>
      <c r="I726" s="2" t="inlineStr">
        <is>
          <t>With BH3 (recorded as B) it forms 2-picoline-borane, a stable reductive-amination reagent; pKa in water.</t>
        </is>
      </c>
      <c r="J726" s="2" t="inlineStr">
        <is>
          <t>named and classified by a chemist agent; reviewed by an independent agent</t>
        </is>
      </c>
    </row>
    <row r="727">
      <c r="A727" s="3" t="inlineStr">
        <is>
          <t>c1c[n-]cn1</t>
        </is>
      </c>
      <c r="B727" s="2" t="inlineStr">
        <is>
          <t>imidazolide ion</t>
        </is>
      </c>
      <c r="C727" s="2" t="inlineStr">
        <is>
          <t>Im-</t>
        </is>
      </c>
      <c r="D727" s="2" t="inlineStr">
        <is>
          <t>base</t>
        </is>
      </c>
      <c r="E727" s="2" t="inlineStr">
        <is>
          <t>leaving group from CDI</t>
        </is>
      </c>
      <c r="F727" s="2" t="n">
        <v>14.5</v>
      </c>
      <c r="G727" s="2" t="n">
        <v>51</v>
      </c>
      <c r="H727" s="2" t="inlineStr">
        <is>
          <t>Imidazolate (CID 3386966)</t>
        </is>
      </c>
      <c r="I727" s="2" t="inlineStr">
        <is>
          <t>Released when CDI activates the acid to an acyl imidazole for amide formation; pKa of imidazole N-H in water (18.6 in DMSO).</t>
        </is>
      </c>
      <c r="J727" s="2" t="inlineStr">
        <is>
          <t>named and classified by a chemist agent; reviewed by an independent agent</t>
        </is>
      </c>
    </row>
    <row r="728">
      <c r="A728" s="3" t="inlineStr">
        <is>
          <t>Cc1ccc(C(C)C)cc1</t>
        </is>
      </c>
      <c r="B728" s="2" t="inlineStr">
        <is>
          <t>p-cymene</t>
        </is>
      </c>
      <c r="C728" s="2" t="inlineStr"/>
      <c r="D728" s="2" t="inlineStr">
        <is>
          <t>ligand</t>
        </is>
      </c>
      <c r="E728" s="2" t="inlineStr"/>
      <c r="F728" s="2" t="n"/>
      <c r="G728" s="2" t="n">
        <v>51</v>
      </c>
      <c r="H728" s="2" t="inlineStr">
        <is>
          <t>P-Cymene (CID 7463)</t>
        </is>
      </c>
      <c r="I728" s="2" t="inlineStr">
        <is>
          <t>Arene ligand of [RuCl2(p-cymene)]2 with TsDPEN for Noyori asymmetric transfer hydrogenation (HCO2H/Et3N).</t>
        </is>
      </c>
      <c r="J728" s="2" t="inlineStr">
        <is>
          <t>named and classified by a chemist agent; reviewed by an independent agent</t>
        </is>
      </c>
    </row>
    <row r="729">
      <c r="A729" s="3" t="inlineStr">
        <is>
          <t>CCOC(=O)CC</t>
        </is>
      </c>
      <c r="B729" s="2" t="inlineStr">
        <is>
          <t>ethyl propionate</t>
        </is>
      </c>
      <c r="C729" s="2" t="inlineStr"/>
      <c r="D729" s="2" t="inlineStr">
        <is>
          <t>nucleophile</t>
        </is>
      </c>
      <c r="E729" s="2" t="inlineStr"/>
      <c r="F729" s="2" t="n"/>
      <c r="G729" s="2" t="n">
        <v>51</v>
      </c>
      <c r="H729" s="2" t="inlineStr">
        <is>
          <t>Ethyl Propionate (CID 7749)</t>
        </is>
      </c>
      <c r="I729" s="2" t="inlineStr">
        <is>
          <t>Its LDA enolate adds to the aminonicotinaldehyde and cyclizes to the 3-methyl-1,8-naphthyridinone.</t>
        </is>
      </c>
      <c r="J729" s="2" t="inlineStr">
        <is>
          <t>named and classified by a chemist agent; reviewed by an independent agent</t>
        </is>
      </c>
    </row>
    <row r="730">
      <c r="A730" s="3" t="inlineStr">
        <is>
          <t>[CH3][Sn]([CH3])[CH3]</t>
        </is>
      </c>
      <c r="B730" s="2" t="inlineStr">
        <is>
          <t>trimethylstannyl (from hexamethylditin)</t>
        </is>
      </c>
      <c r="C730" s="2" t="inlineStr">
        <is>
          <t>Me3Sn-SnMe3</t>
        </is>
      </c>
      <c r="D730" s="2" t="inlineStr">
        <is>
          <t>organometallic reagent</t>
        </is>
      </c>
      <c r="E730" s="2" t="inlineStr"/>
      <c r="F730" s="2" t="n"/>
      <c r="G730" s="2" t="n">
        <v>51</v>
      </c>
      <c r="H730" s="2" t="inlineStr"/>
      <c r="I730" s="2" t="inlineStr">
        <is>
          <t>Hexamethylditin with Pd(PPh3)4 stannylates the aryl bromide for in-situ Stille coupling.</t>
        </is>
      </c>
      <c r="J730" s="2" t="inlineStr">
        <is>
          <t>named and classified by a chemist agent; reviewed by an independent agent; PubChem's title for this SMILES was wrong (Stannane, trimethyl- (CID 5358116)): Sn bears no H (radical, C3H9Sn); 'Stannane, trimethyl-' is Me3SnH.</t>
        </is>
      </c>
    </row>
    <row r="731">
      <c r="A731" s="3" t="inlineStr">
        <is>
          <t>[CH3][Zn][CH3]</t>
        </is>
      </c>
      <c r="B731" s="2" t="inlineStr">
        <is>
          <t>dimethylzinc</t>
        </is>
      </c>
      <c r="C731" s="2" t="inlineStr">
        <is>
          <t>Me2Zn</t>
        </is>
      </c>
      <c r="D731" s="2" t="inlineStr">
        <is>
          <t>organometallic reagent</t>
        </is>
      </c>
      <c r="E731" s="2" t="inlineStr"/>
      <c r="F731" s="2" t="n"/>
      <c r="G731" s="2" t="n">
        <v>51</v>
      </c>
      <c r="H731" s="2" t="inlineStr">
        <is>
          <t>Dimethylzinc (CID 11010)</t>
        </is>
      </c>
      <c r="I731" s="2" t="inlineStr">
        <is>
          <t>Negishi methylation of the aryl bromide with PdCl2(dppf).</t>
        </is>
      </c>
      <c r="J731" s="2" t="inlineStr">
        <is>
          <t>named and classified by a chemist agent; reviewed by an independent agent</t>
        </is>
      </c>
    </row>
    <row r="732">
      <c r="A732" s="3" t="inlineStr">
        <is>
          <t>C(=C\c1nc2ccccc2n1-c1ccccn1)/c1ccccc1</t>
        </is>
      </c>
      <c r="B732" s="2" t="inlineStr">
        <is>
          <t>(E)-1-(pyridin-2-yl)-2-styryl-1H-benzimidazole</t>
        </is>
      </c>
      <c r="C732" s="2" t="inlineStr"/>
      <c r="D732" s="2" t="inlineStr">
        <is>
          <t>other</t>
        </is>
      </c>
      <c r="E732" s="2" t="inlineStr"/>
      <c r="F732" s="2" t="n"/>
      <c r="G732" s="2" t="n">
        <v>51</v>
      </c>
      <c r="H732" s="2" t="inlineStr">
        <is>
          <t>(E)-1-(2-pyridyl)-2-styryl-1H-benzimidazole (CID 9796241)</t>
        </is>
      </c>
      <c r="I732" s="2" t="inlineStr">
        <is>
          <t>Product analog recorded as an agent of a benzimidazole-forming condensation.</t>
        </is>
      </c>
      <c r="J732" s="2" t="inlineStr">
        <is>
          <t>named and classified by a chemist agent; reviewed by an independent agent</t>
        </is>
      </c>
    </row>
    <row r="733">
      <c r="A733" s="3" t="inlineStr">
        <is>
          <t>[P]</t>
        </is>
      </c>
      <c r="B733" s="2" t="inlineStr">
        <is>
          <t>phosphorus (elemental)</t>
        </is>
      </c>
      <c r="C733" s="2" t="inlineStr">
        <is>
          <t>P</t>
        </is>
      </c>
      <c r="D733" s="2" t="inlineStr">
        <is>
          <t>other</t>
        </is>
      </c>
      <c r="E733" s="2" t="inlineStr"/>
      <c r="F733" s="2" t="n"/>
      <c r="G733" s="2" t="n">
        <v>50</v>
      </c>
      <c r="H733" s="2" t="inlineStr"/>
      <c r="I733" s="2" t="inlineStr">
        <is>
          <t>Probably a fragment of a mis-parsed modified Pd catalyst (recorded with Pd and S); red P with HI is otherwise a reductant.</t>
        </is>
      </c>
      <c r="J733" s="2" t="inlineStr">
        <is>
          <t>named and classified by a chemist agent; reviewed by an independent agent; PubChem's title for this SMILES was wrong (Phosphine (CID 24404)): [P] has no H; PubChem returned phosphine (PH3).</t>
        </is>
      </c>
    </row>
    <row r="734">
      <c r="A734" s="3" t="inlineStr">
        <is>
          <t>O[C@H](CS)[C@H](O)CS</t>
        </is>
      </c>
      <c r="B734" s="2" t="inlineStr">
        <is>
          <t>dithiothreitol</t>
        </is>
      </c>
      <c r="C734" s="2" t="inlineStr">
        <is>
          <t>DTT</t>
        </is>
      </c>
      <c r="D734" s="2" t="inlineStr">
        <is>
          <t>reductant</t>
        </is>
      </c>
      <c r="E734" s="2" t="inlineStr">
        <is>
          <t>additive (antioxidant)</t>
        </is>
      </c>
      <c r="F734" s="2" t="n"/>
      <c r="G734" s="2" t="n">
        <v>50</v>
      </c>
      <c r="H734" s="2" t="inlineStr">
        <is>
          <t>D-1,4-Dithiothreitol (CID 446094)</t>
        </is>
      </c>
      <c r="I734" s="2" t="inlineStr">
        <is>
          <t>Thiol reducing agent or antioxidant in buffered (probably enzymatic) ester hydrolysis.</t>
        </is>
      </c>
      <c r="J734" s="2" t="inlineStr">
        <is>
          <t>named and classified by a chemist agent; reviewed by an independent agent</t>
        </is>
      </c>
    </row>
    <row r="735">
      <c r="A735" s="3" t="inlineStr">
        <is>
          <t>O=C([O-])CC(O)(CC(=O)[O-])C(=O)[O-]</t>
        </is>
      </c>
      <c r="B735" s="2" t="inlineStr">
        <is>
          <t>citrate ion</t>
        </is>
      </c>
      <c r="C735" s="2" t="inlineStr"/>
      <c r="D735" s="2" t="inlineStr">
        <is>
          <t>salt (work-up or additive)</t>
        </is>
      </c>
      <c r="E735" s="2" t="inlineStr"/>
      <c r="F735" s="2" t="n"/>
      <c r="G735" s="2" t="n">
        <v>50</v>
      </c>
      <c r="H735" s="2" t="inlineStr">
        <is>
          <t>Citrate (CID 31348)</t>
        </is>
      </c>
      <c r="I735" s="2" t="inlineStr">
        <is>
          <t>Citric acid/citrate buffer used to acidify the work-up after LiOH ester hydrolysis.</t>
        </is>
      </c>
      <c r="J735" s="2" t="inlineStr">
        <is>
          <t>named and classified by a chemist agent; reviewed by an independent agent</t>
        </is>
      </c>
    </row>
    <row r="736">
      <c r="A736" s="3" t="inlineStr">
        <is>
          <t>CC[S-]</t>
        </is>
      </c>
      <c r="B736" s="2" t="inlineStr">
        <is>
          <t>ethanethiolate ion</t>
        </is>
      </c>
      <c r="C736" s="2" t="inlineStr">
        <is>
          <t>NaSEt</t>
        </is>
      </c>
      <c r="D736" s="2" t="inlineStr">
        <is>
          <t>nucleophile</t>
        </is>
      </c>
      <c r="E736" s="2" t="inlineStr">
        <is>
          <t>deprotecting agent (O-demethylation)</t>
        </is>
      </c>
      <c r="F736" s="2" t="n"/>
      <c r="G736" s="2" t="n">
        <v>50</v>
      </c>
      <c r="H736" s="2" t="inlineStr">
        <is>
          <t>Thioethoxide (CID 12688643)</t>
        </is>
      </c>
      <c r="I736" s="2" t="inlineStr">
        <is>
          <t>Cleaves the aryl methyl ether by SN2 at methyl in DMF.</t>
        </is>
      </c>
      <c r="J736" s="2" t="inlineStr">
        <is>
          <t>named and classified by a chemist agent; reviewed by an independent agent</t>
        </is>
      </c>
    </row>
    <row r="737">
      <c r="A737" s="3" t="inlineStr">
        <is>
          <t>Cl[Si](Cl)(Cl)Cl</t>
        </is>
      </c>
      <c r="B737" s="2" t="inlineStr">
        <is>
          <t>silicon tetrachloride</t>
        </is>
      </c>
      <c r="C737" s="2" t="inlineStr">
        <is>
          <t>SiCl4</t>
        </is>
      </c>
      <c r="D737" s="2" t="inlineStr">
        <is>
          <t>Lewis acid</t>
        </is>
      </c>
      <c r="E737" s="2" t="inlineStr">
        <is>
          <t>deprotecting agent</t>
        </is>
      </c>
      <c r="F737" s="2" t="n"/>
      <c r="G737" s="2" t="n">
        <v>50</v>
      </c>
      <c r="H737" s="2" t="inlineStr">
        <is>
          <t>Silicon tetrachloride (CID 24816)</t>
        </is>
      </c>
      <c r="I737" s="2" t="inlineStr">
        <is>
          <t>With NaI it forms a silyl iodide that selectively cleaves the aryl methyl ether.</t>
        </is>
      </c>
      <c r="J737" s="2" t="inlineStr">
        <is>
          <t>named and classified by a chemist agent; reviewed by an independent agent</t>
        </is>
      </c>
    </row>
    <row r="738">
      <c r="A738" s="3" t="inlineStr">
        <is>
          <t>CCN=C=N</t>
        </is>
      </c>
      <c r="B738" s="2" t="inlineStr">
        <is>
          <t>ethylcarbodiimide (truncated EDC)</t>
        </is>
      </c>
      <c r="C738" s="2" t="inlineStr">
        <is>
          <t>EDC (fragment)</t>
        </is>
      </c>
      <c r="D738" s="2" t="inlineStr">
        <is>
          <t>coupling reagent (activates an acid)</t>
        </is>
      </c>
      <c r="E738" s="2" t="inlineStr"/>
      <c r="F738" s="2" t="n"/>
      <c r="G738" s="2" t="n">
        <v>50</v>
      </c>
      <c r="H738" s="2" t="inlineStr">
        <is>
          <t>Ethylcarbodiimide (CID 12973440)</t>
        </is>
      </c>
      <c r="I738" s="2" t="inlineStr">
        <is>
          <t>Truncated record of EDC·HCl used with HOBt for amide coupling.</t>
        </is>
      </c>
      <c r="J738" s="2" t="inlineStr">
        <is>
          <t>named and classified by a chemist agent; reviewed by an independent agent</t>
        </is>
      </c>
    </row>
    <row r="739">
      <c r="A739" s="3" t="inlineStr">
        <is>
          <t>CC(C)[CH2][Al][CH2]C(C)C</t>
        </is>
      </c>
      <c r="B739" s="2" t="inlineStr">
        <is>
          <t>diisobutylaluminum (DIBAL-H fragment)</t>
        </is>
      </c>
      <c r="C739" s="2" t="inlineStr">
        <is>
          <t>DIBAL-H</t>
        </is>
      </c>
      <c r="D739" s="2" t="inlineStr">
        <is>
          <t>reductant</t>
        </is>
      </c>
      <c r="E739" s="2" t="inlineStr"/>
      <c r="F739" s="2" t="n"/>
      <c r="G739" s="2" t="n">
        <v>50</v>
      </c>
      <c r="H739" s="2" t="inlineStr"/>
      <c r="I739" s="2" t="inlineStr">
        <is>
          <t>Hydride listed separately as H-; reduces the lactam to the cyclic amine.</t>
        </is>
      </c>
      <c r="J739" s="2" t="inlineStr">
        <is>
          <t>named and classified by a chemist agent; reviewed by an independent agent; PubChem's title for this SMILES was wrong (Dibah (CID 16682954)): Al carries no H (C8H18Al radical); 'Dibah' is DIBAL-H, the hydride.</t>
        </is>
      </c>
    </row>
    <row r="740">
      <c r="A740" s="3" t="inlineStr">
        <is>
          <t>C1CN=C2CCCN2C1</t>
        </is>
      </c>
      <c r="B740" s="2" t="inlineStr">
        <is>
          <t>1,5-diazabicyclo[4.3.0]non-5-ene</t>
        </is>
      </c>
      <c r="C740" s="2" t="inlineStr">
        <is>
          <t>DBN</t>
        </is>
      </c>
      <c r="D740" s="2" t="inlineStr">
        <is>
          <t>base</t>
        </is>
      </c>
      <c r="E740" s="2" t="inlineStr"/>
      <c r="F740" s="2" t="n">
        <v>13.4</v>
      </c>
      <c r="G740" s="2" t="n">
        <v>50</v>
      </c>
      <c r="H740" s="2" t="inlineStr">
        <is>
          <t>1,5-Diazabicyclo(4.3.0)non-5-ene (CID 76349)</t>
        </is>
      </c>
      <c r="I740" s="2" t="inlineStr">
        <is>
          <t>Amidine base used here to epimerize the alpha-stereocenter of the aldehyde before reduction; pKa in water (about 23.8 in MeCN).</t>
        </is>
      </c>
      <c r="J740" s="2" t="inlineStr">
        <is>
          <t>named and classified by a chemist agent; reviewed by an independent agent</t>
        </is>
      </c>
    </row>
    <row r="741">
      <c r="A741" s="3" t="inlineStr">
        <is>
          <t>COC=O</t>
        </is>
      </c>
      <c r="B741" s="2" t="inlineStr">
        <is>
          <t>methyl formate</t>
        </is>
      </c>
      <c r="C741" s="2" t="inlineStr"/>
      <c r="D741" s="2" t="inlineStr">
        <is>
          <t>solvent</t>
        </is>
      </c>
      <c r="E741" s="2" t="inlineStr"/>
      <c r="F741" s="2" t="n"/>
      <c r="G741" s="2" t="n">
        <v>50</v>
      </c>
      <c r="H741" s="2" t="inlineStr">
        <is>
          <t>Methyl formate (CID 7865)</t>
        </is>
      </c>
      <c r="I741" s="2" t="inlineStr">
        <is>
          <t>Co-solvent in aqueous methanol for NaN3 ring-opening of the epoxide.</t>
        </is>
      </c>
      <c r="J741" s="2" t="inlineStr">
        <is>
          <t>named and classified by a chemist agent; reviewed by an independent agent</t>
        </is>
      </c>
    </row>
    <row r="742">
      <c r="A742" s="3" t="inlineStr">
        <is>
          <t>OC1CCCCC1</t>
        </is>
      </c>
      <c r="B742" s="2" t="inlineStr">
        <is>
          <t>cyclohexanol</t>
        </is>
      </c>
      <c r="C742" s="2" t="inlineStr"/>
      <c r="D742" s="2" t="inlineStr">
        <is>
          <t>solvent</t>
        </is>
      </c>
      <c r="E742" s="2" t="inlineStr"/>
      <c r="F742" s="2" t="n"/>
      <c r="G742" s="2" t="n">
        <v>49</v>
      </c>
      <c r="H742" s="2" t="inlineStr">
        <is>
          <t>Cyclohexanol (CID 7966)</t>
        </is>
      </c>
      <c r="I742" s="2" t="inlineStr">
        <is>
          <t>Co-solvent or artifact in LiOH ester hydrolysis.</t>
        </is>
      </c>
      <c r="J742" s="2" t="inlineStr">
        <is>
          <t>named and classified by a chemist agent; reviewed by an independent agent</t>
        </is>
      </c>
    </row>
    <row r="743">
      <c r="A743" s="3" t="inlineStr">
        <is>
          <t>O=C(O)[C@H](O)[C@@H](O)C(=O)O</t>
        </is>
      </c>
      <c r="B743" s="2" t="inlineStr">
        <is>
          <t>L-(+)-tartaric acid ((2R,3R)-tartaric acid)</t>
        </is>
      </c>
      <c r="C743" s="2" t="inlineStr"/>
      <c r="D743" s="2" t="inlineStr">
        <is>
          <t>acid</t>
        </is>
      </c>
      <c r="E743" s="2" t="inlineStr">
        <is>
          <t>chiral resolving agent</t>
        </is>
      </c>
      <c r="F743" s="2" t="n"/>
      <c r="G743" s="2" t="n">
        <v>49</v>
      </c>
      <c r="H743" s="2" t="inlineStr">
        <is>
          <t>L-Tartaric acid (CID 444305)</t>
        </is>
      </c>
      <c r="I743" s="2" t="inlineStr">
        <is>
          <t>Used for salt formation, resolution or boron chelation in work-up after BBr3 demethylation.</t>
        </is>
      </c>
      <c r="J743" s="2" t="inlineStr">
        <is>
          <t>named and classified by a chemist agent; reviewed by an independent agent</t>
        </is>
      </c>
    </row>
    <row r="744">
      <c r="A744" s="3" t="inlineStr">
        <is>
          <t>CCCCCCCCCCCCS</t>
        </is>
      </c>
      <c r="B744" s="2" t="inlineStr">
        <is>
          <t>1-dodecanethiol</t>
        </is>
      </c>
      <c r="C744" s="2" t="inlineStr"/>
      <c r="D744" s="2" t="inlineStr">
        <is>
          <t>nucleophile</t>
        </is>
      </c>
      <c r="E744" s="2" t="inlineStr">
        <is>
          <t>deprotecting agent (O-demethylation)</t>
        </is>
      </c>
      <c r="F744" s="2" t="n"/>
      <c r="G744" s="2" t="n">
        <v>49</v>
      </c>
      <c r="H744" s="2" t="inlineStr">
        <is>
          <t>1-Dodecanethiol (CID 8195)</t>
        </is>
      </c>
      <c r="I744" s="2" t="inlineStr">
        <is>
          <t>Low-odor thiol; as the thiolate (NaOMe) it O-demethylates the aryl methyl ether.</t>
        </is>
      </c>
      <c r="J744" s="2" t="inlineStr">
        <is>
          <t>named and classified by a chemist agent; reviewed by an independent agent</t>
        </is>
      </c>
    </row>
    <row r="745">
      <c r="A745" s="3" t="inlineStr">
        <is>
          <t>Clc1cc[c-](P(c2ccccc2)c2ccccc2)c1Cl</t>
        </is>
      </c>
      <c r="B745" s="2" t="inlineStr">
        <is>
          <t>(diphenylphosphino)cyclopentadienide with stray Cl (mis-parsed PdCl2(dppf))</t>
        </is>
      </c>
      <c r="C745" s="2" t="inlineStr">
        <is>
          <t>dppf (fragment)</t>
        </is>
      </c>
      <c r="D745" s="2" t="inlineStr">
        <is>
          <t>ligand</t>
        </is>
      </c>
      <c r="E745" s="2" t="inlineStr"/>
      <c r="F745" s="2" t="n"/>
      <c r="G745" s="2" t="n">
        <v>49</v>
      </c>
      <c r="H745" s="2" t="inlineStr"/>
      <c r="I745" s="2" t="inlineStr">
        <is>
          <t>Cp-PPh2 half of dppf with the Pd chlorides misattached; recorded with Fe2+; Suzuki coupling.</t>
        </is>
      </c>
      <c r="J745" s="2" t="inlineStr">
        <is>
          <t>named and classified by a chemist agent; reviewed by an independent agent</t>
        </is>
      </c>
    </row>
    <row r="746">
      <c r="A746" s="3" t="inlineStr">
        <is>
          <t>C=Cc1ccc(C=C)cc1</t>
        </is>
      </c>
      <c r="B746" s="2" t="inlineStr">
        <is>
          <t>1,4-divinylbenzene</t>
        </is>
      </c>
      <c r="C746" s="2" t="inlineStr">
        <is>
          <t>DVB</t>
        </is>
      </c>
      <c r="D746" s="2" t="inlineStr">
        <is>
          <t>other</t>
        </is>
      </c>
      <c r="E746" s="2" t="inlineStr">
        <is>
          <t>polymer-support crosslinker</t>
        </is>
      </c>
      <c r="F746" s="2" t="n"/>
      <c r="G746" s="2" t="n">
        <v>49</v>
      </c>
      <c r="H746" s="2" t="inlineStr">
        <is>
          <t>p-Divinylbenzene (CID 66041)</t>
        </is>
      </c>
      <c r="I746" s="2" t="inlineStr">
        <is>
          <t>With styrene it marks a polystyrene-DVB resin, here a polymer-bound diethylbenzylamine base.</t>
        </is>
      </c>
      <c r="J746" s="2" t="inlineStr">
        <is>
          <t>named and classified by a chemist agent; reviewed by an independent agent</t>
        </is>
      </c>
    </row>
    <row r="747">
      <c r="A747" s="3" t="inlineStr">
        <is>
          <t>[P+5]</t>
        </is>
      </c>
      <c r="B747" s="2" t="inlineStr">
        <is>
          <t>phosphorus(V) (fragment of mis-parsed POCl3)</t>
        </is>
      </c>
      <c r="C747" s="2" t="inlineStr">
        <is>
          <t>POCl3 (fragment)</t>
        </is>
      </c>
      <c r="D747" s="2" t="inlineStr">
        <is>
          <t>dehydrating / activating agent</t>
        </is>
      </c>
      <c r="E747" s="2" t="inlineStr"/>
      <c r="F747" s="2" t="n"/>
      <c r="G747" s="2" t="n">
        <v>49</v>
      </c>
      <c r="H747" s="2" t="inlineStr"/>
      <c r="I747" s="2" t="inlineStr">
        <is>
          <t>POCl3 in pyridine activates the acid for coupling to the aniline; recorded as P5+ plus Cl2O.</t>
        </is>
      </c>
      <c r="J747" s="2" t="inlineStr">
        <is>
          <t>named and classified by a chemist agent; reviewed by an independent agent</t>
        </is>
      </c>
    </row>
    <row r="748">
      <c r="A748" s="3" t="inlineStr">
        <is>
          <t>[O]=[Cr](=[O])([OH])[OH]</t>
        </is>
      </c>
      <c r="B748" s="2" t="inlineStr">
        <is>
          <t>chromic acid (Cr(VI))</t>
        </is>
      </c>
      <c r="C748" s="2" t="inlineStr">
        <is>
          <t>H2CrO4 / CrO3-pyridine</t>
        </is>
      </c>
      <c r="D748" s="2" t="inlineStr">
        <is>
          <t>oxidant</t>
        </is>
      </c>
      <c r="E748" s="2" t="inlineStr"/>
      <c r="F748" s="2" t="n"/>
      <c r="G748" s="2" t="n">
        <v>49</v>
      </c>
      <c r="H748" s="2" t="inlineStr">
        <is>
          <t>Chromic Acid (CID 24425)</t>
        </is>
      </c>
      <c r="I748" s="2" t="inlineStr">
        <is>
          <t>Cr(VI) with pyridine (Collins/Sarett-type) oxidizes the primary alcohol to the aldehyde.</t>
        </is>
      </c>
      <c r="J748" s="2" t="inlineStr">
        <is>
          <t>named and classified by a chemist agent; reviewed by an independent agent</t>
        </is>
      </c>
    </row>
    <row r="749">
      <c r="A749" s="3" t="inlineStr">
        <is>
          <t>[W]</t>
        </is>
      </c>
      <c r="B749" s="2" t="inlineStr">
        <is>
          <t>tungsten (tungsten lamp)</t>
        </is>
      </c>
      <c r="C749" s="2" t="inlineStr">
        <is>
          <t>W</t>
        </is>
      </c>
      <c r="D749" s="2" t="inlineStr">
        <is>
          <t>other</t>
        </is>
      </c>
      <c r="E749" s="2" t="inlineStr">
        <is>
          <t>light source</t>
        </is>
      </c>
      <c r="F749" s="2" t="n"/>
      <c r="G749" s="2" t="n">
        <v>49</v>
      </c>
      <c r="H749" s="2" t="inlineStr">
        <is>
          <t>Tungsten (CID 23964)</t>
        </is>
      </c>
      <c r="I749" s="2" t="inlineStr">
        <is>
          <t>Tungsten-lamp irradiation for Wohl-Ziegler benzylic bromination with NBS and benzoyl peroxide.</t>
        </is>
      </c>
      <c r="J749" s="2" t="inlineStr">
        <is>
          <t>named and classified by a chemist agent; reviewed by an independent agent</t>
        </is>
      </c>
    </row>
    <row r="750">
      <c r="A750" s="3" t="inlineStr">
        <is>
          <t>N#CC1(N=NC2(C#N)CCCCC2)CCCCC1</t>
        </is>
      </c>
      <c r="B750" s="2" t="inlineStr">
        <is>
          <t>1,1'-azobis(cyclohexanecarbonitrile)</t>
        </is>
      </c>
      <c r="C750" s="2" t="inlineStr">
        <is>
          <t>ACHN (V-40, VAZO 88)</t>
        </is>
      </c>
      <c r="D750" s="2" t="inlineStr">
        <is>
          <t>radical initiator</t>
        </is>
      </c>
      <c r="E750" s="2" t="inlineStr"/>
      <c r="F750" s="2" t="n"/>
      <c r="G750" s="2" t="n">
        <v>49</v>
      </c>
      <c r="H750" s="2" t="inlineStr">
        <is>
          <t>1,1'-Azobis(cyclohexanecarbonitrile) (CID 74978)</t>
        </is>
      </c>
      <c r="I750" s="2" t="inlineStr">
        <is>
          <t>Azo initiator for NBS benzylic bromination in CCl4.</t>
        </is>
      </c>
      <c r="J750" s="2" t="inlineStr">
        <is>
          <t>named and classified by a chemist agent; reviewed by an independent agent</t>
        </is>
      </c>
    </row>
    <row r="751">
      <c r="A751" s="3" t="inlineStr">
        <is>
          <t>ON=Cc1ccccc1O</t>
        </is>
      </c>
      <c r="B751" s="2" t="inlineStr">
        <is>
          <t>salicylaldoxime</t>
        </is>
      </c>
      <c r="C751" s="2" t="inlineStr"/>
      <c r="D751" s="2" t="inlineStr">
        <is>
          <t>ligand</t>
        </is>
      </c>
      <c r="E751" s="2" t="inlineStr"/>
      <c r="F751" s="2" t="n"/>
      <c r="G751" s="2" t="n">
        <v>49</v>
      </c>
      <c r="H751" s="2" t="inlineStr">
        <is>
          <t>Salicylaldehyde oxime (CID 7200)</t>
        </is>
      </c>
      <c r="I751" s="2" t="inlineStr">
        <is>
          <t>Ligand for Cu-catalysed Ullmann diaryl ether synthesis with Cs2CO3.</t>
        </is>
      </c>
      <c r="J751" s="2" t="inlineStr">
        <is>
          <t>named and classified by a chemist agent; reviewed by an independent agent</t>
        </is>
      </c>
    </row>
    <row r="752">
      <c r="A752" s="3" t="inlineStr">
        <is>
          <t>C1=C(C2=NNCCCCCCCC2)CCCCCCCCC1</t>
        </is>
      </c>
      <c r="B752" s="2" t="inlineStr">
        <is>
          <t>3-(cycloundecen-1-yl)-1,2-diazacycloundec-2-ene</t>
        </is>
      </c>
      <c r="C752" s="2" t="inlineStr">
        <is>
          <t>DBU</t>
        </is>
      </c>
      <c r="D752" s="2" t="inlineStr">
        <is>
          <t>base</t>
        </is>
      </c>
      <c r="E752" s="2" t="inlineStr"/>
      <c r="F752" s="2" t="n">
        <v>13.5</v>
      </c>
      <c r="G752" s="2" t="n">
        <v>49</v>
      </c>
      <c r="H752" s="2" t="inlineStr">
        <is>
          <t>3-(Cycloundecen-1-yl)-1,2-diazacycloundec-2-ene (CID 53630274)</t>
        </is>
      </c>
      <c r="I752" s="2" t="inlineStr">
        <is>
          <t>Wrong name-to-structure conversion of DBU, used with CDI for N-acylsulfonamide formation; pKa in water (24.3 in MeCN).</t>
        </is>
      </c>
      <c r="J752" s="2" t="inlineStr">
        <is>
          <t>named and classified by a chemist agent; reviewed by an independent agent; name corrected after comparing with PubChem (was: DBU (mis-parsed structure))</t>
        </is>
      </c>
    </row>
    <row r="753">
      <c r="A753" s="3" t="inlineStr">
        <is>
          <t>[O]=[Ru]=[O]</t>
        </is>
      </c>
      <c r="B753" s="2" t="inlineStr">
        <is>
          <t>ruthenium(IV) oxide</t>
        </is>
      </c>
      <c r="C753" s="2" t="inlineStr">
        <is>
          <t>RuO2</t>
        </is>
      </c>
      <c r="D753" s="2" t="inlineStr">
        <is>
          <t>oxidizing catalyst</t>
        </is>
      </c>
      <c r="E753" s="2" t="inlineStr"/>
      <c r="F753" s="2" t="n"/>
      <c r="G753" s="2" t="n">
        <v>49</v>
      </c>
      <c r="H753" s="2" t="inlineStr">
        <is>
          <t>Ruthenium dioxide (CID 82848)</t>
        </is>
      </c>
      <c r="I753" s="2" t="inlineStr">
        <is>
          <t>Catalytic RuO2 with NaBrO3 makes RuO4 in situ; oxidizes the secondary alcohol to the ketone.</t>
        </is>
      </c>
      <c r="J753" s="2" t="inlineStr">
        <is>
          <t>named and classified by a chemist agent; reviewed by an independent agent</t>
        </is>
      </c>
    </row>
    <row r="754">
      <c r="A754" s="3" t="inlineStr">
        <is>
          <t>CN1c2c([nH]c(N)nc2=O)NCC1CNc1ccc(C(=O)NC(CCC(=O)O)C(=O)O)cc1</t>
        </is>
      </c>
      <c r="B754" s="2" t="inlineStr">
        <is>
          <t>5-methyltetrahydrofolic acid</t>
        </is>
      </c>
      <c r="C754" s="2" t="inlineStr">
        <is>
          <t>5-MTHF</t>
        </is>
      </c>
      <c r="D754" s="2" t="inlineStr">
        <is>
          <t>other</t>
        </is>
      </c>
      <c r="E754" s="2" t="inlineStr"/>
      <c r="F754" s="2" t="n"/>
      <c r="G754" s="2" t="n">
        <v>49</v>
      </c>
      <c r="H754" s="2" t="inlineStr">
        <is>
          <t>(3H)N5-methylfolate (CID 135402010)</t>
        </is>
      </c>
      <c r="I754" s="2" t="inlineStr">
        <is>
          <t>No reagent role in this Sonogashira coupling (recording artifact).</t>
        </is>
      </c>
      <c r="J754" s="2" t="inlineStr">
        <is>
          <t>named and classified by a chemist agent; reviewed by an independent agent</t>
        </is>
      </c>
    </row>
    <row r="755">
      <c r="A755" s="3" t="inlineStr">
        <is>
          <t>[CH2-]c1ccccc1P(c1ccccc1C)c1ccccc1C</t>
        </is>
      </c>
      <c r="B755" s="2" t="inlineStr">
        <is>
          <t>2-(di-o-tolylphosphino)benzyl (Herrmann-Beller palladacycle ligand)</t>
        </is>
      </c>
      <c r="C755" s="2" t="inlineStr">
        <is>
          <t>Herrmann-Beller catalyst (fragment)</t>
        </is>
      </c>
      <c r="D755" s="2" t="inlineStr">
        <is>
          <t>ligand</t>
        </is>
      </c>
      <c r="E755" s="2" t="inlineStr">
        <is>
          <t>part of Pd palladacycle precatalyst</t>
        </is>
      </c>
      <c r="F755" s="2" t="n"/>
      <c r="G755" s="2" t="n">
        <v>49</v>
      </c>
      <c r="H755" s="2" t="inlineStr"/>
      <c r="I755" s="2" t="inlineStr">
        <is>
          <t>Cyclometallated P(o-tol)3 of the Herrmann-Beller catalyst; Heck coupling of an aryl bromide with an allylic alcohol.</t>
        </is>
      </c>
      <c r="J755" s="2" t="inlineStr">
        <is>
          <t>named and classified by a chemist agent; reviewed by an independent agent; PubChem's title for this SMILES was wrong (CID 94847166 (CID 94847166)): PubChem has no title, only a CID; agent name describes the carbanion correctly.</t>
        </is>
      </c>
    </row>
    <row r="756">
      <c r="A756" s="3" t="inlineStr">
        <is>
          <t>O=C([O-])c1ccccc1</t>
        </is>
      </c>
      <c r="B756" s="2" t="inlineStr">
        <is>
          <t>benzoate ion</t>
        </is>
      </c>
      <c r="C756" s="2" t="inlineStr"/>
      <c r="D756" s="2" t="inlineStr">
        <is>
          <t>counter-ion / spectator ion</t>
        </is>
      </c>
      <c r="E756" s="2" t="inlineStr"/>
      <c r="F756" s="2" t="n"/>
      <c r="G756" s="2" t="n">
        <v>48</v>
      </c>
      <c r="H756" s="2" t="inlineStr">
        <is>
          <t>Benzoate (CID 242)</t>
        </is>
      </c>
      <c r="I756" s="2" t="inlineStr">
        <is>
          <t>Benzoate salt counter-ion; unclear role in this ester hydrolysis.</t>
        </is>
      </c>
      <c r="J756" s="2" t="inlineStr">
        <is>
          <t>named and classified by a chemist agent; reviewed by an independent agent</t>
        </is>
      </c>
    </row>
    <row r="757">
      <c r="A757" s="3" t="inlineStr">
        <is>
          <t>CCC(=O)Cl</t>
        </is>
      </c>
      <c r="B757" s="2" t="inlineStr">
        <is>
          <t>propionyl chloride</t>
        </is>
      </c>
      <c r="C757" s="2" t="inlineStr"/>
      <c r="D757" s="2" t="inlineStr">
        <is>
          <t>electrophile / alkylating agent</t>
        </is>
      </c>
      <c r="E757" s="2" t="inlineStr">
        <is>
          <t>acylating agent</t>
        </is>
      </c>
      <c r="F757" s="2" t="n"/>
      <c r="G757" s="2" t="n">
        <v>48</v>
      </c>
      <c r="H757" s="2" t="inlineStr">
        <is>
          <t>Propionyl chloride (CID 62324)</t>
        </is>
      </c>
      <c r="I757" s="2" t="inlineStr">
        <is>
          <t>Acylates amines; here used to make the amide that cyclizes (Bischler-Napieralski) to the dihydroisoquinoline.</t>
        </is>
      </c>
      <c r="J757" s="2" t="inlineStr">
        <is>
          <t>named and classified by a chemist agent; reviewed by an independent agent</t>
        </is>
      </c>
    </row>
    <row r="758">
      <c r="A758" s="3" t="inlineStr">
        <is>
          <t>C[N+](C)=CCl</t>
        </is>
      </c>
      <c r="B758" s="2" t="inlineStr">
        <is>
          <t>(chloromethylene)dimethyliminium (Vilsmeier reagent)</t>
        </is>
      </c>
      <c r="C758" s="2" t="inlineStr">
        <is>
          <t>Vilsmeier reagent</t>
        </is>
      </c>
      <c r="D758" s="2" t="inlineStr">
        <is>
          <t>coupling reagent (activates an acid)</t>
        </is>
      </c>
      <c r="E758" s="2" t="inlineStr">
        <is>
          <t>formylating agent</t>
        </is>
      </c>
      <c r="F758" s="2" t="n"/>
      <c r="G758" s="2" t="n">
        <v>48</v>
      </c>
      <c r="H758" s="2" t="inlineStr">
        <is>
          <t>N-(Chloromethylidene)-N-methylmethanaminium (CID 77312)</t>
        </is>
      </c>
      <c r="I758" s="2" t="inlineStr">
        <is>
          <t>Converts the acid to an acid chloride in situ for amide formation with pyridine (Cl- salt).</t>
        </is>
      </c>
      <c r="J758" s="2" t="inlineStr">
        <is>
          <t>named and classified by a chemist agent; reviewed by an independent agent</t>
        </is>
      </c>
    </row>
    <row r="759">
      <c r="A759" s="3" t="inlineStr">
        <is>
          <t>C1CO1</t>
        </is>
      </c>
      <c r="B759" s="2" t="inlineStr">
        <is>
          <t>ethylene oxide (oxirane)</t>
        </is>
      </c>
      <c r="C759" s="2" t="inlineStr">
        <is>
          <t>EO</t>
        </is>
      </c>
      <c r="D759" s="2" t="inlineStr">
        <is>
          <t>additive</t>
        </is>
      </c>
      <c r="E759" s="2" t="inlineStr">
        <is>
          <t>electrophile / alkylating agent</t>
        </is>
      </c>
      <c r="F759" s="2" t="n"/>
      <c r="G759" s="2" t="n">
        <v>48</v>
      </c>
      <c r="H759" s="2" t="inlineStr">
        <is>
          <t>Ethylene Oxide (CID 6354)</t>
        </is>
      </c>
      <c r="I759" s="2" t="inlineStr">
        <is>
          <t>HCl scavenger in acid-chloride acylation of a 7-aminocephalosporin; elsewhere a hydroxyethylating agent.</t>
        </is>
      </c>
      <c r="J759" s="2" t="inlineStr">
        <is>
          <t>named and classified by a chemist agent; reviewed by an independent agent</t>
        </is>
      </c>
    </row>
    <row r="760">
      <c r="A760" s="3" t="inlineStr">
        <is>
          <t>Cc1cn([C@H]2C[C@H](O)[C@@H](CO)O2)c(=O)[nH]c1=O</t>
        </is>
      </c>
      <c r="B760" s="2" t="inlineStr">
        <is>
          <t>thymidine</t>
        </is>
      </c>
      <c r="C760" s="2" t="inlineStr">
        <is>
          <t>dT</t>
        </is>
      </c>
      <c r="D760" s="2" t="inlineStr">
        <is>
          <t>other</t>
        </is>
      </c>
      <c r="E760" s="2" t="inlineStr"/>
      <c r="F760" s="2" t="n"/>
      <c r="G760" s="2" t="n">
        <v>48</v>
      </c>
      <c r="H760" s="2" t="inlineStr">
        <is>
          <t>Thymidine (CID 5789)</t>
        </is>
      </c>
      <c r="I760" s="2" t="inlineStr">
        <is>
          <t>Nucleoside co-substrate in enzymatic transglycosylation (nucleoside phosphorylase) making a purine nucleoside.</t>
        </is>
      </c>
      <c r="J760" s="2" t="inlineStr">
        <is>
          <t>named and classified by a chemist agent; reviewed by an independent agent</t>
        </is>
      </c>
    </row>
    <row r="761">
      <c r="A761" s="3" t="inlineStr">
        <is>
          <t>C=CC=C</t>
        </is>
      </c>
      <c r="B761" s="2" t="inlineStr">
        <is>
          <t>1,3-butadiene</t>
        </is>
      </c>
      <c r="C761" s="2" t="inlineStr"/>
      <c r="D761" s="2" t="inlineStr">
        <is>
          <t>gas</t>
        </is>
      </c>
      <c r="E761" s="2" t="inlineStr">
        <is>
          <t>diene (Diels-Alder)</t>
        </is>
      </c>
      <c r="F761" s="2" t="n"/>
      <c r="G761" s="2" t="n">
        <v>48</v>
      </c>
      <c r="H761" s="2" t="inlineStr">
        <is>
          <t>1,3-Butadiene (CID 7845)</t>
        </is>
      </c>
      <c r="I761" s="2" t="inlineStr">
        <is>
          <t>Gaseous diene; recorded with a macrocycle hydrogenation (likely a related reagent record).</t>
        </is>
      </c>
      <c r="J761" s="2" t="inlineStr">
        <is>
          <t>named and classified by a chemist agent; reviewed by an independent agent</t>
        </is>
      </c>
    </row>
    <row r="762">
      <c r="A762" s="3" t="inlineStr">
        <is>
          <t>N#CCCl</t>
        </is>
      </c>
      <c r="B762" s="2" t="inlineStr">
        <is>
          <t>chloroacetonitrile</t>
        </is>
      </c>
      <c r="C762" s="2" t="inlineStr"/>
      <c r="D762" s="2" t="inlineStr">
        <is>
          <t>electrophile / alkylating agent</t>
        </is>
      </c>
      <c r="E762" s="2" t="inlineStr"/>
      <c r="F762" s="2" t="n"/>
      <c r="G762" s="2" t="n">
        <v>47</v>
      </c>
      <c r="H762" s="2" t="inlineStr">
        <is>
          <t>Chloroacetonitrile (CID 7856)</t>
        </is>
      </c>
      <c r="I762" s="2" t="inlineStr">
        <is>
          <t>Cyanomethylating agent; unclear role with LiClO4 in this ester cleavage.</t>
        </is>
      </c>
      <c r="J762" s="2" t="inlineStr">
        <is>
          <t>named and classified by a chemist agent; reviewed by an independent agent</t>
        </is>
      </c>
    </row>
    <row r="763">
      <c r="A763" s="3" t="inlineStr">
        <is>
          <t>C=[CH][Sn]([CH2]CCC)([CH2]CCC)[CH2]CCC</t>
        </is>
      </c>
      <c r="B763" s="2" t="inlineStr">
        <is>
          <t>tributyl(vinyl)tin</t>
        </is>
      </c>
      <c r="C763" s="2" t="inlineStr">
        <is>
          <t>Bu3SnCH=CH2</t>
        </is>
      </c>
      <c r="D763" s="2" t="inlineStr">
        <is>
          <t>organometallic reagent</t>
        </is>
      </c>
      <c r="E763" s="2" t="inlineStr"/>
      <c r="F763" s="2" t="n"/>
      <c r="G763" s="2" t="n">
        <v>47</v>
      </c>
      <c r="H763" s="2" t="inlineStr">
        <is>
          <t>Tributylvinyltin (CID 81998)</t>
        </is>
      </c>
      <c r="I763" s="2" t="inlineStr">
        <is>
          <t>Stille vinylation reagent; recorded with the ester hydrolysis that followed.</t>
        </is>
      </c>
      <c r="J763" s="2" t="inlineStr">
        <is>
          <t>named and classified by a chemist agent; reviewed by an independent agent</t>
        </is>
      </c>
    </row>
    <row r="764">
      <c r="A764" s="3" t="inlineStr">
        <is>
          <t>CC1(C)C2CC[C@@]1(CS(=O)(=O)O)C(=O)C2</t>
        </is>
      </c>
      <c r="B764" s="2" t="inlineStr">
        <is>
          <t>(1S)-(+)-10-camphorsulfonic acid</t>
        </is>
      </c>
      <c r="C764" s="2" t="inlineStr">
        <is>
          <t>CSA</t>
        </is>
      </c>
      <c r="D764" s="2" t="inlineStr">
        <is>
          <t>acid</t>
        </is>
      </c>
      <c r="E764" s="2" t="inlineStr"/>
      <c r="F764" s="2" t="n"/>
      <c r="G764" s="2" t="n">
        <v>47</v>
      </c>
      <c r="H764" s="2" t="inlineStr">
        <is>
          <t>(1S)-(+)-Camphor-10-sulphonic acid (CID 218580)</t>
        </is>
      </c>
      <c r="I764" s="2" t="inlineStr">
        <is>
          <t>Strong organic acid catalyst; also used for salt formation or resolution.</t>
        </is>
      </c>
      <c r="J764" s="2" t="inlineStr">
        <is>
          <t>named and classified by a chemist agent; reviewed by an independent agent</t>
        </is>
      </c>
    </row>
    <row r="765">
      <c r="A765" s="3" t="inlineStr">
        <is>
          <t>CC(C)C1=CC(C(C)C)=C(c2ccccc2)C(C(C)C)(P(C2CCCCC2)C2CCCCC2)C1</t>
        </is>
      </c>
      <c r="B765" s="2" t="inlineStr">
        <is>
          <t>dicyclohexyl[2-phenyl-1,3,5-triisopropylcyclohexa-2,4-dien-1-yl]phosphine</t>
        </is>
      </c>
      <c r="C765" s="2" t="inlineStr">
        <is>
          <t>XPhos</t>
        </is>
      </c>
      <c r="D765" s="2" t="inlineStr">
        <is>
          <t>ligand</t>
        </is>
      </c>
      <c r="E765" s="2" t="inlineStr"/>
      <c r="F765" s="2" t="n"/>
      <c r="G765" s="2" t="n">
        <v>47</v>
      </c>
      <c r="H765" s="2" t="inlineStr"/>
      <c r="I765" s="2" t="inlineStr">
        <is>
          <t>Wrong structure for XPhos (+2H); Pd/LiHMDS Buchwald-Hartwig amination with morpholine.</t>
        </is>
      </c>
      <c r="J765" s="2" t="inlineStr">
        <is>
          <t>named and classified by a chemist agent; reviewed by an independent agent; name corrected after comparing with PubChem (was: XPhos (mis-drawn, dearomatized structure)); PubChem's title for this SMILES was wrong (2-Dicyclohexylphosphino-2,4,6-triisopropylbiphenyl (CID 67285932)): C33H51P, a dihydro (dearomatized) structure, not XPhos (C33H49P); PubChem title is a garbled XPhos name.</t>
        </is>
      </c>
    </row>
    <row r="766">
      <c r="A766" s="3" t="inlineStr">
        <is>
          <t>CCC(C)(C)[O-]</t>
        </is>
      </c>
      <c r="B766" s="2" t="inlineStr">
        <is>
          <t>tert-amylate (2-methyl-2-butoxide)</t>
        </is>
      </c>
      <c r="C766" s="2" t="inlineStr">
        <is>
          <t>NaOt-Am</t>
        </is>
      </c>
      <c r="D766" s="2" t="inlineStr">
        <is>
          <t>base</t>
        </is>
      </c>
      <c r="E766" s="2" t="inlineStr"/>
      <c r="F766" s="2" t="n">
        <v>17</v>
      </c>
      <c r="G766" s="2" t="n">
        <v>47</v>
      </c>
      <c r="H766" s="2" t="inlineStr">
        <is>
          <t>2-Methylbutan-2-olate (CID 5086053)</t>
        </is>
      </c>
      <c r="I766" s="2" t="inlineStr">
        <is>
          <t>Strong alkoxide base for Pd/dppf Buchwald-Hartwig amination; pKa of t-amyl alcohol about 17 in water (about 32 in DMSO).</t>
        </is>
      </c>
      <c r="J766" s="2" t="inlineStr">
        <is>
          <t>named and classified by a chemist agent; reviewed by an independent agent</t>
        </is>
      </c>
    </row>
    <row r="767">
      <c r="A767" s="3" t="inlineStr">
        <is>
          <t>[O-][Br+2]([O-])[O-]</t>
        </is>
      </c>
      <c r="B767" s="2" t="inlineStr">
        <is>
          <t>bromate ion</t>
        </is>
      </c>
      <c r="C767" s="2" t="inlineStr">
        <is>
          <t>NaBrO3</t>
        </is>
      </c>
      <c r="D767" s="2" t="inlineStr">
        <is>
          <t>oxidant</t>
        </is>
      </c>
      <c r="E767" s="2" t="inlineStr"/>
      <c r="F767" s="2" t="n"/>
      <c r="G767" s="2" t="n">
        <v>47</v>
      </c>
      <c r="H767" s="2" t="inlineStr"/>
      <c r="I767" s="2" t="inlineStr">
        <is>
          <t>Stoichiometric oxidant with Ce(III) catalyst for oxidative debenzylation of the benzyl ether.</t>
        </is>
      </c>
      <c r="J767" s="2" t="inlineStr">
        <is>
          <t>named and classified by a chemist agent; reviewed by an independent agent</t>
        </is>
      </c>
    </row>
    <row r="768">
      <c r="A768" s="3" t="inlineStr">
        <is>
          <t>Cc1ccc(S(=O)(=O)NN)cc1</t>
        </is>
      </c>
      <c r="B768" s="2" t="inlineStr">
        <is>
          <t>p-toluenesulfonyl hydrazide</t>
        </is>
      </c>
      <c r="C768" s="2" t="inlineStr">
        <is>
          <t>TsNHNH2</t>
        </is>
      </c>
      <c r="D768" s="2" t="inlineStr">
        <is>
          <t>nucleophile</t>
        </is>
      </c>
      <c r="E768" s="2" t="inlineStr">
        <is>
          <t>diimide precursor (reductant)</t>
        </is>
      </c>
      <c r="F768" s="2" t="n"/>
      <c r="G768" s="2" t="n">
        <v>47</v>
      </c>
      <c r="H768" s="2" t="inlineStr">
        <is>
          <t>P-Toluenesulfonylhydrazide (CID 15303)</t>
        </is>
      </c>
      <c r="I768" s="2" t="inlineStr">
        <is>
          <t>Forms tosylhydrazones with carbonyls or releases diimide on heating; unclear role in this reductive amination.</t>
        </is>
      </c>
      <c r="J768" s="2" t="inlineStr">
        <is>
          <t>named and classified by a chemist agent; reviewed by an independent agent</t>
        </is>
      </c>
    </row>
    <row r="769">
      <c r="A769" s="3" t="inlineStr">
        <is>
          <t>CCCC[P+](CCCC)(CCCC)CCCC</t>
        </is>
      </c>
      <c r="B769" s="2" t="inlineStr">
        <is>
          <t>tetrabutylphosphonium ion</t>
        </is>
      </c>
      <c r="C769" s="2" t="inlineStr">
        <is>
          <t>TBPB (Bu4P+ Br-)</t>
        </is>
      </c>
      <c r="D769" s="2" t="inlineStr">
        <is>
          <t>phase-transfer catalyst</t>
        </is>
      </c>
      <c r="E769" s="2" t="inlineStr"/>
      <c r="F769" s="2" t="n"/>
      <c r="G769" s="2" t="n">
        <v>46</v>
      </c>
      <c r="H769" s="2" t="inlineStr">
        <is>
          <t>Tetrabutylphosphonium cation (CID 75312)</t>
        </is>
      </c>
      <c r="I769" s="2" t="inlineStr">
        <is>
          <t>Bu4P+Br- accelerates HBr/AcOH O-demethylation of the aryl methyl ether.</t>
        </is>
      </c>
      <c r="J769" s="2" t="inlineStr">
        <is>
          <t>named and classified by a chemist agent; reviewed by an independent agent</t>
        </is>
      </c>
    </row>
    <row r="770">
      <c r="A770" s="3" t="inlineStr">
        <is>
          <t>O=S(=O)(O)c1ccccc1</t>
        </is>
      </c>
      <c r="B770" s="2" t="inlineStr">
        <is>
          <t>benzenesulfonic acid</t>
        </is>
      </c>
      <c r="C770" s="2" t="inlineStr">
        <is>
          <t>PhSO3H</t>
        </is>
      </c>
      <c r="D770" s="2" t="inlineStr">
        <is>
          <t>acid</t>
        </is>
      </c>
      <c r="E770" s="2" t="inlineStr">
        <is>
          <t>deprotecting agent</t>
        </is>
      </c>
      <c r="F770" s="2" t="n"/>
      <c r="G770" s="2" t="n">
        <v>46</v>
      </c>
      <c r="H770" s="2" t="inlineStr">
        <is>
          <t>Benzenesulfonic Acid (CID 7371)</t>
        </is>
      </c>
      <c r="I770" s="2" t="inlineStr">
        <is>
          <t>Strong acid that removes the Boc group and gives the besylate salt.</t>
        </is>
      </c>
      <c r="J770" s="2" t="inlineStr">
        <is>
          <t>named and classified by a chemist agent; reviewed by an independent agent</t>
        </is>
      </c>
    </row>
    <row r="771">
      <c r="A771" s="3" t="inlineStr">
        <is>
          <t>OCCCO</t>
        </is>
      </c>
      <c r="B771" s="2" t="inlineStr">
        <is>
          <t>1,3-propanediol</t>
        </is>
      </c>
      <c r="C771" s="2" t="inlineStr"/>
      <c r="D771" s="2" t="inlineStr">
        <is>
          <t>other</t>
        </is>
      </c>
      <c r="E771" s="2" t="inlineStr">
        <is>
          <t>protecting-group reagent (1,3-dioxane acetals)</t>
        </is>
      </c>
      <c r="F771" s="2" t="n"/>
      <c r="G771" s="2" t="n">
        <v>46</v>
      </c>
      <c r="H771" s="2" t="inlineStr">
        <is>
          <t>1,3-Propanediol (CID 10442)</t>
        </is>
      </c>
      <c r="I771" s="2" t="inlineStr">
        <is>
          <t>Related to the 3-hydroxypropoxy substrate; no reagent role in this mesylation.</t>
        </is>
      </c>
      <c r="J771" s="2" t="inlineStr">
        <is>
          <t>named and classified by a chemist agent; reviewed by an independent agent</t>
        </is>
      </c>
    </row>
    <row r="772">
      <c r="A772" s="3" t="inlineStr">
        <is>
          <t>CC(C)(C)c1cccc(C(C)(C)C)n1</t>
        </is>
      </c>
      <c r="B772" s="2" t="inlineStr">
        <is>
          <t>2,6-di-tert-butylpyridine</t>
        </is>
      </c>
      <c r="C772" s="2" t="inlineStr">
        <is>
          <t>2,6-DTBP (DTBPy)</t>
        </is>
      </c>
      <c r="D772" s="2" t="inlineStr">
        <is>
          <t>base</t>
        </is>
      </c>
      <c r="E772" s="2" t="inlineStr"/>
      <c r="F772" s="2" t="n">
        <v>3.6</v>
      </c>
      <c r="G772" s="2" t="n">
        <v>46</v>
      </c>
      <c r="H772" s="2" t="inlineStr">
        <is>
          <t>2,6-Di-tert-butylpyridine (CID 68510)</t>
        </is>
      </c>
      <c r="I772" s="2" t="inlineStr">
        <is>
          <t>Hindered, non-nucleophilic proton scavenger; here used with HBTU in amide coupling; pKa in 50% aqueous EtOH.</t>
        </is>
      </c>
      <c r="J772" s="2" t="inlineStr">
        <is>
          <t>named and classified by a chemist agent; reviewed by an independent agent; corrected abbreviation (This table already uses DTBP for di-tert-butyl peroxide (entry 862), which is the more common meaning. The pyridine base needs a distinct abbreviation.)</t>
        </is>
      </c>
    </row>
    <row r="773">
      <c r="A773" s="3" t="inlineStr">
        <is>
          <t>[Cl][Ru][Cl]</t>
        </is>
      </c>
      <c r="B773" s="2" t="inlineStr">
        <is>
          <t>ruthenium(II) chloride (RuCl2)</t>
        </is>
      </c>
      <c r="C773" s="2" t="inlineStr">
        <is>
          <t>RuCl2(PPh3)3</t>
        </is>
      </c>
      <c r="D773" s="2" t="inlineStr">
        <is>
          <t>oxidizing catalyst</t>
        </is>
      </c>
      <c r="E773" s="2" t="inlineStr"/>
      <c r="F773" s="2" t="n"/>
      <c r="G773" s="2" t="n">
        <v>46</v>
      </c>
      <c r="H773" s="2" t="inlineStr">
        <is>
          <t>Ruthenium dichloride (CID 150195)</t>
        </is>
      </c>
      <c r="I773" s="2" t="inlineStr">
        <is>
          <t>With PPh3 it is RuCl2(PPh3)3; catalyses oxidation of the primary alcohol to the aldehyde with a hypervalent iodine oxidant.</t>
        </is>
      </c>
      <c r="J773" s="2" t="inlineStr">
        <is>
          <t>named and classified by a chemist agent; reviewed by an independent agent; name corrected after comparing with PubChem (was: ruthenium(II) chloride (RuCl2(PPh3)3))</t>
        </is>
      </c>
    </row>
    <row r="774">
      <c r="A774" s="3" t="inlineStr">
        <is>
          <t>CCCC[n+]1ccn(C)c1</t>
        </is>
      </c>
      <c r="B774" s="2" t="inlineStr">
        <is>
          <t>1-butyl-3-methylimidazolium ion</t>
        </is>
      </c>
      <c r="C774" s="2" t="inlineStr">
        <is>
          <t>[BMIM]PF6</t>
        </is>
      </c>
      <c r="D774" s="2" t="inlineStr">
        <is>
          <t>solvent</t>
        </is>
      </c>
      <c r="E774" s="2" t="inlineStr"/>
      <c r="F774" s="2" t="n"/>
      <c r="G774" s="2" t="n">
        <v>46</v>
      </c>
      <c r="H774" s="2" t="inlineStr">
        <is>
          <t>1-Butyl-3-methylimidazolium (CID 2734162)</t>
        </is>
      </c>
      <c r="I774" s="2" t="inlineStr">
        <is>
          <t>Ionic-liquid cation (PF6- salt); used here as the medium for an amide coupling.</t>
        </is>
      </c>
      <c r="J774" s="2" t="inlineStr">
        <is>
          <t>named and classified by a chemist agent; reviewed by an independent agent</t>
        </is>
      </c>
    </row>
    <row r="775">
      <c r="A775" s="3" t="inlineStr">
        <is>
          <t>CC(C)(C)[O][Al]([O]C(C)(C)C)[O]C(C)(C)C</t>
        </is>
      </c>
      <c r="B775" s="2" t="inlineStr">
        <is>
          <t>aluminum tri-tert-butoxide</t>
        </is>
      </c>
      <c r="C775" s="2" t="inlineStr">
        <is>
          <t>LiAlH(Ot-Bu)3</t>
        </is>
      </c>
      <c r="D775" s="2" t="inlineStr">
        <is>
          <t>reductant</t>
        </is>
      </c>
      <c r="E775" s="2" t="inlineStr"/>
      <c r="F775" s="2" t="n"/>
      <c r="G775" s="2" t="n">
        <v>46</v>
      </c>
      <c r="H775" s="2" t="inlineStr">
        <is>
          <t>ALUMINUM-tert-BUTOXIDE (CID 16684776)</t>
        </is>
      </c>
      <c r="I775" s="2" t="inlineStr">
        <is>
          <t>Mild bulky hydride (H- and Li+ listed separately); reduces the aldehyde selectively over the ketone.</t>
        </is>
      </c>
      <c r="J775" s="2" t="inlineStr">
        <is>
          <t>named and classified by a chemist agent; reviewed by an independent agent; name corrected after comparing with PubChem (was: lithium tri-tert-butoxyaluminum hydride (fragment))</t>
        </is>
      </c>
    </row>
    <row r="776">
      <c r="A776" s="3" t="inlineStr">
        <is>
          <t>c1ccc2ccccc2c1</t>
        </is>
      </c>
      <c r="B776" s="2" t="inlineStr">
        <is>
          <t>naphthalene</t>
        </is>
      </c>
      <c r="C776" s="2" t="inlineStr"/>
      <c r="D776" s="2" t="inlineStr">
        <is>
          <t>other</t>
        </is>
      </c>
      <c r="E776" s="2" t="inlineStr">
        <is>
          <t>internal standard</t>
        </is>
      </c>
      <c r="F776" s="2" t="n"/>
      <c r="G776" s="2" t="n">
        <v>46</v>
      </c>
      <c r="H776" s="2" t="inlineStr">
        <is>
          <t>Naphthalene (CID 931)</t>
        </is>
      </c>
      <c r="I776" s="2" t="inlineStr">
        <is>
          <t>No reagent role in this Pd amination; possibly an internal standard (or with Li, lithium naphthalenide).</t>
        </is>
      </c>
      <c r="J776" s="2" t="inlineStr">
        <is>
          <t>named and classified by a chemist agent; reviewed by an independent agent</t>
        </is>
      </c>
    </row>
    <row r="777">
      <c r="A777" s="3" t="inlineStr">
        <is>
          <t>CCOC(=O)C1=C(C)NC(C)=C(C(=O)OCC)C1</t>
        </is>
      </c>
      <c r="B777" s="2" t="inlineStr">
        <is>
          <t>Hantzsch ester (diethyl 2,6-dimethyl-1,4-dihydropyridine-3,5-dicarboxylate)</t>
        </is>
      </c>
      <c r="C777" s="2" t="inlineStr">
        <is>
          <t>HEH</t>
        </is>
      </c>
      <c r="D777" s="2" t="inlineStr">
        <is>
          <t>reductant</t>
        </is>
      </c>
      <c r="E777" s="2" t="inlineStr"/>
      <c r="F777" s="2" t="n"/>
      <c r="G777" s="2" t="n">
        <v>46</v>
      </c>
      <c r="H777" s="2" t="inlineStr">
        <is>
          <t>Hantzsch ester (CID 70849)</t>
        </is>
      </c>
      <c r="I777" s="2" t="inlineStr">
        <is>
          <t>Organic hydride donor for Sc(OTf)3-catalysed reductive amination.</t>
        </is>
      </c>
      <c r="J777" s="2" t="inlineStr">
        <is>
          <t>named and classified by a chemist agent; reviewed by an independent agent</t>
        </is>
      </c>
    </row>
    <row r="778">
      <c r="A778" s="3" t="inlineStr">
        <is>
          <t>CC[N+](=O)[O-]</t>
        </is>
      </c>
      <c r="B778" s="2" t="inlineStr">
        <is>
          <t>nitroethane</t>
        </is>
      </c>
      <c r="C778" s="2" t="inlineStr">
        <is>
          <t>EtNO2</t>
        </is>
      </c>
      <c r="D778" s="2" t="inlineStr">
        <is>
          <t>solvent</t>
        </is>
      </c>
      <c r="E778" s="2" t="inlineStr"/>
      <c r="F778" s="2" t="n"/>
      <c r="G778" s="2" t="n">
        <v>46</v>
      </c>
      <c r="H778" s="2" t="inlineStr">
        <is>
          <t>Nitroethane (CID 6587)</t>
        </is>
      </c>
      <c r="I778" s="2" t="inlineStr">
        <is>
          <t>Polar, nitration-stable solvent for HNO3/P4O10/oleum nitration.</t>
        </is>
      </c>
      <c r="J778" s="2" t="inlineStr">
        <is>
          <t>named and classified by a chemist agent; reviewed by an independent agent</t>
        </is>
      </c>
    </row>
    <row r="779">
      <c r="A779" s="3" t="inlineStr">
        <is>
          <t>N#[O+]</t>
        </is>
      </c>
      <c r="B779" s="2" t="inlineStr">
        <is>
          <t>nitrosonium ion</t>
        </is>
      </c>
      <c r="C779" s="2" t="inlineStr">
        <is>
          <t>NOBF4</t>
        </is>
      </c>
      <c r="D779" s="2" t="inlineStr">
        <is>
          <t>reactant (inorganic)</t>
        </is>
      </c>
      <c r="E779" s="2" t="inlineStr">
        <is>
          <t>nitrosating agent; oxidant</t>
        </is>
      </c>
      <c r="F779" s="2" t="n"/>
      <c r="G779" s="2" t="n">
        <v>46</v>
      </c>
      <c r="H779" s="2" t="inlineStr">
        <is>
          <t>Azanylidyneoxidanium (CID 84878)</t>
        </is>
      </c>
      <c r="I779" s="2" t="inlineStr">
        <is>
          <t>Diazotizes the aniline in MeCN (BF4- salt) before iodide substitution.</t>
        </is>
      </c>
      <c r="J779" s="2" t="inlineStr">
        <is>
          <t>named and classified by a chemist agent; reviewed by an independent agent</t>
        </is>
      </c>
    </row>
    <row r="780">
      <c r="A780" s="3" t="inlineStr">
        <is>
          <t>COS(=O)(=O)C(F)(F)F</t>
        </is>
      </c>
      <c r="B780" s="2" t="inlineStr">
        <is>
          <t>methyl trifluoromethanesulfonate</t>
        </is>
      </c>
      <c r="C780" s="2" t="inlineStr">
        <is>
          <t>MeOTf</t>
        </is>
      </c>
      <c r="D780" s="2" t="inlineStr">
        <is>
          <t>electrophile / alkylating agent</t>
        </is>
      </c>
      <c r="E780" s="2" t="inlineStr"/>
      <c r="F780" s="2" t="n"/>
      <c r="G780" s="2" t="n">
        <v>46</v>
      </c>
      <c r="H780" s="2" t="inlineStr">
        <is>
          <t>Methyl triflate (CID 9526)</t>
        </is>
      </c>
      <c r="I780" s="2" t="inlineStr">
        <is>
          <t>Powerful methylating agent, used with Proton Sponge for O-methylation of alcohols.</t>
        </is>
      </c>
      <c r="J780" s="2" t="inlineStr">
        <is>
          <t>named and classified by a chemist agent; reviewed by an independent agent</t>
        </is>
      </c>
    </row>
    <row r="781">
      <c r="A781" s="3" t="inlineStr">
        <is>
          <t>CCC[CH2][Sn]([Cl])([CH2]CCC)[CH2]CCC</t>
        </is>
      </c>
      <c r="B781" s="2" t="inlineStr">
        <is>
          <t>tributyltin chloride</t>
        </is>
      </c>
      <c r="C781" s="2" t="inlineStr">
        <is>
          <t>Bu3SnCl</t>
        </is>
      </c>
      <c r="D781" s="2" t="inlineStr">
        <is>
          <t>organometallic reagent</t>
        </is>
      </c>
      <c r="E781" s="2" t="inlineStr">
        <is>
          <t>Lewis acid</t>
        </is>
      </c>
      <c r="F781" s="2" t="n"/>
      <c r="G781" s="2" t="n">
        <v>46</v>
      </c>
      <c r="H781" s="2" t="inlineStr">
        <is>
          <t>Tributyltin Chloride (CID 15096)</t>
        </is>
      </c>
      <c r="I781" s="2" t="inlineStr">
        <is>
          <t>With NaN3 it forms Bu3SnN3 in situ, which converts the nitrile to the 5-substituted tetrazole.</t>
        </is>
      </c>
      <c r="J781" s="2" t="inlineStr">
        <is>
          <t>named and classified by a chemist agent; reviewed by an independent agent</t>
        </is>
      </c>
    </row>
    <row r="782">
      <c r="A782" s="3" t="inlineStr">
        <is>
          <t>[B]1Oc2ccccc2O1</t>
        </is>
      </c>
      <c r="B782" s="2" t="inlineStr">
        <is>
          <t>catecholboryl (catecholborane fragment)</t>
        </is>
      </c>
      <c r="C782" s="2" t="inlineStr">
        <is>
          <t>HBcat</t>
        </is>
      </c>
      <c r="D782" s="2" t="inlineStr">
        <is>
          <t>reductant</t>
        </is>
      </c>
      <c r="E782" s="2" t="inlineStr"/>
      <c r="F782" s="2" t="n"/>
      <c r="G782" s="2" t="n">
        <v>46</v>
      </c>
      <c r="H782" s="2" t="inlineStr"/>
      <c r="I782" s="2" t="inlineStr">
        <is>
          <t>Catecholborane drawn without its B-H; hydroboration or reduction reagent; artifact in this esterification.</t>
        </is>
      </c>
      <c r="J782" s="2" t="inlineStr">
        <is>
          <t>named and classified by a chemist agent; reviewed by an independent agent; PubChem's title for this SMILES was wrong (Benzcatechinborane (CID 6327445)): B carries no H (radical); PubChem title is catecholborane (HBcat).</t>
        </is>
      </c>
    </row>
    <row r="783">
      <c r="A783" s="3" t="inlineStr">
        <is>
          <t>CCCc1c(CNC)ccc2ccccc12</t>
        </is>
      </c>
      <c r="B783" s="2" t="inlineStr">
        <is>
          <t>N-methyl-1-(1-propylnaphthalen-2-yl)methanamine</t>
        </is>
      </c>
      <c r="C783" s="2" t="inlineStr"/>
      <c r="D783" s="2" t="inlineStr">
        <is>
          <t>other</t>
        </is>
      </c>
      <c r="E783" s="2" t="inlineStr"/>
      <c r="F783" s="2" t="n"/>
      <c r="G783" s="2" t="n">
        <v>46</v>
      </c>
      <c r="H783" s="2" t="inlineStr">
        <is>
          <t>Methyl-(1-propyl-naphthalen-2-ylmethyl)amine (CID 59456959)</t>
        </is>
      </c>
      <c r="I783" s="2" t="inlineStr">
        <is>
          <t>Amine analog of the coupling partner, recorded among the agents of an amide coupling.</t>
        </is>
      </c>
      <c r="J783" s="2" t="inlineStr">
        <is>
          <t>named and classified by a chemist agent; reviewed by an independent agent</t>
        </is>
      </c>
    </row>
    <row r="784">
      <c r="A784" s="3" t="inlineStr">
        <is>
          <t>CC(=O)/C=C(/C)O</t>
        </is>
      </c>
      <c r="B784" s="2" t="inlineStr">
        <is>
          <t>acetylacetone (enol form)</t>
        </is>
      </c>
      <c r="C784" s="2" t="inlineStr">
        <is>
          <t>acac</t>
        </is>
      </c>
      <c r="D784" s="2" t="inlineStr">
        <is>
          <t>ligand</t>
        </is>
      </c>
      <c r="E784" s="2" t="inlineStr"/>
      <c r="F784" s="2" t="n"/>
      <c r="G784" s="2" t="n">
        <v>45</v>
      </c>
      <c r="H784" s="2" t="inlineStr">
        <is>
          <t>3-Penten-2-one, 4-hydroxy- (CID 643791)</t>
        </is>
      </c>
      <c r="I784" s="2" t="inlineStr">
        <is>
          <t>Chelating ligand for the copper catalyst in NaBH4 reduction of the nitroarene.</t>
        </is>
      </c>
      <c r="J784" s="2" t="inlineStr">
        <is>
          <t>named and classified by a chemist agent; reviewed by an independent agent</t>
        </is>
      </c>
    </row>
    <row r="785">
      <c r="A785" s="3" t="inlineStr">
        <is>
          <t>NCc1ccccn1</t>
        </is>
      </c>
      <c r="B785" s="2" t="inlineStr">
        <is>
          <t>2-picolylamine (2-(aminomethyl)pyridine)</t>
        </is>
      </c>
      <c r="C785" s="2" t="inlineStr"/>
      <c r="D785" s="2" t="inlineStr">
        <is>
          <t>nucleophile</t>
        </is>
      </c>
      <c r="E785" s="2" t="inlineStr"/>
      <c r="F785" s="2" t="n"/>
      <c r="G785" s="2" t="n">
        <v>45</v>
      </c>
      <c r="H785" s="2" t="inlineStr">
        <is>
          <t>2-Pyridinemethanamine (CID 19509)</t>
        </is>
      </c>
      <c r="I785" s="2" t="inlineStr">
        <is>
          <t>Amine used in the earlier amide step; recorded with the ester hydrolysis.</t>
        </is>
      </c>
      <c r="J785" s="2" t="inlineStr">
        <is>
          <t>named and classified by a chemist agent; reviewed by an independent agent</t>
        </is>
      </c>
    </row>
    <row r="786">
      <c r="A786" s="3" t="inlineStr">
        <is>
          <t>NC1CCC1</t>
        </is>
      </c>
      <c r="B786" s="2" t="inlineStr">
        <is>
          <t>cyclobutylamine</t>
        </is>
      </c>
      <c r="C786" s="2" t="inlineStr"/>
      <c r="D786" s="2" t="inlineStr">
        <is>
          <t>nucleophile</t>
        </is>
      </c>
      <c r="E786" s="2" t="inlineStr"/>
      <c r="F786" s="2" t="n"/>
      <c r="G786" s="2" t="n">
        <v>45</v>
      </c>
      <c r="H786" s="2" t="inlineStr">
        <is>
          <t>Cyclobutylamine (CID 75645)</t>
        </is>
      </c>
      <c r="I786" s="2" t="inlineStr">
        <is>
          <t>Primary amine for amide or urea formation; artifact in this O-alkylation.</t>
        </is>
      </c>
      <c r="J786" s="2" t="inlineStr">
        <is>
          <t>named and classified by a chemist agent; reviewed by an independent agent</t>
        </is>
      </c>
    </row>
    <row r="787">
      <c r="A787" s="3" t="inlineStr">
        <is>
          <t>CC(C)(C)[NH3+]</t>
        </is>
      </c>
      <c r="B787" s="2" t="inlineStr">
        <is>
          <t>tert-butylammonium ion</t>
        </is>
      </c>
      <c r="C787" s="2" t="inlineStr">
        <is>
          <t>t-BuNH3+</t>
        </is>
      </c>
      <c r="D787" s="2" t="inlineStr">
        <is>
          <t>counter-ion / spectator ion</t>
        </is>
      </c>
      <c r="E787" s="2" t="inlineStr"/>
      <c r="F787" s="2" t="n"/>
      <c r="G787" s="2" t="n">
        <v>45</v>
      </c>
      <c r="H787" s="2" t="inlineStr">
        <is>
          <t>Tert-butylammonium (CID 3833866)</t>
        </is>
      </c>
      <c r="I787" s="2" t="inlineStr">
        <is>
          <t>Ammonium counter-ion (e.g., from an erbumine salt); no clear role in this K2CO3/KI O-alkylation.</t>
        </is>
      </c>
      <c r="J787" s="2" t="inlineStr">
        <is>
          <t>named and classified by a chemist agent; reviewed by an independent agent</t>
        </is>
      </c>
    </row>
    <row r="788">
      <c r="A788" s="3" t="inlineStr">
        <is>
          <t>O=c1n(Cl)c(=O)n(Cl)c(=O)n1Cl</t>
        </is>
      </c>
      <c r="B788" s="2" t="inlineStr">
        <is>
          <t>trichloroisocyanuric acid</t>
        </is>
      </c>
      <c r="C788" s="2" t="inlineStr">
        <is>
          <t>TCCA</t>
        </is>
      </c>
      <c r="D788" s="2" t="inlineStr">
        <is>
          <t>oxidant</t>
        </is>
      </c>
      <c r="E788" s="2" t="inlineStr">
        <is>
          <t>halogenating agent</t>
        </is>
      </c>
      <c r="F788" s="2" t="n"/>
      <c r="G788" s="2" t="n">
        <v>45</v>
      </c>
      <c r="H788" s="2" t="inlineStr">
        <is>
          <t>Trichloroisocyanuric Acid (CID 6909)</t>
        </is>
      </c>
      <c r="I788" s="2" t="inlineStr">
        <is>
          <t>Terminal oxidant (usually with TEMPO) that oxidizes the primary alcohol to the aldehyde.</t>
        </is>
      </c>
      <c r="J788" s="2" t="inlineStr">
        <is>
          <t>named and classified by a chemist agent; reviewed by an independent agent</t>
        </is>
      </c>
    </row>
    <row r="789">
      <c r="A789" s="3" t="inlineStr">
        <is>
          <t>[Li][N]([Si](C)(C)C)[Si](C)(C)C</t>
        </is>
      </c>
      <c r="B789" s="2" t="inlineStr">
        <is>
          <t>lithium bis(trimethylsilyl)amide</t>
        </is>
      </c>
      <c r="C789" s="2" t="inlineStr">
        <is>
          <t>LiHMDS</t>
        </is>
      </c>
      <c r="D789" s="2" t="inlineStr">
        <is>
          <t>base</t>
        </is>
      </c>
      <c r="E789" s="2" t="inlineStr"/>
      <c r="F789" s="2" t="n">
        <v>26</v>
      </c>
      <c r="G789" s="2" t="n">
        <v>45</v>
      </c>
      <c r="H789" s="2" t="inlineStr">
        <is>
          <t>Lithium hexamethyldisilazane (CID 2733832)</t>
        </is>
      </c>
      <c r="I789" s="2" t="inlineStr">
        <is>
          <t>Strong non-nucleophilic base for Pd-catalysed amination of the aryl bromide with N-ethylpiperazine; pKa of HMDS in THF (about 30 in DMSO).</t>
        </is>
      </c>
      <c r="J789" s="2" t="inlineStr">
        <is>
          <t>named and classified by a chemist agent; reviewed by an independent agent</t>
        </is>
      </c>
    </row>
    <row r="790">
      <c r="A790" s="3" t="inlineStr">
        <is>
          <t>OCCOCCOCCO</t>
        </is>
      </c>
      <c r="B790" s="2" t="inlineStr">
        <is>
          <t>triethylene glycol</t>
        </is>
      </c>
      <c r="C790" s="2" t="inlineStr">
        <is>
          <t>TEG</t>
        </is>
      </c>
      <c r="D790" s="2" t="inlineStr">
        <is>
          <t>solvent</t>
        </is>
      </c>
      <c r="E790" s="2" t="inlineStr"/>
      <c r="F790" s="2" t="n"/>
      <c r="G790" s="2" t="n">
        <v>45</v>
      </c>
      <c r="H790" s="2" t="inlineStr">
        <is>
          <t>Triethylene Glycol (CID 8172)</t>
        </is>
      </c>
      <c r="I790" s="2" t="inlineStr">
        <is>
          <t>High-boiling solvent for the Huang-Minlon Wolff-Kishner reduction (N2H4/KOH).</t>
        </is>
      </c>
      <c r="J790" s="2" t="inlineStr">
        <is>
          <t>named and classified by a chemist agent; reviewed by an independent agent</t>
        </is>
      </c>
    </row>
    <row r="791">
      <c r="A791" s="3" t="inlineStr">
        <is>
          <t>C=C[CH2-]</t>
        </is>
      </c>
      <c r="B791" s="2" t="inlineStr">
        <is>
          <t>allyl anion (from allylpalladium chloride)</t>
        </is>
      </c>
      <c r="C791" s="2" t="inlineStr">
        <is>
          <t>[Pd(allyl)Cl]2 (fragment)</t>
        </is>
      </c>
      <c r="D791" s="2" t="inlineStr">
        <is>
          <t>ligand</t>
        </is>
      </c>
      <c r="E791" s="2" t="inlineStr"/>
      <c r="F791" s="2" t="n"/>
      <c r="G791" s="2" t="n">
        <v>45</v>
      </c>
      <c r="H791" s="2" t="inlineStr"/>
      <c r="I791" s="2" t="inlineStr">
        <is>
          <t>Allyl ligand of the Pd precatalyst with cBRIDP phosphine; Buchwald-Hartwig amination.</t>
        </is>
      </c>
      <c r="J791" s="2" t="inlineStr">
        <is>
          <t>named and classified by a chemist agent; reviewed by an independent agent; PubChem's title for this SMILES was wrong (CID 12349196 (CID 12349196)): PubChem gave only a CID, no name.</t>
        </is>
      </c>
    </row>
    <row r="792">
      <c r="A792" s="3" t="inlineStr">
        <is>
          <t>COCCl</t>
        </is>
      </c>
      <c r="B792" s="2" t="inlineStr">
        <is>
          <t>chloromethyl methyl ether</t>
        </is>
      </c>
      <c r="C792" s="2" t="inlineStr">
        <is>
          <t>MOMCl</t>
        </is>
      </c>
      <c r="D792" s="2" t="inlineStr">
        <is>
          <t>protecting-group reagent</t>
        </is>
      </c>
      <c r="E792" s="2" t="inlineStr">
        <is>
          <t>electrophile / alkylating agent</t>
        </is>
      </c>
      <c r="F792" s="2" t="n"/>
      <c r="G792" s="2" t="n">
        <v>45</v>
      </c>
      <c r="H792" s="2" t="inlineStr">
        <is>
          <t>Chloromethyl Methyl Ether (CID 7864)</t>
        </is>
      </c>
      <c r="I792" s="2" t="inlineStr">
        <is>
          <t>With NaH it alkylates the alcohol (MOM ether protection; recorded product shown as the methyl ether).</t>
        </is>
      </c>
      <c r="J792" s="2" t="inlineStr">
        <is>
          <t>named and classified by a chemist agent; reviewed by an independent agent</t>
        </is>
      </c>
    </row>
    <row r="793">
      <c r="A793" s="3" t="inlineStr">
        <is>
          <t>CCN(C)C</t>
        </is>
      </c>
      <c r="B793" s="2" t="inlineStr">
        <is>
          <t>N,N-dimethylethylamine</t>
        </is>
      </c>
      <c r="C793" s="2" t="inlineStr">
        <is>
          <t>DMEA</t>
        </is>
      </c>
      <c r="D793" s="2" t="inlineStr">
        <is>
          <t>base</t>
        </is>
      </c>
      <c r="E793" s="2" t="inlineStr"/>
      <c r="F793" s="2" t="n">
        <v>10.2</v>
      </c>
      <c r="G793" s="2" t="n">
        <v>44</v>
      </c>
      <c r="H793" s="2" t="inlineStr">
        <is>
          <t>Dimethylethylamine (CID 11723)</t>
        </is>
      </c>
      <c r="I793" s="2" t="inlineStr">
        <is>
          <t>Tertiary amine base (likely work-up or neutralization); pKa in water.</t>
        </is>
      </c>
      <c r="J793" s="2" t="inlineStr">
        <is>
          <t>named and classified by a chemist agent; reviewed by an independent agent</t>
        </is>
      </c>
    </row>
    <row r="794">
      <c r="A794" s="3" t="inlineStr">
        <is>
          <t>N[C@@H](Cc1ccc2ccccc2c1)C(=O)O</t>
        </is>
      </c>
      <c r="B794" s="2" t="inlineStr">
        <is>
          <t>3-(2-naphthyl)-L-alanine</t>
        </is>
      </c>
      <c r="C794" s="2" t="inlineStr">
        <is>
          <t>2-Nal</t>
        </is>
      </c>
      <c r="D794" s="2" t="inlineStr">
        <is>
          <t>other</t>
        </is>
      </c>
      <c r="E794" s="2" t="inlineStr"/>
      <c r="F794" s="2" t="n"/>
      <c r="G794" s="2" t="n">
        <v>44</v>
      </c>
      <c r="H794" s="2" t="inlineStr">
        <is>
          <t>2-Naphthylalanine (CID 185915)</t>
        </is>
      </c>
      <c r="I794" s="2" t="inlineStr">
        <is>
          <t>No reagent role in this phenol O-alkylation (recording artifact).</t>
        </is>
      </c>
      <c r="J794" s="2" t="inlineStr">
        <is>
          <t>named and classified by a chemist agent; reviewed by an independent agent</t>
        </is>
      </c>
    </row>
    <row r="795">
      <c r="A795" s="3" t="inlineStr">
        <is>
          <t>CS(=O)(=O)c1ccc(N(CC2CCCC2)C(=O)Nc2nc(CC(=O)O)cs2)cc1</t>
        </is>
      </c>
      <c r="B795" s="2" t="inlineStr">
        <is>
          <t>2-[2-[3-(cyclopentylmethyl)-3-(4-methylsulfonylphenyl)ureido]thiazol-4-yl]acetic acid</t>
        </is>
      </c>
      <c r="C795" s="2" t="inlineStr"/>
      <c r="D795" s="2" t="inlineStr">
        <is>
          <t>other</t>
        </is>
      </c>
      <c r="E795" s="2" t="inlineStr"/>
      <c r="F795" s="2" t="n"/>
      <c r="G795" s="2" t="n">
        <v>44</v>
      </c>
      <c r="H795" s="2" t="inlineStr">
        <is>
          <t>{2-[3-Cyclopentylmethyl-3-(4-methanesulfonyl-phenyl)-ureido]thiazol-4-yl}-acetic acid (CID 57668194)</t>
        </is>
      </c>
      <c r="I795" s="2" t="inlineStr">
        <is>
          <t>Product analog (glucokinase-activator series) recorded among the agents of an ester hydrolysis.</t>
        </is>
      </c>
      <c r="J795" s="2" t="inlineStr">
        <is>
          <t>named and classified by a chemist agent; reviewed by an independent agent</t>
        </is>
      </c>
    </row>
    <row r="796">
      <c r="A796" s="3" t="inlineStr">
        <is>
          <t>O=C(O)C(Cl)(Cl)Cl</t>
        </is>
      </c>
      <c r="B796" s="2" t="inlineStr">
        <is>
          <t>trichloroacetic acid</t>
        </is>
      </c>
      <c r="C796" s="2" t="inlineStr">
        <is>
          <t>TCA</t>
        </is>
      </c>
      <c r="D796" s="2" t="inlineStr">
        <is>
          <t>acid</t>
        </is>
      </c>
      <c r="E796" s="2" t="inlineStr">
        <is>
          <t>deprotecting agent</t>
        </is>
      </c>
      <c r="F796" s="2" t="n"/>
      <c r="G796" s="2" t="n">
        <v>44</v>
      </c>
      <c r="H796" s="2" t="inlineStr">
        <is>
          <t>Trichloroacetic Acid (CID 6421)</t>
        </is>
      </c>
      <c r="I796" s="2" t="inlineStr">
        <is>
          <t>Strong acid in DCM for acid-labile group removal (e.g., t-Bu ester or trityl/DMT).</t>
        </is>
      </c>
      <c r="J796" s="2" t="inlineStr">
        <is>
          <t>named and classified by a chemist agent; reviewed by an independent agent</t>
        </is>
      </c>
    </row>
    <row r="797">
      <c r="A797" s="3" t="inlineStr">
        <is>
          <t>C1=NCCCN(C2CCCCCCCCCC2)CCCCC1</t>
        </is>
      </c>
      <c r="B797" s="2" t="inlineStr">
        <is>
          <t>5-cycloundecyl-1,5-diazacycloundec-1(11)-ene</t>
        </is>
      </c>
      <c r="C797" s="2" t="inlineStr">
        <is>
          <t>DBU</t>
        </is>
      </c>
      <c r="D797" s="2" t="inlineStr">
        <is>
          <t>base</t>
        </is>
      </c>
      <c r="E797" s="2" t="inlineStr"/>
      <c r="F797" s="2" t="n">
        <v>13.5</v>
      </c>
      <c r="G797" s="2" t="n">
        <v>44</v>
      </c>
      <c r="H797" s="2" t="inlineStr"/>
      <c r="I797" s="2" t="inlineStr">
        <is>
          <t>Wrong name-to-structure conversion of DBU; base for N-benzoylation of the hindered aniline; pKa in water.</t>
        </is>
      </c>
      <c r="J797" s="2" t="inlineStr">
        <is>
          <t>named and classified by a chemist agent; reviewed by an independent agent; name corrected after comparing with PubChem (was: DBU (mis-parsed structure)); PubChem's title for this SMILES was wrong (1,8-Diazabicycloundec-7ene (CID 129662960)): C20H38N2 monocyclic diazacycloundecene with N-cycloundecyl; neither DBU nor the DBU title PubChem returned.</t>
        </is>
      </c>
    </row>
    <row r="798">
      <c r="A798" s="3" t="inlineStr">
        <is>
          <t>CN1CCCCC1</t>
        </is>
      </c>
      <c r="B798" s="2" t="inlineStr">
        <is>
          <t>N-methylpiperidine</t>
        </is>
      </c>
      <c r="C798" s="2" t="inlineStr">
        <is>
          <t>N-Me-piperidine (no standard abbreviation; do not use NMP)</t>
        </is>
      </c>
      <c r="D798" s="2" t="inlineStr">
        <is>
          <t>base</t>
        </is>
      </c>
      <c r="E798" s="2" t="inlineStr"/>
      <c r="F798" s="2" t="n">
        <v>10.1</v>
      </c>
      <c r="G798" s="2" t="n">
        <v>44</v>
      </c>
      <c r="H798" s="2" t="inlineStr">
        <is>
          <t>N-Methylpiperidine (CID 12291)</t>
        </is>
      </c>
      <c r="I798" s="2" t="inlineStr">
        <is>
          <t>Tertiary amine base for amide coupling of the Boc-dipeptide acid; pKa in water.</t>
        </is>
      </c>
      <c r="J798" s="2" t="inlineStr">
        <is>
          <t>named and classified by a chemist agent; reviewed by an independent agent; corrected abbreviation (NMP almost always means N-methyl-2-pyrrolidone, a common solvent in these reaction records, so an abbreviation lookup would send this base to the wrong compound)</t>
        </is>
      </c>
    </row>
    <row r="799">
      <c r="A799" s="3" t="inlineStr">
        <is>
          <t>[O-]B[O-]</t>
        </is>
      </c>
      <c r="B799" s="2" t="inlineStr">
        <is>
          <t>hydrido-dioxoborate (boronate fragment)</t>
        </is>
      </c>
      <c r="C799" s="2" t="inlineStr"/>
      <c r="D799" s="2" t="inlineStr">
        <is>
          <t>other</t>
        </is>
      </c>
      <c r="E799" s="2" t="inlineStr"/>
      <c r="F799" s="2" t="n"/>
      <c r="G799" s="2" t="n">
        <v>44</v>
      </c>
      <c r="H799" s="2" t="inlineStr"/>
      <c r="I799" s="2" t="inlineStr">
        <is>
          <t>Probably a mis-parsed boron species (borate or boronic acid by-product) in this Pd/PCy3 Suzuki coupling.</t>
        </is>
      </c>
      <c r="J799" s="2" t="inlineStr">
        <is>
          <t>named and classified by a chemist agent; reviewed by an independent agent</t>
        </is>
      </c>
    </row>
    <row r="800">
      <c r="A800" s="3" t="inlineStr">
        <is>
          <t>O=C(Cl)C1CC1</t>
        </is>
      </c>
      <c r="B800" s="2" t="inlineStr">
        <is>
          <t>cyclopropanecarbonyl chloride</t>
        </is>
      </c>
      <c r="C800" s="2" t="inlineStr"/>
      <c r="D800" s="2" t="inlineStr">
        <is>
          <t>electrophile / alkylating agent</t>
        </is>
      </c>
      <c r="E800" s="2" t="inlineStr">
        <is>
          <t>acylating agent</t>
        </is>
      </c>
      <c r="F800" s="2" t="n"/>
      <c r="G800" s="2" t="n">
        <v>44</v>
      </c>
      <c r="H800" s="2" t="inlineStr">
        <is>
          <t>Cyclopropanecarbonyl chloride (CID 77637)</t>
        </is>
      </c>
      <c r="I800" s="2" t="inlineStr">
        <is>
          <t>Acyl chloride; with KSCN it makes the acyl isothiocyanate that forms the acylthiourea.</t>
        </is>
      </c>
      <c r="J800" s="2" t="inlineStr">
        <is>
          <t>named and classified by a chemist agent; reviewed by an independent agent</t>
        </is>
      </c>
    </row>
    <row r="801">
      <c r="A801" s="3" t="inlineStr">
        <is>
          <t>O=C(Cl)OC(Cl)(Cl)Cl</t>
        </is>
      </c>
      <c r="B801" s="2" t="inlineStr">
        <is>
          <t>diphosgene (trichloromethyl chloroformate)</t>
        </is>
      </c>
      <c r="C801" s="2" t="inlineStr"/>
      <c r="D801" s="2" t="inlineStr">
        <is>
          <t>dehydrating / activating agent</t>
        </is>
      </c>
      <c r="E801" s="2" t="inlineStr">
        <is>
          <t>phosgene equivalent</t>
        </is>
      </c>
      <c r="F801" s="2" t="n"/>
      <c r="G801" s="2" t="n">
        <v>44</v>
      </c>
      <c r="H801" s="2" t="inlineStr">
        <is>
          <t>Diphosgene (CID 10426)</t>
        </is>
      </c>
      <c r="I801" s="2" t="inlineStr">
        <is>
          <t>Dehydrates the primary amide to the nitrile (in trimethyl phosphate).</t>
        </is>
      </c>
      <c r="J801" s="2" t="inlineStr">
        <is>
          <t>named and classified by a chemist agent; reviewed by an independent agent</t>
        </is>
      </c>
    </row>
    <row r="802">
      <c r="A802" s="3" t="inlineStr">
        <is>
          <t>[CH3][Re](=[O])(=[O])=[O]</t>
        </is>
      </c>
      <c r="B802" s="2" t="inlineStr">
        <is>
          <t>methyltrioxorhenium</t>
        </is>
      </c>
      <c r="C802" s="2" t="inlineStr">
        <is>
          <t>MTO</t>
        </is>
      </c>
      <c r="D802" s="2" t="inlineStr">
        <is>
          <t>oxidizing catalyst</t>
        </is>
      </c>
      <c r="E802" s="2" t="inlineStr"/>
      <c r="F802" s="2" t="n"/>
      <c r="G802" s="2" t="n">
        <v>44</v>
      </c>
      <c r="H802" s="2" t="inlineStr">
        <is>
          <t>Methyltrioxorhenium(VII) (CID 2734010)</t>
        </is>
      </c>
      <c r="I802" s="2" t="inlineStr">
        <is>
          <t>Catalyses H2O2 N-oxidation of the quinoline to the N-oxide.</t>
        </is>
      </c>
      <c r="J802" s="2" t="inlineStr">
        <is>
          <t>named and classified by a chemist agent; reviewed by an independent agent</t>
        </is>
      </c>
    </row>
    <row r="803">
      <c r="A803" s="3" t="inlineStr">
        <is>
          <t>N#Cc1ccccc1N1CCNCC1</t>
        </is>
      </c>
      <c r="B803" s="2" t="inlineStr">
        <is>
          <t>2-(piperazin-1-yl)benzonitrile</t>
        </is>
      </c>
      <c r="C803" s="2" t="inlineStr"/>
      <c r="D803" s="2" t="inlineStr">
        <is>
          <t>nucleophile</t>
        </is>
      </c>
      <c r="E803" s="2" t="inlineStr"/>
      <c r="F803" s="2" t="n"/>
      <c r="G803" s="2" t="n">
        <v>44</v>
      </c>
      <c r="H803" s="2" t="inlineStr">
        <is>
          <t>N-(2-Cyanophenyl)piperazine (CID 2735875)</t>
        </is>
      </c>
      <c r="I803" s="2" t="inlineStr">
        <is>
          <t>Arylpiperazine amine that N-alkylates with a tosylate (analog of the recorded amine).</t>
        </is>
      </c>
      <c r="J803" s="2" t="inlineStr">
        <is>
          <t>named and classified by a chemist agent; reviewed by an independent agent</t>
        </is>
      </c>
    </row>
    <row r="804">
      <c r="A804" s="3" t="inlineStr">
        <is>
          <t>O=C1c2ccccc2C(=O)C1(O)O</t>
        </is>
      </c>
      <c r="B804" s="2" t="inlineStr">
        <is>
          <t>ninhydrin</t>
        </is>
      </c>
      <c r="C804" s="2" t="inlineStr"/>
      <c r="D804" s="2" t="inlineStr">
        <is>
          <t>other</t>
        </is>
      </c>
      <c r="E804" s="2" t="inlineStr">
        <is>
          <t>TLC stain for amines</t>
        </is>
      </c>
      <c r="F804" s="2" t="n"/>
      <c r="G804" s="2" t="n">
        <v>43</v>
      </c>
      <c r="H804" s="2" t="inlineStr">
        <is>
          <t>Ninhydrin (CID 10236)</t>
        </is>
      </c>
      <c r="I804" s="2" t="inlineStr">
        <is>
          <t>Probably recorded because of reaction monitoring; no reagent role in this ester hydrolysis.</t>
        </is>
      </c>
      <c r="J804" s="2" t="inlineStr">
        <is>
          <t>named and classified by a chemist agent; reviewed by an independent agent</t>
        </is>
      </c>
    </row>
    <row r="805">
      <c r="A805" s="3" t="inlineStr">
        <is>
          <t>[CH]Cl</t>
        </is>
      </c>
      <c r="B805" s="2" t="inlineStr">
        <is>
          <t>chloromethylene (fragment)</t>
        </is>
      </c>
      <c r="C805" s="2" t="inlineStr"/>
      <c r="D805" s="2" t="inlineStr">
        <is>
          <t>solvent</t>
        </is>
      </c>
      <c r="E805" s="2" t="inlineStr"/>
      <c r="F805" s="2" t="n"/>
      <c r="G805" s="2" t="n">
        <v>43</v>
      </c>
      <c r="H805" s="2" t="inlineStr"/>
      <c r="I805" s="2" t="inlineStr">
        <is>
          <t>Probably a mis-parsed chlorinated solvent (CH2Cl2 or CHCl3).</t>
        </is>
      </c>
      <c r="J805" s="2" t="inlineStr">
        <is>
          <t>named and classified by a chemist agent; reviewed by an independent agent; PubChem's title for this SMILES was wrong (Methyl Chloride (CID 6327)): [CH]Cl is the carbene (2 radical electrons), not CH3Cl.</t>
        </is>
      </c>
    </row>
    <row r="806">
      <c r="A806" s="3" t="inlineStr">
        <is>
          <t>O=C(Cl)Oc1ccccc1</t>
        </is>
      </c>
      <c r="B806" s="2" t="inlineStr">
        <is>
          <t>phenyl chloroformate</t>
        </is>
      </c>
      <c r="C806" s="2" t="inlineStr">
        <is>
          <t>PhOCOCl</t>
        </is>
      </c>
      <c r="D806" s="2" t="inlineStr">
        <is>
          <t>electrophile / alkylating agent</t>
        </is>
      </c>
      <c r="E806" s="2" t="inlineStr">
        <is>
          <t>activating agent (carbamates/ureas)</t>
        </is>
      </c>
      <c r="F806" s="2" t="n"/>
      <c r="G806" s="2" t="n">
        <v>43</v>
      </c>
      <c r="H806" s="2" t="inlineStr">
        <is>
          <t>Phenyl chloroformate (CID 15891)</t>
        </is>
      </c>
      <c r="I806" s="2" t="inlineStr">
        <is>
          <t>Makes phenyl carbamates from amines, which are then converted to ureas.</t>
        </is>
      </c>
      <c r="J806" s="2" t="inlineStr">
        <is>
          <t>named and classified by a chemist agent; reviewed by an independent agent</t>
        </is>
      </c>
    </row>
    <row r="807">
      <c r="A807" s="3" t="inlineStr">
        <is>
          <t>CC(C)Br</t>
        </is>
      </c>
      <c r="B807" s="2" t="inlineStr">
        <is>
          <t>2-bromopropane</t>
        </is>
      </c>
      <c r="C807" s="2" t="inlineStr">
        <is>
          <t>i-PrBr</t>
        </is>
      </c>
      <c r="D807" s="2" t="inlineStr">
        <is>
          <t>electrophile / alkylating agent</t>
        </is>
      </c>
      <c r="E807" s="2" t="inlineStr"/>
      <c r="F807" s="2" t="n"/>
      <c r="G807" s="2" t="n">
        <v>43</v>
      </c>
      <c r="H807" s="2" t="inlineStr">
        <is>
          <t>2-Bromopropane (CID 6358)</t>
        </is>
      </c>
      <c r="I807" s="2" t="inlineStr">
        <is>
          <t>Isopropylating agent for phenols or amines (the example records a related O-alkylation).</t>
        </is>
      </c>
      <c r="J807" s="2" t="inlineStr">
        <is>
          <t>named and classified by a chemist agent; reviewed by an independent agent</t>
        </is>
      </c>
    </row>
    <row r="808">
      <c r="A808" s="3" t="inlineStr">
        <is>
          <t>CC(C)CBr</t>
        </is>
      </c>
      <c r="B808" s="2" t="inlineStr">
        <is>
          <t>1-bromo-2-methylpropane (isobutyl bromide)</t>
        </is>
      </c>
      <c r="C808" s="2" t="inlineStr">
        <is>
          <t>i-BuBr</t>
        </is>
      </c>
      <c r="D808" s="2" t="inlineStr">
        <is>
          <t>electrophile / alkylating agent</t>
        </is>
      </c>
      <c r="E808" s="2" t="inlineStr"/>
      <c r="F808" s="2" t="n"/>
      <c r="G808" s="2" t="n">
        <v>43</v>
      </c>
      <c r="H808" s="2" t="inlineStr">
        <is>
          <t>1-Bromo-2-methylpropane (CID 6555)</t>
        </is>
      </c>
      <c r="I808" s="2" t="inlineStr">
        <is>
          <t>Primary alkyl halide for O- or N-isobutylation; unclear role in this ester hydrolysis.</t>
        </is>
      </c>
      <c r="J808" s="2" t="inlineStr">
        <is>
          <t>named and classified by a chemist agent; reviewed by an independent agent</t>
        </is>
      </c>
    </row>
    <row r="809">
      <c r="A809" s="3" t="inlineStr">
        <is>
          <t>[B-]C#N</t>
        </is>
      </c>
      <c r="B809" s="2" t="inlineStr">
        <is>
          <t>cyanoborohydride ion (drawn without H)</t>
        </is>
      </c>
      <c r="C809" s="2" t="inlineStr">
        <is>
          <t>NaBH3CN</t>
        </is>
      </c>
      <c r="D809" s="2" t="inlineStr">
        <is>
          <t>reductant</t>
        </is>
      </c>
      <c r="E809" s="2" t="inlineStr"/>
      <c r="F809" s="2" t="n"/>
      <c r="G809" s="2" t="n">
        <v>43</v>
      </c>
      <c r="H809" s="2" t="inlineStr"/>
      <c r="I809" s="2" t="inlineStr">
        <is>
          <t>Mild hydride for reductive amination with AcOH in MeOH.</t>
        </is>
      </c>
      <c r="J809" s="2" t="inlineStr">
        <is>
          <t>named and classified by a chemist agent; reviewed by an independent agent; PubChem's title for this SMILES was wrong (CID 6338343 (CID 6338343)): PubChem returned only a CID; agent name accurately flags the missing H.</t>
        </is>
      </c>
    </row>
    <row r="810">
      <c r="A810" s="3" t="inlineStr">
        <is>
          <t>CC(C)(O)C(C)(C)O</t>
        </is>
      </c>
      <c r="B810" s="2" t="inlineStr">
        <is>
          <t>pinacol</t>
        </is>
      </c>
      <c r="C810" s="2" t="inlineStr"/>
      <c r="D810" s="2" t="inlineStr">
        <is>
          <t>protecting-group reagent</t>
        </is>
      </c>
      <c r="E810" s="2" t="inlineStr"/>
      <c r="F810" s="2" t="n"/>
      <c r="G810" s="2" t="n">
        <v>43</v>
      </c>
      <c r="H810" s="2" t="inlineStr">
        <is>
          <t>Pinacol (CID 6425)</t>
        </is>
      </c>
      <c r="I810" s="2" t="inlineStr">
        <is>
          <t>Diol that makes or exchanges pinacol boronate esters; appears in the work-up of a boronic-acid ester hydrolysis.</t>
        </is>
      </c>
      <c r="J810" s="2" t="inlineStr">
        <is>
          <t>named and classified by a chemist agent; reviewed by an independent agent</t>
        </is>
      </c>
    </row>
    <row r="811">
      <c r="A811" s="3" t="inlineStr">
        <is>
          <t>O=C([O-])Cl</t>
        </is>
      </c>
      <c r="B811" s="2" t="inlineStr">
        <is>
          <t>chloroformate ion (fragment of 1-chloroethyl chloroformate)</t>
        </is>
      </c>
      <c r="C811" s="2" t="inlineStr">
        <is>
          <t>ACE-Cl (fragment)</t>
        </is>
      </c>
      <c r="D811" s="2" t="inlineStr">
        <is>
          <t>deprotecting agent</t>
        </is>
      </c>
      <c r="E811" s="2" t="inlineStr"/>
      <c r="F811" s="2" t="n"/>
      <c r="G811" s="2" t="n">
        <v>43</v>
      </c>
      <c r="H811" s="2" t="inlineStr">
        <is>
          <t>Carbonochloridate (CID 21226386)</t>
        </is>
      </c>
      <c r="I811" s="2" t="inlineStr">
        <is>
          <t>Part of ACE-Cl, which removes the N-benzyl group (then MeOH cleaves the carbamate).</t>
        </is>
      </c>
      <c r="J811" s="2" t="inlineStr">
        <is>
          <t>named and classified by a chemist agent; reviewed by an independent agent</t>
        </is>
      </c>
    </row>
    <row r="812">
      <c r="A812" s="3" t="inlineStr">
        <is>
          <t>OCCN(CCO)CCO</t>
        </is>
      </c>
      <c r="B812" s="2" t="inlineStr">
        <is>
          <t>triethanolamine</t>
        </is>
      </c>
      <c r="C812" s="2" t="inlineStr">
        <is>
          <t>TEOA</t>
        </is>
      </c>
      <c r="D812" s="2" t="inlineStr">
        <is>
          <t>additive</t>
        </is>
      </c>
      <c r="E812" s="2" t="inlineStr">
        <is>
          <t>base</t>
        </is>
      </c>
      <c r="F812" s="2" t="n">
        <v>7.8</v>
      </c>
      <c r="G812" s="2" t="n">
        <v>43</v>
      </c>
      <c r="H812" s="2" t="inlineStr">
        <is>
          <t>Triethanolamine (CID 7618)</t>
        </is>
      </c>
      <c r="I812" s="2" t="inlineStr">
        <is>
          <t>Chelating work-up additive after LiAlH4 amide reduction; pKa in water.</t>
        </is>
      </c>
      <c r="J812" s="2" t="inlineStr">
        <is>
          <t>named and classified by a chemist agent; reviewed by an independent agent; corrected abbreviation (In synthesis records TEA overwhelmingly means triethylamine. TEOA is the unambiguous abbreviation for triethanolamine.)</t>
        </is>
      </c>
    </row>
    <row r="813">
      <c r="A813" s="3" t="inlineStr">
        <is>
          <t>Cc1cc(C(C)(C)C)nc(C(C)(C)C)c1</t>
        </is>
      </c>
      <c r="B813" s="2" t="inlineStr">
        <is>
          <t>2,6-di-tert-butyl-4-methylpyridine</t>
        </is>
      </c>
      <c r="C813" s="2" t="inlineStr">
        <is>
          <t>DTBMP</t>
        </is>
      </c>
      <c r="D813" s="2" t="inlineStr">
        <is>
          <t>base</t>
        </is>
      </c>
      <c r="E813" s="2" t="inlineStr"/>
      <c r="F813" s="2" t="n">
        <v>4.4</v>
      </c>
      <c r="G813" s="2" t="n">
        <v>43</v>
      </c>
      <c r="H813" s="2" t="inlineStr">
        <is>
          <t>2,6-Di-tert-butyl-4-methylpyridine (CID 98898)</t>
        </is>
      </c>
      <c r="I813" s="2" t="inlineStr">
        <is>
          <t>Hindered non-nucleophilic base used with cyanuric fluoride to make the acyl fluoride for amide coupling; pKa in 50% aqueous EtOH.</t>
        </is>
      </c>
      <c r="J813" s="2" t="inlineStr">
        <is>
          <t>named and classified by a chemist agent; reviewed by an independent agent</t>
        </is>
      </c>
    </row>
    <row r="814">
      <c r="A814" s="3" t="inlineStr">
        <is>
          <t>CC[B-](CC)CC</t>
        </is>
      </c>
      <c r="B814" s="2" t="inlineStr">
        <is>
          <t>triethylborohydride ion (drawn without H)</t>
        </is>
      </c>
      <c r="C814" s="2" t="inlineStr">
        <is>
          <t>LiBHEt3 (Super-Hydride)</t>
        </is>
      </c>
      <c r="D814" s="2" t="inlineStr">
        <is>
          <t>reductant</t>
        </is>
      </c>
      <c r="E814" s="2" t="inlineStr"/>
      <c r="F814" s="2" t="n"/>
      <c r="G814" s="2" t="n">
        <v>43</v>
      </c>
      <c r="H814" s="2" t="inlineStr"/>
      <c r="I814" s="2" t="inlineStr">
        <is>
          <t>Powerful hydride; selectively reduces one methyl ester to the benzylic alcohol.</t>
        </is>
      </c>
      <c r="J814" s="2" t="inlineStr">
        <is>
          <t>named and classified by a chemist agent; reviewed by an independent agent; PubChem's title for this SMILES was wrong (CID 11083947 (CID 11083947)): PubChem returned only a CID; agent name accurately flags the missing H.</t>
        </is>
      </c>
    </row>
    <row r="815">
      <c r="A815" s="3" t="inlineStr">
        <is>
          <t>C1CCC(CNCC2CCCCC2)CC1</t>
        </is>
      </c>
      <c r="B815" s="2" t="inlineStr">
        <is>
          <t>bis(cyclohexylmethyl)amine (probably mis-drawn N,N-dicyclohexylmethylamine)</t>
        </is>
      </c>
      <c r="C815" s="2" t="inlineStr">
        <is>
          <t>Cy2NMe</t>
        </is>
      </c>
      <c r="D815" s="2" t="inlineStr">
        <is>
          <t>base</t>
        </is>
      </c>
      <c r="E815" s="2" t="inlineStr"/>
      <c r="F815" s="2" t="n">
        <v>10.5</v>
      </c>
      <c r="G815" s="2" t="n">
        <v>43</v>
      </c>
      <c r="H815" s="2" t="inlineStr">
        <is>
          <t>Bis(cyclohexylmethyl)amine (CID 4594378)</t>
        </is>
      </c>
      <c r="I815" s="2" t="inlineStr">
        <is>
          <t>Hindered amine base for the Pd Heck coupling of a styrene with an aryl bromide; pKa in water (est.).</t>
        </is>
      </c>
      <c r="J815" s="2" t="inlineStr">
        <is>
          <t>named and classified by a chemist agent; reviewed by an independent agent</t>
        </is>
      </c>
    </row>
    <row r="816">
      <c r="A816" s="3" t="inlineStr">
        <is>
          <t>CN(C)[C@@H]1CCCC[C@H]1N</t>
        </is>
      </c>
      <c r="B816" s="2" t="inlineStr">
        <is>
          <t>(1R,2R)-N1,N1-dimethylcyclohexane-1,2-diamine</t>
        </is>
      </c>
      <c r="C816" s="2" t="inlineStr"/>
      <c r="D816" s="2" t="inlineStr">
        <is>
          <t>ligand</t>
        </is>
      </c>
      <c r="E816" s="2" t="inlineStr"/>
      <c r="F816" s="2" t="n"/>
      <c r="G816" s="2" t="n">
        <v>43</v>
      </c>
      <c r="H816" s="2" t="inlineStr">
        <is>
          <t>(1R,2R)-N1,N1-Dimethylcyclohexane-1,2-diamine (CID 11275066)</t>
        </is>
      </c>
      <c r="I816" s="2" t="inlineStr">
        <is>
          <t>Diamine ligand for CuI/K2CO3 Goldberg N-arylation of the lactam with an aryl iodide.</t>
        </is>
      </c>
      <c r="J816" s="2" t="inlineStr">
        <is>
          <t>named and classified by a chemist agent; reviewed by an independent agent</t>
        </is>
      </c>
    </row>
    <row r="817">
      <c r="A817" s="3" t="inlineStr">
        <is>
          <t>CC(C)C[C@H]1CN[C@@H](CC(C)C)C(=O)N1</t>
        </is>
      </c>
      <c r="B817" s="2" t="inlineStr">
        <is>
          <t>(3S,6S)-3,6-diisobutylpiperazin-2-one</t>
        </is>
      </c>
      <c r="C817" s="2" t="inlineStr"/>
      <c r="D817" s="2" t="inlineStr">
        <is>
          <t>other</t>
        </is>
      </c>
      <c r="E817" s="2" t="inlineStr"/>
      <c r="F817" s="2" t="n"/>
      <c r="G817" s="2" t="n">
        <v>43</v>
      </c>
      <c r="H817" s="2" t="inlineStr">
        <is>
          <t>(3S,6S)-3,6-diisobutylpiperazin-2-one (CID 45117248)</t>
        </is>
      </c>
      <c r="I817" s="2" t="inlineStr">
        <is>
          <t>Amine starting-material analog recorded among the agents of an amide formation.</t>
        </is>
      </c>
      <c r="J817" s="2" t="inlineStr">
        <is>
          <t>named and classified by a chemist agent; reviewed by an independent agent</t>
        </is>
      </c>
    </row>
    <row r="818">
      <c r="A818" s="3" t="inlineStr">
        <is>
          <t>O=Ic1ccccc1</t>
        </is>
      </c>
      <c r="B818" s="2" t="inlineStr">
        <is>
          <t>iodosobenzene</t>
        </is>
      </c>
      <c r="C818" s="2" t="inlineStr">
        <is>
          <t>PhIO</t>
        </is>
      </c>
      <c r="D818" s="2" t="inlineStr">
        <is>
          <t>oxidant</t>
        </is>
      </c>
      <c r="E818" s="2" t="inlineStr"/>
      <c r="F818" s="2" t="n"/>
      <c r="G818" s="2" t="n">
        <v>43</v>
      </c>
      <c r="H818" s="2" t="inlineStr">
        <is>
          <t>Iodosylbenzene (CID 92125)</t>
        </is>
      </c>
      <c r="I818" s="2" t="inlineStr">
        <is>
          <t>Oxidizes the hydrazone made from an aldehyde and a 2-hydrazinopyridine, closing it to the triazolopyridine.</t>
        </is>
      </c>
      <c r="J818" s="2" t="inlineStr">
        <is>
          <t>named and classified by a chemist agent; reviewed by an independent agent</t>
        </is>
      </c>
    </row>
    <row r="819">
      <c r="A819" s="3" t="inlineStr">
        <is>
          <t>ClSCl</t>
        </is>
      </c>
      <c r="B819" s="2" t="inlineStr">
        <is>
          <t>sulfur dichloride</t>
        </is>
      </c>
      <c r="C819" s="2" t="inlineStr">
        <is>
          <t>SCl2</t>
        </is>
      </c>
      <c r="D819" s="2" t="inlineStr">
        <is>
          <t>electrophile / alkylating agent</t>
        </is>
      </c>
      <c r="E819" s="2" t="inlineStr">
        <is>
          <t>sulfenylating agent</t>
        </is>
      </c>
      <c r="F819" s="2" t="n"/>
      <c r="G819" s="2" t="n">
        <v>43</v>
      </c>
      <c r="H819" s="2" t="inlineStr">
        <is>
          <t>Sulfur dichloride (CID 25353)</t>
        </is>
      </c>
      <c r="I819" s="2" t="inlineStr">
        <is>
          <t>Electrophilic sulfur source; like NCS, it makes a sulfenyl chloride that C3-sulfenylates the indole.</t>
        </is>
      </c>
      <c r="J819" s="2" t="inlineStr">
        <is>
          <t>named and classified by a chemist agent; reviewed by an independent agent</t>
        </is>
      </c>
    </row>
    <row r="820">
      <c r="A820" s="3" t="inlineStr">
        <is>
          <t>CSCC[C@H](N)C(=O)O</t>
        </is>
      </c>
      <c r="B820" s="2" t="inlineStr">
        <is>
          <t>L-methionine</t>
        </is>
      </c>
      <c r="C820" s="2" t="inlineStr">
        <is>
          <t>Met</t>
        </is>
      </c>
      <c r="D820" s="2" t="inlineStr">
        <is>
          <t>additive</t>
        </is>
      </c>
      <c r="E820" s="2" t="inlineStr">
        <is>
          <t>methyl cation scavenger</t>
        </is>
      </c>
      <c r="F820" s="2" t="n"/>
      <c r="G820" s="2" t="n">
        <v>42</v>
      </c>
      <c r="H820" s="2" t="inlineStr">
        <is>
          <t>L-Methionine (CID 6137)</t>
        </is>
      </c>
      <c r="I820" s="2" t="inlineStr">
        <is>
          <t>Nucleophilic scavenger in MsOH-mediated aryl methyl ether cleavage.</t>
        </is>
      </c>
      <c r="J820" s="2" t="inlineStr">
        <is>
          <t>named and classified by a chemist agent; reviewed by an independent agent</t>
        </is>
      </c>
    </row>
    <row r="821">
      <c r="A821" s="3" t="inlineStr">
        <is>
          <t>O=S([O-])OS(=O)[O-]</t>
        </is>
      </c>
      <c r="B821" s="2" t="inlineStr">
        <is>
          <t>metabisulfite (disulfite) ion, drawn as an O-bridged S-O-S isomer (real S2O5 2- has an S-S bond: O=S([O-])S(=O)(=O)[O-])</t>
        </is>
      </c>
      <c r="C821" s="2" t="inlineStr">
        <is>
          <t>Na2S2O5</t>
        </is>
      </c>
      <c r="D821" s="2" t="inlineStr">
        <is>
          <t>reductant</t>
        </is>
      </c>
      <c r="E821" s="2" t="inlineStr">
        <is>
          <t>work-up antioxidant</t>
        </is>
      </c>
      <c r="F821" s="2" t="n"/>
      <c r="G821" s="2" t="n">
        <v>42</v>
      </c>
      <c r="H821" s="2" t="inlineStr">
        <is>
          <t>Sulfinato sulfite (CID 4072344)</t>
        </is>
      </c>
      <c r="I821" s="2" t="inlineStr">
        <is>
          <t>Mild reductant that quenches Br2/oxidants in an HBr demethylation.</t>
        </is>
      </c>
      <c r="J821" s="2" t="inlineStr">
        <is>
          <t>named and classified by a chemist agent; reviewed by an independent agent; corrected name (The formula O5S2 2- matches, but the connectivity is the wrong isomer. Disulfite is O2S-SO3 with an S-S bond, not an oxygen-bridged dimer.)</t>
        </is>
      </c>
    </row>
    <row r="822">
      <c r="A822" s="3" t="inlineStr">
        <is>
          <t>OCCNCCO</t>
        </is>
      </c>
      <c r="B822" s="2" t="inlineStr">
        <is>
          <t>diethanolamine</t>
        </is>
      </c>
      <c r="C822" s="2" t="inlineStr">
        <is>
          <t>DEA</t>
        </is>
      </c>
      <c r="D822" s="2" t="inlineStr">
        <is>
          <t>additive</t>
        </is>
      </c>
      <c r="E822" s="2" t="inlineStr">
        <is>
          <t>base</t>
        </is>
      </c>
      <c r="F822" s="2" t="n">
        <v>8.9</v>
      </c>
      <c r="G822" s="2" t="n">
        <v>42</v>
      </c>
      <c r="H822" s="2" t="inlineStr">
        <is>
          <t>Diethanolamine (CID 8113)</t>
        </is>
      </c>
      <c r="I822" s="2" t="inlineStr">
        <is>
          <t>Work-up additive that complexes boron after BBr3 demethylation; pKa in water.</t>
        </is>
      </c>
      <c r="J822" s="2" t="inlineStr">
        <is>
          <t>named and classified by a chemist agent; reviewed by an independent agent</t>
        </is>
      </c>
    </row>
    <row r="823">
      <c r="A823" s="3" t="inlineStr">
        <is>
          <t>c1cnc2c(c1)nnn2O[P+](N1CCCC1)(N1CCCC1)N1CCCC1</t>
        </is>
      </c>
      <c r="B823" s="2" t="inlineStr">
        <is>
          <t>(7-azabenzotriazol-1-yloxy)tripyrrolidinophosphonium</t>
        </is>
      </c>
      <c r="C823" s="2" t="inlineStr">
        <is>
          <t>PyAOP</t>
        </is>
      </c>
      <c r="D823" s="2" t="inlineStr">
        <is>
          <t>coupling reagent (activates an acid)</t>
        </is>
      </c>
      <c r="E823" s="2" t="inlineStr"/>
      <c r="F823" s="2" t="n"/>
      <c r="G823" s="2" t="n">
        <v>42</v>
      </c>
      <c r="H823" s="2" t="inlineStr"/>
      <c r="I823" s="2" t="inlineStr">
        <is>
          <t>Phosphonium coupling reagent (PF6- salt) with DIPEA/DMAP for hindered amide formation.</t>
        </is>
      </c>
      <c r="J823" s="2" t="inlineStr">
        <is>
          <t>named and classified by a chemist agent; reviewed by an independent agent; PubChem's title for this SMILES was wrong (Hexafluoro-lambda-phosphanuide (CID 4285175)): PubChem returned the PF6- counterion.</t>
        </is>
      </c>
    </row>
    <row r="824">
      <c r="A824" s="3" t="inlineStr">
        <is>
          <t>NCC1CCCCC1</t>
        </is>
      </c>
      <c r="B824" s="2" t="inlineStr">
        <is>
          <t>cyclohexylmethylamine</t>
        </is>
      </c>
      <c r="C824" s="2" t="inlineStr"/>
      <c r="D824" s="2" t="inlineStr">
        <is>
          <t>nucleophile</t>
        </is>
      </c>
      <c r="E824" s="2" t="inlineStr"/>
      <c r="F824" s="2" t="n"/>
      <c r="G824" s="2" t="n">
        <v>42</v>
      </c>
      <c r="H824" s="2" t="inlineStr">
        <is>
          <t>Cyclohexanemethylamine (CID 76688)</t>
        </is>
      </c>
      <c r="I824" s="2" t="inlineStr">
        <is>
          <t>Primary amine for amide formation (analog of the recorded heptylamine).</t>
        </is>
      </c>
      <c r="J824" s="2" t="inlineStr">
        <is>
          <t>named and classified by a chemist agent; reviewed by an independent agent</t>
        </is>
      </c>
    </row>
    <row r="825">
      <c r="A825" s="3" t="inlineStr">
        <is>
          <t>Cc1cccc(O)c1</t>
        </is>
      </c>
      <c r="B825" s="2" t="inlineStr">
        <is>
          <t>m-cresol</t>
        </is>
      </c>
      <c r="C825" s="2" t="inlineStr"/>
      <c r="D825" s="2" t="inlineStr">
        <is>
          <t>additive</t>
        </is>
      </c>
      <c r="E825" s="2" t="inlineStr">
        <is>
          <t>cation scavenger</t>
        </is>
      </c>
      <c r="F825" s="2" t="n"/>
      <c r="G825" s="2" t="n">
        <v>42</v>
      </c>
      <c r="H825" s="2" t="inlineStr">
        <is>
          <t>M-Cresol (CID 342)</t>
        </is>
      </c>
      <c r="I825" s="2" t="inlineStr">
        <is>
          <t>Scavenger in acidic deprotections; unclear role in this ester hydrolysis.</t>
        </is>
      </c>
      <c r="J825" s="2" t="inlineStr">
        <is>
          <t>named and classified by a chemist agent; reviewed by an independent agent</t>
        </is>
      </c>
    </row>
    <row r="826">
      <c r="A826" s="3" t="inlineStr">
        <is>
          <t>Cc1c(C)c(C)c(P(C(C)(C)C)C(C)(C)C)c(-c2c(C(C)C)cc(C(C)C)cc2C(C)C)c1C</t>
        </is>
      </c>
      <c r="B826" s="2" t="inlineStr">
        <is>
          <t>di-tert-butyl(3,4,5,6-tetramethyl-2',4',6'-triisopropylbiphenyl-2-yl)phosphine</t>
        </is>
      </c>
      <c r="C826" s="2" t="inlineStr">
        <is>
          <t>Me4tBuXPhos</t>
        </is>
      </c>
      <c r="D826" s="2" t="inlineStr">
        <is>
          <t>ligand</t>
        </is>
      </c>
      <c r="E826" s="2" t="inlineStr"/>
      <c r="F826" s="2" t="n"/>
      <c r="G826" s="2" t="n">
        <v>42</v>
      </c>
      <c r="H826" s="2" t="inlineStr">
        <is>
          <t>Di-tert-butyl[3,4,5,6-tetramethyl-2',4',6'-tris(propan-2-yl)-[1,1'-biphenyl]-2-yl]phosphane (CID 11953610)</t>
        </is>
      </c>
      <c r="I826" s="2" t="inlineStr">
        <is>
          <t>Bulky biaryl phosphine for Pd-catalysed C-O coupling (diaryl ether) with Cs2CO3.</t>
        </is>
      </c>
      <c r="J826" s="2" t="inlineStr">
        <is>
          <t>named and classified by a chemist agent; reviewed by an independent agent</t>
        </is>
      </c>
    </row>
    <row r="827">
      <c r="A827" s="3" t="inlineStr">
        <is>
          <t>O=C(Cl)Oc1ccc([N+](=O)[O-])cc1</t>
        </is>
      </c>
      <c r="B827" s="2" t="inlineStr">
        <is>
          <t>4-nitrophenyl chloroformate</t>
        </is>
      </c>
      <c r="C827" s="2" t="inlineStr">
        <is>
          <t>PNP-Cl</t>
        </is>
      </c>
      <c r="D827" s="2" t="inlineStr">
        <is>
          <t>dehydrating / activating agent</t>
        </is>
      </c>
      <c r="E827" s="2" t="inlineStr">
        <is>
          <t>electrophile (acylating agent)</t>
        </is>
      </c>
      <c r="F827" s="2" t="n"/>
      <c r="G827" s="2" t="n">
        <v>42</v>
      </c>
      <c r="H827" s="2" t="inlineStr">
        <is>
          <t>4-Nitrophenyl chloroformate (CID 82129)</t>
        </is>
      </c>
      <c r="I827" s="2" t="inlineStr">
        <is>
          <t>Converts the alcohol to a 4-nitrophenyl carbonate, which an amine displaces to give the carbamate.</t>
        </is>
      </c>
      <c r="J827" s="2" t="inlineStr">
        <is>
          <t>named and classified by a chemist agent; reviewed by an independent agent</t>
        </is>
      </c>
    </row>
    <row r="828">
      <c r="A828" s="3" t="inlineStr">
        <is>
          <t>[Cl][Fe][Cl]</t>
        </is>
      </c>
      <c r="B828" s="2" t="inlineStr">
        <is>
          <t>iron(II) chloride</t>
        </is>
      </c>
      <c r="C828" s="2" t="inlineStr">
        <is>
          <t>FeCl2</t>
        </is>
      </c>
      <c r="D828" s="2" t="inlineStr">
        <is>
          <t>catalyst (metal)</t>
        </is>
      </c>
      <c r="E828" s="2" t="inlineStr"/>
      <c r="F828" s="2" t="n"/>
      <c r="G828" s="2" t="n">
        <v>41</v>
      </c>
      <c r="H828" s="2" t="inlineStr"/>
      <c r="I828" s="2" t="inlineStr">
        <is>
          <t>Iron catalyst for hydrazine reduction of the nitroarene to the aniline.</t>
        </is>
      </c>
      <c r="J828" s="2" t="inlineStr">
        <is>
          <t>named and classified by a chemist agent; reviewed by an independent agent</t>
        </is>
      </c>
    </row>
    <row r="829">
      <c r="A829" s="3" t="inlineStr">
        <is>
          <t>OCCC1CCCO1</t>
        </is>
      </c>
      <c r="B829" s="2" t="inlineStr">
        <is>
          <t>2-(tetrahydrofuran-2-yl)ethanol</t>
        </is>
      </c>
      <c r="C829" s="2" t="inlineStr"/>
      <c r="D829" s="2" t="inlineStr">
        <is>
          <t>solvent</t>
        </is>
      </c>
      <c r="E829" s="2" t="inlineStr"/>
      <c r="F829" s="2" t="n"/>
      <c r="G829" s="2" t="n">
        <v>41</v>
      </c>
      <c r="H829" s="2" t="inlineStr"/>
      <c r="I829" s="2" t="inlineStr">
        <is>
          <t>Alcohol medium for Pd hydrogenation of the nitroarene.</t>
        </is>
      </c>
      <c r="J829" s="2" t="inlineStr">
        <is>
          <t>named and classified by a chemist agent; reviewed by an independent agent</t>
        </is>
      </c>
    </row>
    <row r="830">
      <c r="A830" s="3" t="inlineStr">
        <is>
          <t>[O-][I+2]([O-])[O-]</t>
        </is>
      </c>
      <c r="B830" s="2" t="inlineStr">
        <is>
          <t>iodate ion</t>
        </is>
      </c>
      <c r="C830" s="2" t="inlineStr">
        <is>
          <t>IO3-</t>
        </is>
      </c>
      <c r="D830" s="2" t="inlineStr">
        <is>
          <t>oxidant</t>
        </is>
      </c>
      <c r="E830" s="2" t="inlineStr"/>
      <c r="F830" s="2" t="n"/>
      <c r="G830" s="2" t="n">
        <v>41</v>
      </c>
      <c r="H830" s="2" t="inlineStr"/>
      <c r="I830" s="2" t="inlineStr">
        <is>
          <t>Oxidant (with I2) for arene iodination; no clear role in this O-alkylation.</t>
        </is>
      </c>
      <c r="J830" s="2" t="inlineStr">
        <is>
          <t>named and classified by a chemist agent; reviewed by an independent agent</t>
        </is>
      </c>
    </row>
    <row r="831">
      <c r="A831" s="3" t="inlineStr">
        <is>
          <t>CN1C(C)(C)CC(Sc2ccc(B3OC(C)(C)C(C)(C)O3)cc2)CC1(C)C</t>
        </is>
      </c>
      <c r="B831" s="2" t="inlineStr">
        <is>
          <t>1,2,2,6,6-pentamethyl-4-[4-(pinacolatoboryl)phenylthio]piperidine</t>
        </is>
      </c>
      <c r="C831" s="2" t="inlineStr"/>
      <c r="D831" s="2" t="inlineStr">
        <is>
          <t>other</t>
        </is>
      </c>
      <c r="E831" s="2" t="inlineStr"/>
      <c r="F831" s="2" t="n"/>
      <c r="G831" s="2" t="n">
        <v>41</v>
      </c>
      <c r="H831" s="2" t="inlineStr"/>
      <c r="I831" s="2" t="inlineStr">
        <is>
          <t>Aryl boronate analog of the Suzuki partner, recorded among the agents.</t>
        </is>
      </c>
      <c r="J831" s="2" t="inlineStr">
        <is>
          <t>named and classified by a chemist agent; reviewed by an independent agent</t>
        </is>
      </c>
    </row>
    <row r="832">
      <c r="A832" s="3" t="inlineStr">
        <is>
          <t>[Ag]</t>
        </is>
      </c>
      <c r="B832" s="2" t="inlineStr">
        <is>
          <t>silver (metal)</t>
        </is>
      </c>
      <c r="C832" s="2" t="inlineStr">
        <is>
          <t>Ag</t>
        </is>
      </c>
      <c r="D832" s="2" t="inlineStr">
        <is>
          <t>catalyst (metal)</t>
        </is>
      </c>
      <c r="E832" s="2" t="inlineStr"/>
      <c r="F832" s="2" t="n"/>
      <c r="G832" s="2" t="n">
        <v>41</v>
      </c>
      <c r="H832" s="2" t="inlineStr"/>
      <c r="I832" s="2" t="inlineStr">
        <is>
          <t>No clear role in this SNAr amination (recording artifact).</t>
        </is>
      </c>
      <c r="J832" s="2" t="inlineStr">
        <is>
          <t>named and classified by a chemist agent; reviewed by an independent agent</t>
        </is>
      </c>
    </row>
    <row r="833">
      <c r="A833" s="3" t="inlineStr">
        <is>
          <t>OP(O)O</t>
        </is>
      </c>
      <c r="B833" s="2" t="inlineStr">
        <is>
          <t>phosphorous acid</t>
        </is>
      </c>
      <c r="C833" s="2" t="inlineStr">
        <is>
          <t>H3PO3</t>
        </is>
      </c>
      <c r="D833" s="2" t="inlineStr">
        <is>
          <t>reductant</t>
        </is>
      </c>
      <c r="E833" s="2" t="inlineStr">
        <is>
          <t>acid</t>
        </is>
      </c>
      <c r="F833" s="2" t="n"/>
      <c r="G833" s="2" t="n">
        <v>41</v>
      </c>
      <c r="H833" s="2" t="inlineStr"/>
      <c r="I833" s="2" t="inlineStr">
        <is>
          <t>P(III) acid; appears as the reductant (or NaH2PO3 buffer) in this reductive amination.</t>
        </is>
      </c>
      <c r="J833" s="2" t="inlineStr">
        <is>
          <t>named and classified by a chemist agent; reviewed by an independent agent</t>
        </is>
      </c>
    </row>
    <row r="834">
      <c r="A834" s="3" t="inlineStr">
        <is>
          <t>[SiH4]</t>
        </is>
      </c>
      <c r="B834" s="2" t="inlineStr">
        <is>
          <t>silane (SiH4)</t>
        </is>
      </c>
      <c r="C834" s="2" t="inlineStr"/>
      <c r="D834" s="2" t="inlineStr">
        <is>
          <t>other</t>
        </is>
      </c>
      <c r="E834" s="2" t="inlineStr"/>
      <c r="F834" s="2" t="n"/>
      <c r="G834" s="2" t="n">
        <v>41</v>
      </c>
      <c r="H834" s="2" t="inlineStr"/>
      <c r="I834" s="2" t="inlineStr">
        <is>
          <t>Probably a mis-parse (from the TMS-acetylene); no role in this Sonogashira coupling.</t>
        </is>
      </c>
      <c r="J834" s="2" t="inlineStr">
        <is>
          <t>named and classified by a chemist agent; reviewed by an independent agent</t>
        </is>
      </c>
    </row>
    <row r="835">
      <c r="A835" s="3" t="inlineStr">
        <is>
          <t>C#Cc1ccccc1</t>
        </is>
      </c>
      <c r="B835" s="2" t="inlineStr">
        <is>
          <t>phenylacetylene</t>
        </is>
      </c>
      <c r="C835" s="2" t="inlineStr"/>
      <c r="D835" s="2" t="inlineStr">
        <is>
          <t>nucleophile</t>
        </is>
      </c>
      <c r="E835" s="2" t="inlineStr"/>
      <c r="F835" s="2" t="n"/>
      <c r="G835" s="2" t="n">
        <v>41</v>
      </c>
      <c r="H835" s="2" t="inlineStr"/>
      <c r="I835" s="2" t="inlineStr">
        <is>
          <t>Terminal alkyne Sonogashira partner; analog of the recorded propargyl carbamate.</t>
        </is>
      </c>
      <c r="J835" s="2" t="inlineStr">
        <is>
          <t>named and classified by a chemist agent; reviewed by an independent agent</t>
        </is>
      </c>
    </row>
    <row r="836">
      <c r="A836" s="3" t="inlineStr">
        <is>
          <t>O=[PH]([O-])[O-]</t>
        </is>
      </c>
      <c r="B836" s="2" t="inlineStr">
        <is>
          <t>phosphite (phosphonate HPO3 2-) ion</t>
        </is>
      </c>
      <c r="C836" s="2" t="inlineStr"/>
      <c r="D836" s="2" t="inlineStr">
        <is>
          <t>other</t>
        </is>
      </c>
      <c r="E836" s="2" t="inlineStr">
        <is>
          <t>reductant</t>
        </is>
      </c>
      <c r="F836" s="2" t="n"/>
      <c r="G836" s="2" t="n">
        <v>41</v>
      </c>
      <c r="H836" s="2" t="inlineStr"/>
      <c r="I836" s="2" t="inlineStr">
        <is>
          <t>No clear role in this N-alkylation; may be a mis-recorded salt or buffer.</t>
        </is>
      </c>
      <c r="J836" s="2" t="inlineStr">
        <is>
          <t>named and classified by a chemist agent; reviewed by an independent agent</t>
        </is>
      </c>
    </row>
    <row r="837">
      <c r="A837" s="3" t="inlineStr">
        <is>
          <t>CN(C)c1ccc(-c2nc3c(N4CCN(C(=O)Nc5ccccc5)CC4)c(Br)cnc3[nH]2)cc1</t>
        </is>
      </c>
      <c r="B837" s="2" t="inlineStr">
        <is>
          <t>4-[6-bromo-2-(4-dimethylaminophenyl)-3H-imidazo[4,5-b]pyridin-7-yl]-N-phenylpiperazine-1-carboxamide</t>
        </is>
      </c>
      <c r="C837" s="2" t="inlineStr"/>
      <c r="D837" s="2" t="inlineStr">
        <is>
          <t>other</t>
        </is>
      </c>
      <c r="E837" s="2" t="inlineStr"/>
      <c r="F837" s="2" t="n"/>
      <c r="G837" s="2" t="n">
        <v>41</v>
      </c>
      <c r="H837" s="2" t="inlineStr"/>
      <c r="I837" s="2" t="inlineStr">
        <is>
          <t>Product analog recorded among the agents of a Na2S2O4 reductive cyclization to an imidazopyridine.</t>
        </is>
      </c>
      <c r="J837" s="2" t="inlineStr">
        <is>
          <t>named and classified by a chemist agent; reviewed by an independent agent</t>
        </is>
      </c>
    </row>
    <row r="838">
      <c r="A838" s="3" t="inlineStr">
        <is>
          <t>[Rh+3]</t>
        </is>
      </c>
      <c r="B838" s="2" t="inlineStr">
        <is>
          <t>rhodium(III) ion</t>
        </is>
      </c>
      <c r="C838" s="2" t="inlineStr">
        <is>
          <t>RhCl3 / RhCl(PPh3)3</t>
        </is>
      </c>
      <c r="D838" s="2" t="inlineStr">
        <is>
          <t>catalyst (metal)</t>
        </is>
      </c>
      <c r="E838" s="2" t="inlineStr"/>
      <c r="F838" s="2" t="n"/>
      <c r="G838" s="2" t="n">
        <v>41</v>
      </c>
      <c r="H838" s="2" t="inlineStr"/>
      <c r="I838" s="2" t="inlineStr">
        <is>
          <t>Rh catalyst with PPh3 that isomerizes the allyl ether to a propenyl ether, which is cleaved (O-deallylation).</t>
        </is>
      </c>
      <c r="J838" s="2" t="inlineStr">
        <is>
          <t>named and classified by a chemist agent; reviewed by an independent agent</t>
        </is>
      </c>
    </row>
    <row r="839">
      <c r="A839" s="3" t="inlineStr">
        <is>
          <t>O=c1[nH]nc(CCc2ccccc2)cc1O</t>
        </is>
      </c>
      <c r="B839" s="2" t="inlineStr">
        <is>
          <t>4-hydroxy-6-(2-phenylethyl)pyridazin-3(2H)-one</t>
        </is>
      </c>
      <c r="C839" s="2" t="inlineStr"/>
      <c r="D839" s="2" t="inlineStr">
        <is>
          <t>other</t>
        </is>
      </c>
      <c r="E839" s="2" t="inlineStr"/>
      <c r="F839" s="2" t="n"/>
      <c r="G839" s="2" t="n">
        <v>41</v>
      </c>
      <c r="H839" s="2" t="inlineStr"/>
      <c r="I839" s="2" t="inlineStr">
        <is>
          <t>Product analog (DAAO-inhibitor series) recorded among the agents of a debenzylation.</t>
        </is>
      </c>
      <c r="J839" s="2" t="inlineStr">
        <is>
          <t>named and classified by a chemist agent; reviewed by an independent agent</t>
        </is>
      </c>
    </row>
    <row r="840">
      <c r="A840" s="3" t="inlineStr">
        <is>
          <t>[O-]B([O-])[O-]</t>
        </is>
      </c>
      <c r="B840" s="2" t="inlineStr">
        <is>
          <t>borate ion</t>
        </is>
      </c>
      <c r="C840" s="2" t="inlineStr"/>
      <c r="D840" s="2" t="inlineStr">
        <is>
          <t>salt (work-up or additive)</t>
        </is>
      </c>
      <c r="E840" s="2" t="inlineStr"/>
      <c r="F840" s="2" t="n"/>
      <c r="G840" s="2" t="n">
        <v>40</v>
      </c>
      <c r="H840" s="2" t="inlineStr"/>
      <c r="I840" s="2" t="inlineStr">
        <is>
          <t>Borate (from borax or sodium borate) as a buffer or catechol-protecting complex during basic ester hydrolysis.</t>
        </is>
      </c>
      <c r="J840" s="2" t="inlineStr">
        <is>
          <t>named and classified by a chemist agent; reviewed by an independent agent</t>
        </is>
      </c>
    </row>
    <row r="841">
      <c r="A841" s="3" t="inlineStr">
        <is>
          <t>COc1ccc(B(O)O)cc1</t>
        </is>
      </c>
      <c r="B841" s="2" t="inlineStr">
        <is>
          <t>4-methoxyphenylboronic acid</t>
        </is>
      </c>
      <c r="C841" s="2" t="inlineStr"/>
      <c r="D841" s="2" t="inlineStr">
        <is>
          <t>organometallic reagent</t>
        </is>
      </c>
      <c r="E841" s="2" t="inlineStr"/>
      <c r="F841" s="2" t="n"/>
      <c r="G841" s="2" t="n">
        <v>40</v>
      </c>
      <c r="H841" s="2" t="inlineStr"/>
      <c r="I841" s="2" t="inlineStr">
        <is>
          <t>Suzuki partner that installs the 4-methoxyphenyl group seen in the substrate.</t>
        </is>
      </c>
      <c r="J841" s="2" t="inlineStr">
        <is>
          <t>named and classified by a chemist agent; reviewed by an independent agent</t>
        </is>
      </c>
    </row>
    <row r="842">
      <c r="A842" s="3" t="inlineStr">
        <is>
          <t>C#CCN</t>
        </is>
      </c>
      <c r="B842" s="2" t="inlineStr">
        <is>
          <t>propargylamine</t>
        </is>
      </c>
      <c r="C842" s="2" t="inlineStr"/>
      <c r="D842" s="2" t="inlineStr">
        <is>
          <t>nucleophile</t>
        </is>
      </c>
      <c r="E842" s="2" t="inlineStr"/>
      <c r="F842" s="2" t="n"/>
      <c r="G842" s="2" t="n">
        <v>40</v>
      </c>
      <c r="H842" s="2" t="inlineStr"/>
      <c r="I842" s="2" t="inlineStr">
        <is>
          <t>Amine that displaces the chloropyrimidine (SNAr) to install the N-propargyl group.</t>
        </is>
      </c>
      <c r="J842" s="2" t="inlineStr">
        <is>
          <t>named and classified by a chemist agent; reviewed by an independent agent</t>
        </is>
      </c>
    </row>
    <row r="843">
      <c r="A843" s="3" t="inlineStr">
        <is>
          <t>C=C(C)C</t>
        </is>
      </c>
      <c r="B843" s="2" t="inlineStr">
        <is>
          <t>isobutylene (2-methylpropene)</t>
        </is>
      </c>
      <c r="C843" s="2" t="inlineStr"/>
      <c r="D843" s="2" t="inlineStr">
        <is>
          <t>additive</t>
        </is>
      </c>
      <c r="E843" s="2" t="inlineStr">
        <is>
          <t>reactant for t-Bu esters/ethers</t>
        </is>
      </c>
      <c r="F843" s="2" t="n"/>
      <c r="G843" s="2" t="n">
        <v>40</v>
      </c>
      <c r="H843" s="2" t="inlineStr"/>
      <c r="I843" s="2" t="inlineStr">
        <is>
          <t>HBr/cation scavenger in BBr3 demethylation; elsewhere with acid it makes tert-butyl esters.</t>
        </is>
      </c>
      <c r="J843" s="2" t="inlineStr">
        <is>
          <t>named and classified by a chemist agent; reviewed by an independent agent</t>
        </is>
      </c>
    </row>
    <row r="844">
      <c r="A844" s="3" t="inlineStr">
        <is>
          <t>O=C(Cl)C(Cl)(Cl)Cl</t>
        </is>
      </c>
      <c r="B844" s="2" t="inlineStr">
        <is>
          <t>trichloroacetyl chloride</t>
        </is>
      </c>
      <c r="C844" s="2" t="inlineStr"/>
      <c r="D844" s="2" t="inlineStr">
        <is>
          <t>electrophile / alkylating agent</t>
        </is>
      </c>
      <c r="E844" s="2" t="inlineStr">
        <is>
          <t>acylating agent</t>
        </is>
      </c>
      <c r="F844" s="2" t="n"/>
      <c r="G844" s="2" t="n">
        <v>40</v>
      </c>
      <c r="H844" s="2" t="inlineStr"/>
      <c r="I844" s="2" t="inlineStr">
        <is>
          <t>Acylating agent (with AlCl3); here it is linked to a Lewis-acid-mediated aryl methyl ether cleavage.</t>
        </is>
      </c>
      <c r="J844" s="2" t="inlineStr">
        <is>
          <t>named and classified by a chemist agent; reviewed by an independent agent</t>
        </is>
      </c>
    </row>
    <row r="845">
      <c r="A845" s="3" t="inlineStr">
        <is>
          <t>COc1cc(Cl)c(OC)c(P(C2CCCCC2)C2CCCCC2)c1-c1c(C(C)C)cc(C(C)C)cc1C(C)C</t>
        </is>
      </c>
      <c r="B845" s="2" t="inlineStr">
        <is>
          <t>BrettPhos (with stray Cl from mis-parsed BrettPhos Pd G1)</t>
        </is>
      </c>
      <c r="C845" s="2" t="inlineStr">
        <is>
          <t>BrettPhos</t>
        </is>
      </c>
      <c r="D845" s="2" t="inlineStr">
        <is>
          <t>ligand</t>
        </is>
      </c>
      <c r="E845" s="2" t="inlineStr"/>
      <c r="F845" s="2" t="n"/>
      <c r="G845" s="2" t="n">
        <v>40</v>
      </c>
      <c r="H845" s="2" t="inlineStr"/>
      <c r="I845" s="2" t="inlineStr">
        <is>
          <t>BrettPhos with the Pd chloride misattached; recorded with the phenethylamine palladacycle; Pd amination with NaOt-Am.</t>
        </is>
      </c>
      <c r="J845" s="2" t="inlineStr">
        <is>
          <t>named and classified by a chemist agent; reviewed by an independent agent</t>
        </is>
      </c>
    </row>
    <row r="846">
      <c r="A846" s="3" t="inlineStr">
        <is>
          <t>CC(N)=O</t>
        </is>
      </c>
      <c r="B846" s="2" t="inlineStr">
        <is>
          <t>acetamide</t>
        </is>
      </c>
      <c r="C846" s="2" t="inlineStr"/>
      <c r="D846" s="2" t="inlineStr">
        <is>
          <t>other</t>
        </is>
      </c>
      <c r="E846" s="2" t="inlineStr"/>
      <c r="F846" s="2" t="n"/>
      <c r="G846" s="2" t="n">
        <v>40</v>
      </c>
      <c r="H846" s="2" t="inlineStr"/>
      <c r="I846" s="2" t="inlineStr">
        <is>
          <t>No clear role in this Br2/NaOAc aromatic bromination (recording artifact).</t>
        </is>
      </c>
      <c r="J846" s="2" t="inlineStr">
        <is>
          <t>named and classified by a chemist agent; reviewed by an independent agent</t>
        </is>
      </c>
    </row>
    <row r="847">
      <c r="A847" s="3" t="inlineStr">
        <is>
          <t>C#CCO</t>
        </is>
      </c>
      <c r="B847" s="2" t="inlineStr">
        <is>
          <t>propargyl alcohol</t>
        </is>
      </c>
      <c r="C847" s="2" t="inlineStr"/>
      <c r="D847" s="2" t="inlineStr">
        <is>
          <t>other</t>
        </is>
      </c>
      <c r="E847" s="2" t="inlineStr"/>
      <c r="F847" s="2" t="n"/>
      <c r="G847" s="2" t="n">
        <v>40</v>
      </c>
      <c r="H847" s="2" t="inlineStr"/>
      <c r="I847" s="2" t="inlineStr">
        <is>
          <t>No clear role in this AlCl3 Friedel-Crafts acylation (recording artifact).</t>
        </is>
      </c>
      <c r="J847" s="2" t="inlineStr">
        <is>
          <t>named and classified by a chemist agent; reviewed by an independent agent</t>
        </is>
      </c>
    </row>
    <row r="848">
      <c r="A848" s="3" t="inlineStr">
        <is>
          <t>Cc1ccc2ccc3ccc(C)nc3c2n1</t>
        </is>
      </c>
      <c r="B848" s="2" t="inlineStr">
        <is>
          <t>neocuproine (2,9-dimethyl-1,10-phenanthroline)</t>
        </is>
      </c>
      <c r="C848" s="2" t="inlineStr">
        <is>
          <t>neocuproine</t>
        </is>
      </c>
      <c r="D848" s="2" t="inlineStr">
        <is>
          <t>ligand</t>
        </is>
      </c>
      <c r="E848" s="2" t="inlineStr"/>
      <c r="F848" s="2" t="n"/>
      <c r="G848" s="2" t="n">
        <v>40</v>
      </c>
      <c r="H848" s="2" t="inlineStr"/>
      <c r="I848" s="2" t="inlineStr">
        <is>
          <t>Ligand for the CuI/NaOtBu C-S coupling of a thiol with an aryl iodide.</t>
        </is>
      </c>
      <c r="J848" s="2" t="inlineStr">
        <is>
          <t>named and classified by a chemist agent; reviewed by an independent agent</t>
        </is>
      </c>
    </row>
    <row r="849">
      <c r="A849" s="3" t="inlineStr">
        <is>
          <t>O=P([O-])([O-])OP(=O)([O-])OP(=O)([O-])[O-]</t>
        </is>
      </c>
      <c r="B849" s="2" t="inlineStr">
        <is>
          <t>triphosphate (tripolyphosphate) ion</t>
        </is>
      </c>
      <c r="C849" s="2" t="inlineStr"/>
      <c r="D849" s="2" t="inlineStr">
        <is>
          <t>base</t>
        </is>
      </c>
      <c r="E849" s="2" t="inlineStr"/>
      <c r="F849" s="2" t="n">
        <v>9.4</v>
      </c>
      <c r="G849" s="2" t="n">
        <v>40</v>
      </c>
      <c r="H849" s="2" t="inlineStr">
        <is>
          <t>Triphosphate (CID 3440921)</t>
        </is>
      </c>
      <c r="I849" s="2" t="inlineStr">
        <is>
          <t>Probably a mis-recorded phosphate base (K3PO4) in the Cu-catalysed N-arylation of pyrrole; last pKa of triphosphoric acid in water.</t>
        </is>
      </c>
      <c r="J849" s="2" t="inlineStr">
        <is>
          <t>named and classified by a chemist agent; reviewed by an independent agent</t>
        </is>
      </c>
    </row>
    <row r="850">
      <c r="A850" s="3" t="inlineStr">
        <is>
          <t>C1=NCCCN2CCCCC12</t>
        </is>
      </c>
      <c r="B850" s="2" t="inlineStr">
        <is>
          <t>1,5-diazabicyclo[5.4.0]undec-5-ene</t>
        </is>
      </c>
      <c r="C850" s="2" t="inlineStr">
        <is>
          <t>DBU</t>
        </is>
      </c>
      <c r="D850" s="2" t="inlineStr">
        <is>
          <t>base</t>
        </is>
      </c>
      <c r="E850" s="2" t="inlineStr"/>
      <c r="F850" s="2" t="n">
        <v>13.5</v>
      </c>
      <c r="G850" s="2" t="n">
        <v>40</v>
      </c>
      <c r="H850" s="2" t="inlineStr">
        <is>
          <t>1,5-Diazabicyclo(5,4,0)undec-5-ene (CID 314112)</t>
        </is>
      </c>
      <c r="I850" s="2" t="inlineStr">
        <is>
          <t>Amidine base for sulfonylurea formation from a phenyl carbamate and a sulfonamide in MeCN; pKa in water (24.3 in MeCN).</t>
        </is>
      </c>
      <c r="J850" s="2" t="inlineStr">
        <is>
          <t>named and classified by a chemist agent; reviewed by an independent agent; corrected name (In this SMILES the imine carbon is a CH bonded to carbon, and the amine N2 sits on the adjacent carbon. There is no N-C=N unit, so the drawn structure is an iso); name corrected after comparing with PubChem (was: DBU (drawn as an isomeric bicyclic alpha-amino imine; not an amidine))</t>
        </is>
      </c>
    </row>
    <row r="851">
      <c r="A851" s="3" t="inlineStr">
        <is>
          <t>CC[O][Ti]([O]CC)([O]CC)[O]CC</t>
        </is>
      </c>
      <c r="B851" s="2" t="inlineStr">
        <is>
          <t>titanium(IV) ethoxide</t>
        </is>
      </c>
      <c r="C851" s="2" t="inlineStr">
        <is>
          <t>Ti(OEt)4</t>
        </is>
      </c>
      <c r="D851" s="2" t="inlineStr">
        <is>
          <t>Lewis acid</t>
        </is>
      </c>
      <c r="E851" s="2" t="inlineStr">
        <is>
          <t>dehydrating / activating agent</t>
        </is>
      </c>
      <c r="F851" s="2" t="n"/>
      <c r="G851" s="2" t="n">
        <v>40</v>
      </c>
      <c r="H851" s="2" t="inlineStr">
        <is>
          <t>Titanium(IV)ethoxide (CID 2724286)</t>
        </is>
      </c>
      <c r="I851" s="2" t="inlineStr">
        <is>
          <t>Condenses the aldehyde with Ellman's tert-butanesulfinamide to give the N-sulfinyl imine.</t>
        </is>
      </c>
      <c r="J851" s="2" t="inlineStr">
        <is>
          <t>named and classified by a chemist agent; reviewed by an independent agent</t>
        </is>
      </c>
    </row>
    <row r="852">
      <c r="A852" s="3" t="inlineStr">
        <is>
          <t>C1CCC2CCCCC2C1</t>
        </is>
      </c>
      <c r="B852" s="2" t="inlineStr">
        <is>
          <t>decalin (decahydronaphthalene)</t>
        </is>
      </c>
      <c r="C852" s="2" t="inlineStr"/>
      <c r="D852" s="2" t="inlineStr">
        <is>
          <t>solvent</t>
        </is>
      </c>
      <c r="E852" s="2" t="inlineStr"/>
      <c r="F852" s="2" t="n"/>
      <c r="G852" s="2" t="n">
        <v>40</v>
      </c>
      <c r="H852" s="2" t="inlineStr">
        <is>
          <t>Decalin (CID 7044)</t>
        </is>
      </c>
      <c r="I852" s="2" t="inlineStr">
        <is>
          <t>High-boiling solvent for thermal decarboxylation of the picolinic acid.</t>
        </is>
      </c>
      <c r="J852" s="2" t="inlineStr">
        <is>
          <t>named and classified by a chemist agent; reviewed by an independent agent</t>
        </is>
      </c>
    </row>
    <row r="853">
      <c r="A853" s="3" t="inlineStr">
        <is>
          <t>[CH3-]</t>
        </is>
      </c>
      <c r="B853" s="2" t="inlineStr">
        <is>
          <t>methyl anion (fragment of Tebbe/Petasis reagent)</t>
        </is>
      </c>
      <c r="C853" s="2" t="inlineStr">
        <is>
          <t>Cp2TiMe2 / Tebbe</t>
        </is>
      </c>
      <c r="D853" s="2" t="inlineStr">
        <is>
          <t>organometallic reagent</t>
        </is>
      </c>
      <c r="E853" s="2" t="inlineStr"/>
      <c r="F853" s="2" t="n"/>
      <c r="G853" s="2" t="n">
        <v>40</v>
      </c>
      <c r="H853" s="2" t="inlineStr">
        <is>
          <t>Methanide (CID 881)</t>
        </is>
      </c>
      <c r="I853" s="2" t="inlineStr">
        <is>
          <t>Ti/Al methyl reagent that methylenates the ketone C=O to C=CH2.</t>
        </is>
      </c>
      <c r="J853" s="2" t="inlineStr">
        <is>
          <t>named and classified by a chemist agent; reviewed by an independent agent</t>
        </is>
      </c>
    </row>
    <row r="854">
      <c r="A854" s="3" t="inlineStr">
        <is>
          <t>CCOC(=O)CC(C)=O</t>
        </is>
      </c>
      <c r="B854" s="2" t="inlineStr">
        <is>
          <t>ethyl acetoacetate</t>
        </is>
      </c>
      <c r="C854" s="2" t="inlineStr">
        <is>
          <t>EAA</t>
        </is>
      </c>
      <c r="D854" s="2" t="inlineStr">
        <is>
          <t>nucleophile</t>
        </is>
      </c>
      <c r="E854" s="2" t="inlineStr">
        <is>
          <t>electrophile</t>
        </is>
      </c>
      <c r="F854" s="2" t="n"/>
      <c r="G854" s="2" t="n">
        <v>39</v>
      </c>
      <c r="H854" s="2" t="inlineStr">
        <is>
          <t>Ethyl Acetoacetate (CID 8868)</t>
        </is>
      </c>
      <c r="I854" s="2" t="inlineStr">
        <is>
          <t>Beta-keto ester building block (Knorr/Hantzsch); source of the pyrrole ester before hydrolysis.</t>
        </is>
      </c>
      <c r="J854" s="2" t="inlineStr">
        <is>
          <t>named and classified by a chemist agent; reviewed by an independent agent</t>
        </is>
      </c>
    </row>
    <row r="855">
      <c r="A855" s="3" t="inlineStr">
        <is>
          <t>COc1ccc(C=O)cc1</t>
        </is>
      </c>
      <c r="B855" s="2" t="inlineStr">
        <is>
          <t>4-methoxybenzaldehyde (p-anisaldehyde)</t>
        </is>
      </c>
      <c r="C855" s="2" t="inlineStr"/>
      <c r="D855" s="2" t="inlineStr">
        <is>
          <t>electrophile / alkylating agent</t>
        </is>
      </c>
      <c r="E855" s="2" t="inlineStr"/>
      <c r="F855" s="2" t="n"/>
      <c r="G855" s="2" t="n">
        <v>39</v>
      </c>
      <c r="H855" s="2" t="inlineStr">
        <is>
          <t>4-Methoxybenzaldehyde (CID 31244)</t>
        </is>
      </c>
      <c r="I855" s="2" t="inlineStr">
        <is>
          <t>Aldehyde precursor (Wittig/HWE) of the stilbene substrate; recorded with the demethylation.</t>
        </is>
      </c>
      <c r="J855" s="2" t="inlineStr">
        <is>
          <t>named and classified by a chemist agent; reviewed by an independent agent</t>
        </is>
      </c>
    </row>
    <row r="856">
      <c r="A856" s="3" t="inlineStr">
        <is>
          <t>C#N</t>
        </is>
      </c>
      <c r="B856" s="2" t="inlineStr">
        <is>
          <t>hydrogen cyanide</t>
        </is>
      </c>
      <c r="C856" s="2" t="inlineStr">
        <is>
          <t>HCN</t>
        </is>
      </c>
      <c r="D856" s="2" t="inlineStr">
        <is>
          <t>nucleophile</t>
        </is>
      </c>
      <c r="E856" s="2" t="inlineStr"/>
      <c r="F856" s="2" t="n"/>
      <c r="G856" s="2" t="n">
        <v>39</v>
      </c>
      <c r="H856" s="2" t="inlineStr">
        <is>
          <t>Hydrogen Cyanide (CID 768)</t>
        </is>
      </c>
      <c r="I856" s="2" t="inlineStr">
        <is>
          <t>Cyanide source (cyanohydrin, Strecker); recorded with NaCN in this example.</t>
        </is>
      </c>
      <c r="J856" s="2" t="inlineStr">
        <is>
          <t>named and classified by a chemist agent; reviewed by an independent agent</t>
        </is>
      </c>
    </row>
    <row r="857">
      <c r="A857" s="3" t="inlineStr">
        <is>
          <t>CC1CCCCC1</t>
        </is>
      </c>
      <c r="B857" s="2" t="inlineStr">
        <is>
          <t>methylcyclohexane</t>
        </is>
      </c>
      <c r="C857" s="2" t="inlineStr"/>
      <c r="D857" s="2" t="inlineStr">
        <is>
          <t>solvent</t>
        </is>
      </c>
      <c r="E857" s="2" t="inlineStr"/>
      <c r="F857" s="2" t="n"/>
      <c r="G857" s="2" t="n">
        <v>39</v>
      </c>
      <c r="H857" s="2" t="inlineStr">
        <is>
          <t>Methylcyclohexane (CID 7962)</t>
        </is>
      </c>
      <c r="I857" s="2" t="inlineStr">
        <is>
          <t>Hydrocarbon co-solvent for the MsOH/methionine O-demethylation.</t>
        </is>
      </c>
      <c r="J857" s="2" t="inlineStr">
        <is>
          <t>named and classified by a chemist agent; reviewed by an independent agent</t>
        </is>
      </c>
    </row>
    <row r="858">
      <c r="A858" s="3" t="inlineStr">
        <is>
          <t>OCCBr</t>
        </is>
      </c>
      <c r="B858" s="2" t="inlineStr">
        <is>
          <t>2-bromoethanol</t>
        </is>
      </c>
      <c r="C858" s="2" t="inlineStr"/>
      <c r="D858" s="2" t="inlineStr">
        <is>
          <t>electrophile / alkylating agent</t>
        </is>
      </c>
      <c r="E858" s="2" t="inlineStr"/>
      <c r="F858" s="2" t="n"/>
      <c r="G858" s="2" t="n">
        <v>39</v>
      </c>
      <c r="H858" s="2" t="inlineStr">
        <is>
          <t>2-Bromoethanol (CID 10898)</t>
        </is>
      </c>
      <c r="I858" s="2" t="inlineStr">
        <is>
          <t>Hydroxyethylating agent; the example shows the N-hydroxyethyl tetrazole after TBS removal.</t>
        </is>
      </c>
      <c r="J858" s="2" t="inlineStr">
        <is>
          <t>named and classified by a chemist agent; reviewed by an independent agent</t>
        </is>
      </c>
    </row>
    <row r="859">
      <c r="A859" s="3" t="inlineStr">
        <is>
          <t>[N-]=[N+]=N</t>
        </is>
      </c>
      <c r="B859" s="2" t="inlineStr">
        <is>
          <t>hydrazoic acid</t>
        </is>
      </c>
      <c r="C859" s="2" t="inlineStr">
        <is>
          <t>HN3</t>
        </is>
      </c>
      <c r="D859" s="2" t="inlineStr">
        <is>
          <t>nucleophile</t>
        </is>
      </c>
      <c r="E859" s="2" t="inlineStr"/>
      <c r="F859" s="2" t="n"/>
      <c r="G859" s="2" t="n">
        <v>39</v>
      </c>
      <c r="H859" s="2" t="inlineStr">
        <is>
          <t>Hydrazoic acid (CID 24530)</t>
        </is>
      </c>
      <c r="I859" s="2" t="inlineStr">
        <is>
          <t>Azide source; its role in this Ni nitrile reduction is unclear (likely a mis-record).</t>
        </is>
      </c>
      <c r="J859" s="2" t="inlineStr">
        <is>
          <t>named and classified by a chemist agent; reviewed by an independent agent</t>
        </is>
      </c>
    </row>
    <row r="860">
      <c r="A860" s="3" t="inlineStr">
        <is>
          <t>O=C(O)C1CCCN1</t>
        </is>
      </c>
      <c r="B860" s="2" t="inlineStr">
        <is>
          <t>proline</t>
        </is>
      </c>
      <c r="C860" s="2" t="inlineStr">
        <is>
          <t>Pro</t>
        </is>
      </c>
      <c r="D860" s="2" t="inlineStr">
        <is>
          <t>ligand</t>
        </is>
      </c>
      <c r="E860" s="2" t="inlineStr"/>
      <c r="F860" s="2" t="n"/>
      <c r="G860" s="2" t="n">
        <v>39</v>
      </c>
      <c r="H860" s="2" t="inlineStr">
        <is>
          <t>proline dl-form (CID 614)</t>
        </is>
      </c>
      <c r="I860" s="2" t="inlineStr">
        <is>
          <t>Amino-acid ligand for CuI/K2CO3 Ullmann amination of an aryl bromide in DMSO (Ma conditions).</t>
        </is>
      </c>
      <c r="J860" s="2" t="inlineStr">
        <is>
          <t>named and classified by a chemist agent; reviewed by an independent agent</t>
        </is>
      </c>
    </row>
    <row r="861">
      <c r="A861" s="3" t="inlineStr">
        <is>
          <t>[Br][Mg][c]1ccccc1</t>
        </is>
      </c>
      <c r="B861" s="2" t="inlineStr">
        <is>
          <t>phenylmagnesium bromide</t>
        </is>
      </c>
      <c r="C861" s="2" t="inlineStr">
        <is>
          <t>PhMgBr</t>
        </is>
      </c>
      <c r="D861" s="2" t="inlineStr">
        <is>
          <t>organometallic reagent</t>
        </is>
      </c>
      <c r="E861" s="2" t="inlineStr"/>
      <c r="F861" s="2" t="n"/>
      <c r="G861" s="2" t="n">
        <v>39</v>
      </c>
      <c r="H861" s="2" t="inlineStr">
        <is>
          <t>Phenylmagnesium bromide (CID 66852)</t>
        </is>
      </c>
      <c r="I861" s="2" t="inlineStr">
        <is>
          <t>Grignard reagent that adds to C=O groups (here an earlier step of the route).</t>
        </is>
      </c>
      <c r="J861" s="2" t="inlineStr">
        <is>
          <t>named and classified by a chemist agent; reviewed by an independent agent</t>
        </is>
      </c>
    </row>
    <row r="862">
      <c r="A862" s="3" t="inlineStr">
        <is>
          <t>c1ccc2c(c1)OCCOCCOc1ccccc1OCCOCCO2</t>
        </is>
      </c>
      <c r="B862" s="2" t="inlineStr">
        <is>
          <t>dibenzo-18-crown-6</t>
        </is>
      </c>
      <c r="C862" s="2" t="inlineStr">
        <is>
          <t>DB18C6</t>
        </is>
      </c>
      <c r="D862" s="2" t="inlineStr">
        <is>
          <t>phase-transfer catalyst</t>
        </is>
      </c>
      <c r="E862" s="2" t="inlineStr"/>
      <c r="F862" s="2" t="n"/>
      <c r="G862" s="2" t="n">
        <v>39</v>
      </c>
      <c r="H862" s="2" t="inlineStr">
        <is>
          <t>Dibenzo-18-crown-6 (CID 26541)</t>
        </is>
      </c>
      <c r="I862" s="2" t="inlineStr">
        <is>
          <t>Complexes K+ from KOH so the phenoxide reacts with the 2-chloropyrimidine (SNAr) in toluene.</t>
        </is>
      </c>
      <c r="J862" s="2" t="inlineStr">
        <is>
          <t>named and classified by a chemist agent; reviewed by an independent agent</t>
        </is>
      </c>
    </row>
    <row r="863">
      <c r="A863" s="3" t="inlineStr">
        <is>
          <t>CC(C)(C)OOC(C)(C)C</t>
        </is>
      </c>
      <c r="B863" s="2" t="inlineStr">
        <is>
          <t>di-tert-butyl peroxide</t>
        </is>
      </c>
      <c r="C863" s="2" t="inlineStr">
        <is>
          <t>DTBP</t>
        </is>
      </c>
      <c r="D863" s="2" t="inlineStr">
        <is>
          <t>radical initiator</t>
        </is>
      </c>
      <c r="E863" s="2" t="inlineStr">
        <is>
          <t>oxidant</t>
        </is>
      </c>
      <c r="F863" s="2" t="n"/>
      <c r="G863" s="2" t="n">
        <v>39</v>
      </c>
      <c r="H863" s="2" t="inlineStr">
        <is>
          <t>Di-tert-butyl peroxide (CID 8033)</t>
        </is>
      </c>
      <c r="I863" s="2" t="inlineStr">
        <is>
          <t>Radical initiator or oxidant; probably a stabilizer or impurity record in this DCC esterification.</t>
        </is>
      </c>
      <c r="J863" s="2" t="inlineStr">
        <is>
          <t>named and classified by a chemist agent; reviewed by an independent agent</t>
        </is>
      </c>
    </row>
    <row r="864">
      <c r="A864" s="3" t="inlineStr">
        <is>
          <t>CCOC(=O)OCC</t>
        </is>
      </c>
      <c r="B864" s="2" t="inlineStr">
        <is>
          <t>diethyl carbonate</t>
        </is>
      </c>
      <c r="C864" s="2" t="inlineStr">
        <is>
          <t>DEC</t>
        </is>
      </c>
      <c r="D864" s="2" t="inlineStr">
        <is>
          <t>electrophile / alkylating agent</t>
        </is>
      </c>
      <c r="E864" s="2" t="inlineStr"/>
      <c r="F864" s="2" t="n"/>
      <c r="G864" s="2" t="n">
        <v>39</v>
      </c>
      <c r="H864" s="2" t="inlineStr">
        <is>
          <t>Diethyl Carbonate (CID 7766)</t>
        </is>
      </c>
      <c r="I864" s="2" t="inlineStr">
        <is>
          <t>With NaH it ethoxycarbonylates the methyl ketone to the beta-keto ester, which NaBH4 then reduces.</t>
        </is>
      </c>
      <c r="J864" s="2" t="inlineStr">
        <is>
          <t>named and classified by a chemist agent; reviewed by an independent agent</t>
        </is>
      </c>
    </row>
    <row r="865">
      <c r="A865" s="3" t="inlineStr">
        <is>
          <t>[O-][I+2]([O-])O</t>
        </is>
      </c>
      <c r="B865" s="2" t="inlineStr">
        <is>
          <t>iodic acid</t>
        </is>
      </c>
      <c r="C865" s="2" t="inlineStr">
        <is>
          <t>HIO3</t>
        </is>
      </c>
      <c r="D865" s="2" t="inlineStr">
        <is>
          <t>oxidant</t>
        </is>
      </c>
      <c r="E865" s="2" t="inlineStr"/>
      <c r="F865" s="2" t="n"/>
      <c r="G865" s="2" t="n">
        <v>39</v>
      </c>
      <c r="H865" s="2" t="inlineStr"/>
      <c r="I865" s="2" t="inlineStr">
        <is>
          <t>Reoxidizes iodide so I2/HIO3/H2SO4 iodinates the biphenyl efficiently.</t>
        </is>
      </c>
      <c r="J865" s="2" t="inlineStr">
        <is>
          <t>named and classified by a chemist agent; reviewed by an independent agent</t>
        </is>
      </c>
    </row>
    <row r="866">
      <c r="A866" s="3" t="inlineStr">
        <is>
          <t>O=I(=O)Cl</t>
        </is>
      </c>
      <c r="B866" s="2" t="inlineStr">
        <is>
          <t>iodyl chloride (probably mis-drawn dichloroiodate, ICl2-)</t>
        </is>
      </c>
      <c r="C866" s="2" t="inlineStr">
        <is>
          <t>BTMA·ICl2</t>
        </is>
      </c>
      <c r="D866" s="2" t="inlineStr">
        <is>
          <t>halogenating agent</t>
        </is>
      </c>
      <c r="E866" s="2" t="inlineStr"/>
      <c r="F866" s="2" t="n"/>
      <c r="G866" s="2" t="n">
        <v>39</v>
      </c>
      <c r="H866" s="2" t="inlineStr"/>
      <c r="I866" s="2" t="inlineStr">
        <is>
          <t>Iodinating agent with benzyltrimethylammonium and CaCO3; para-iodinates the aniline.</t>
        </is>
      </c>
      <c r="J866" s="2" t="inlineStr">
        <is>
          <t>named and classified by a chemist agent; reviewed by an independent agent; PubChem's title for this SMILES was wrong (CID 56924452 (CID 56924452)): PubChem gave only a CID; SMILES is IO2Cl as the agent says.</t>
        </is>
      </c>
    </row>
    <row r="867">
      <c r="A867" s="3" t="inlineStr">
        <is>
          <t>[Na][Na]</t>
        </is>
      </c>
      <c r="B867" s="2" t="inlineStr">
        <is>
          <t>sodium (metal)</t>
        </is>
      </c>
      <c r="C867" s="2" t="inlineStr">
        <is>
          <t>Na</t>
        </is>
      </c>
      <c r="D867" s="2" t="inlineStr">
        <is>
          <t>reductant</t>
        </is>
      </c>
      <c r="E867" s="2" t="inlineStr"/>
      <c r="F867" s="2" t="n"/>
      <c r="G867" s="2" t="n">
        <v>38</v>
      </c>
      <c r="H867" s="2" t="inlineStr">
        <is>
          <t>Disodium (CID 141233)</t>
        </is>
      </c>
      <c r="I867" s="2" t="inlineStr">
        <is>
          <t>Dissolving-metal reductant in liquid NH3; here reduces one nitro group to an amine.</t>
        </is>
      </c>
      <c r="J867" s="2" t="inlineStr">
        <is>
          <t>named and classified by a chemist agent; reviewed by an independent agent</t>
        </is>
      </c>
    </row>
    <row r="868">
      <c r="A868" s="3" t="inlineStr">
        <is>
          <t>OB(O)c1ccc(F)cc1</t>
        </is>
      </c>
      <c r="B868" s="2" t="inlineStr">
        <is>
          <t>4-fluorophenylboronic acid</t>
        </is>
      </c>
      <c r="C868" s="2" t="inlineStr"/>
      <c r="D868" s="2" t="inlineStr">
        <is>
          <t>organometallic reagent</t>
        </is>
      </c>
      <c r="E868" s="2" t="inlineStr"/>
      <c r="F868" s="2" t="n"/>
      <c r="G868" s="2" t="n">
        <v>38</v>
      </c>
      <c r="H868" s="2" t="inlineStr">
        <is>
          <t>4-Fluorophenylboronic acid (CID 285645)</t>
        </is>
      </c>
      <c r="I868" s="2" t="inlineStr">
        <is>
          <t>Chan-Lam N-arylation partner with Cu(OAc)2 (N-aryl indazole).</t>
        </is>
      </c>
      <c r="J868" s="2" t="inlineStr">
        <is>
          <t>named and classified by a chemist agent; reviewed by an independent agent</t>
        </is>
      </c>
    </row>
    <row r="869">
      <c r="A869" s="3" t="inlineStr">
        <is>
          <t>COc1cc(C#N)c(Br)c(C#N)c1O</t>
        </is>
      </c>
      <c r="B869" s="2" t="inlineStr">
        <is>
          <t>2-bromo-4-hydroxy-5-methoxyisophthalonitrile</t>
        </is>
      </c>
      <c r="C869" s="2" t="inlineStr"/>
      <c r="D869" s="2" t="inlineStr">
        <is>
          <t>other</t>
        </is>
      </c>
      <c r="E869" s="2" t="inlineStr"/>
      <c r="F869" s="2" t="n"/>
      <c r="G869" s="2" t="n">
        <v>38</v>
      </c>
      <c r="H869" s="2" t="inlineStr">
        <is>
          <t>2-Bromo-4-hydroxy-5-methoxyisophthalonitrile (CID 90015928)</t>
        </is>
      </c>
      <c r="I869" s="2" t="inlineStr">
        <is>
          <t>Aryl bromide Suzuki substrate recorded among the agents of a demethylation.</t>
        </is>
      </c>
      <c r="J869" s="2" t="inlineStr">
        <is>
          <t>named and classified by a chemist agent; reviewed by an independent agent</t>
        </is>
      </c>
    </row>
    <row r="870">
      <c r="A870" s="3" t="inlineStr">
        <is>
          <t>C[SiH](C)C</t>
        </is>
      </c>
      <c r="B870" s="2" t="inlineStr">
        <is>
          <t>trimethylsilane (probably iodotrimethylsilane fragment)</t>
        </is>
      </c>
      <c r="C870" s="2" t="inlineStr">
        <is>
          <t>TMSI (fragment)</t>
        </is>
      </c>
      <c r="D870" s="2" t="inlineStr">
        <is>
          <t>deprotecting agent</t>
        </is>
      </c>
      <c r="E870" s="2" t="inlineStr"/>
      <c r="F870" s="2" t="n"/>
      <c r="G870" s="2" t="n">
        <v>38</v>
      </c>
      <c r="H870" s="2" t="inlineStr">
        <is>
          <t>Trimethylsilane (CID 70435)</t>
        </is>
      </c>
      <c r="I870" s="2" t="inlineStr">
        <is>
          <t>Recorded with iodide; TMSI cleaves the aryl methyl ether selectively.</t>
        </is>
      </c>
      <c r="J870" s="2" t="inlineStr">
        <is>
          <t>named and classified by a chemist agent; reviewed by an independent agent</t>
        </is>
      </c>
    </row>
    <row r="871">
      <c r="A871" s="3" t="inlineStr">
        <is>
          <t>c1cc[nH]c1</t>
        </is>
      </c>
      <c r="B871" s="2" t="inlineStr">
        <is>
          <t>pyrrole</t>
        </is>
      </c>
      <c r="C871" s="2" t="inlineStr"/>
      <c r="D871" s="2" t="inlineStr">
        <is>
          <t>other</t>
        </is>
      </c>
      <c r="E871" s="2" t="inlineStr"/>
      <c r="F871" s="2" t="n"/>
      <c r="G871" s="2" t="n">
        <v>38</v>
      </c>
      <c r="H871" s="2" t="inlineStr">
        <is>
          <t>Pyrrole (CID 8027)</t>
        </is>
      </c>
      <c r="I871" s="2" t="inlineStr">
        <is>
          <t>Heteroarene related to the N-Boc pyrrole substrate; no reagent role in this debenzylation.</t>
        </is>
      </c>
      <c r="J871" s="2" t="inlineStr">
        <is>
          <t>named and classified by a chemist agent; reviewed by an independent agent</t>
        </is>
      </c>
    </row>
    <row r="872">
      <c r="A872" s="3" t="inlineStr">
        <is>
          <t>[O-][n+]1ccccc1O</t>
        </is>
      </c>
      <c r="B872" s="2" t="inlineStr">
        <is>
          <t>2-hydroxypyridine N-oxide</t>
        </is>
      </c>
      <c r="C872" s="2" t="inlineStr">
        <is>
          <t>HOPO</t>
        </is>
      </c>
      <c r="D872" s="2" t="inlineStr">
        <is>
          <t>additive</t>
        </is>
      </c>
      <c r="E872" s="2" t="inlineStr"/>
      <c r="F872" s="2" t="n"/>
      <c r="G872" s="2" t="n">
        <v>38</v>
      </c>
      <c r="H872" s="2" t="inlineStr">
        <is>
          <t>Hydroxypyridinone (CID 69975)</t>
        </is>
      </c>
      <c r="I872" s="2" t="inlineStr">
        <is>
          <t>Coupling additive with EDC; forms an active ester for amide formation.</t>
        </is>
      </c>
      <c r="J872" s="2" t="inlineStr">
        <is>
          <t>named and classified by a chemist agent; reviewed by an independent agent</t>
        </is>
      </c>
    </row>
    <row r="873">
      <c r="A873" s="3" t="inlineStr">
        <is>
          <t>O=C(c1ccccc1)c1ccccc1</t>
        </is>
      </c>
      <c r="B873" s="2" t="inlineStr">
        <is>
          <t>benzophenone</t>
        </is>
      </c>
      <c r="C873" s="2" t="inlineStr"/>
      <c r="D873" s="2" t="inlineStr">
        <is>
          <t>other</t>
        </is>
      </c>
      <c r="E873" s="2" t="inlineStr"/>
      <c r="F873" s="2" t="n"/>
      <c r="G873" s="2" t="n">
        <v>38</v>
      </c>
      <c r="H873" s="2" t="inlineStr">
        <is>
          <t>Benzophenone (CID 3102)</t>
        </is>
      </c>
      <c r="I873" s="2" t="inlineStr">
        <is>
          <t>Analog of the substrate ketone; no reagent role in this K2CO3 O-alkylation.</t>
        </is>
      </c>
      <c r="J873" s="2" t="inlineStr">
        <is>
          <t>named and classified by a chemist agent; reviewed by an independent agent</t>
        </is>
      </c>
    </row>
    <row r="874">
      <c r="A874" s="3" t="inlineStr">
        <is>
          <t>CCOP(=O)(OCC)OCC</t>
        </is>
      </c>
      <c r="B874" s="2" t="inlineStr">
        <is>
          <t>triethyl phosphate</t>
        </is>
      </c>
      <c r="C874" s="2" t="inlineStr">
        <is>
          <t>TEP</t>
        </is>
      </c>
      <c r="D874" s="2" t="inlineStr">
        <is>
          <t>solvent</t>
        </is>
      </c>
      <c r="E874" s="2" t="inlineStr"/>
      <c r="F874" s="2" t="n"/>
      <c r="G874" s="2" t="n">
        <v>38</v>
      </c>
      <c r="H874" s="2" t="inlineStr">
        <is>
          <t>Triethyl Phosphate (CID 6535)</t>
        </is>
      </c>
      <c r="I874" s="2" t="inlineStr">
        <is>
          <t>Polar aprotic solvent or additive; its role here is unclear.</t>
        </is>
      </c>
      <c r="J874" s="2" t="inlineStr">
        <is>
          <t>named and classified by a chemist agent; reviewed by an independent agent</t>
        </is>
      </c>
    </row>
    <row r="875">
      <c r="A875" s="3" t="inlineStr">
        <is>
          <t>O=C1CCCC1</t>
        </is>
      </c>
      <c r="B875" s="2" t="inlineStr">
        <is>
          <t>cyclopentanone</t>
        </is>
      </c>
      <c r="C875" s="2" t="inlineStr"/>
      <c r="D875" s="2" t="inlineStr">
        <is>
          <t>electrophile / alkylating agent</t>
        </is>
      </c>
      <c r="E875" s="2" t="inlineStr"/>
      <c r="F875" s="2" t="n"/>
      <c r="G875" s="2" t="n">
        <v>38</v>
      </c>
      <c r="H875" s="2" t="inlineStr">
        <is>
          <t>Cyclopentanone (CID 8452)</t>
        </is>
      </c>
      <c r="I875" s="2" t="inlineStr">
        <is>
          <t>Ketone for reductive amination (source of the N-cyclopentyl group); recorded with an ester reduction.</t>
        </is>
      </c>
      <c r="J875" s="2" t="inlineStr">
        <is>
          <t>named and classified by a chemist agent; reviewed by an independent agent</t>
        </is>
      </c>
    </row>
    <row r="876">
      <c r="A876" s="3" t="inlineStr">
        <is>
          <t>[Cr]</t>
        </is>
      </c>
      <c r="B876" s="2" t="inlineStr">
        <is>
          <t>chromium (copper chromite)</t>
        </is>
      </c>
      <c r="C876" s="2" t="inlineStr">
        <is>
          <t>Cu2Cr2O5 (Adkins)</t>
        </is>
      </c>
      <c r="D876" s="2" t="inlineStr">
        <is>
          <t>catalyst (metal)</t>
        </is>
      </c>
      <c r="E876" s="2" t="inlineStr"/>
      <c r="F876" s="2" t="n"/>
      <c r="G876" s="2" t="n">
        <v>38</v>
      </c>
      <c r="H876" s="2" t="inlineStr">
        <is>
          <t>Chromium (CID 23976)</t>
        </is>
      </c>
      <c r="I876" s="2" t="inlineStr">
        <is>
          <t>Cr from Adkins copper chromite catalyst for H2 reduction of the aldehyde to the alcohol.</t>
        </is>
      </c>
      <c r="J876" s="2" t="inlineStr">
        <is>
          <t>named and classified by a chemist agent; reviewed by an independent agent</t>
        </is>
      </c>
    </row>
    <row r="877">
      <c r="A877" s="3" t="inlineStr">
        <is>
          <t>CN(C)CCN(C)CCN(C)C</t>
        </is>
      </c>
      <c r="B877" s="2" t="inlineStr">
        <is>
          <t>N,N,N',N'',N''-pentamethyldiethylenetriamine</t>
        </is>
      </c>
      <c r="C877" s="2" t="inlineStr">
        <is>
          <t>PMDTA</t>
        </is>
      </c>
      <c r="D877" s="2" t="inlineStr">
        <is>
          <t>additive</t>
        </is>
      </c>
      <c r="E877" s="2" t="inlineStr">
        <is>
          <t>ligand (Li)</t>
        </is>
      </c>
      <c r="F877" s="2" t="n"/>
      <c r="G877" s="2" t="n">
        <v>38</v>
      </c>
      <c r="H877" s="2" t="inlineStr">
        <is>
          <t>Pentamethyldiethylenetriamine (CID 18196)</t>
        </is>
      </c>
      <c r="I877" s="2" t="inlineStr">
        <is>
          <t>Breaks up n-BuLi aggregates for directed ortho-lithiation before DMF formylation.</t>
        </is>
      </c>
      <c r="J877" s="2" t="inlineStr">
        <is>
          <t>named and classified by a chemist agent; reviewed by an independent agent</t>
        </is>
      </c>
    </row>
    <row r="878">
      <c r="A878" s="3" t="inlineStr">
        <is>
          <t>CCOC([O-])[O-]</t>
        </is>
      </c>
      <c r="B878" s="2" t="inlineStr">
        <is>
          <t>triethyl orthoformate (fragment)</t>
        </is>
      </c>
      <c r="C878" s="2" t="inlineStr">
        <is>
          <t>HC(OEt)3</t>
        </is>
      </c>
      <c r="D878" s="2" t="inlineStr">
        <is>
          <t>dehydrating / activating agent</t>
        </is>
      </c>
      <c r="E878" s="2" t="inlineStr"/>
      <c r="F878" s="2" t="n"/>
      <c r="G878" s="2" t="n">
        <v>38</v>
      </c>
      <c r="H878" s="2" t="inlineStr">
        <is>
          <t>Ethylorthoformate (CID 53630039)</t>
        </is>
      </c>
      <c r="I878" s="2" t="inlineStr">
        <is>
          <t>Water scavenger in TsOH-catalysed ethylene glycol ketalization of the steroid ketone.</t>
        </is>
      </c>
      <c r="J878" s="2" t="inlineStr">
        <is>
          <t>named and classified by a chemist agent; reviewed by an independent agent</t>
        </is>
      </c>
    </row>
    <row r="879">
      <c r="A879" s="3" t="inlineStr">
        <is>
          <t>CCC[CH2][Sn]([CH2]CCC)([CH2]CCC)[c]1cnc(C(CCCCCCc2ccccc2)O[Si](C)(C)C(C)(C)C)o1</t>
        </is>
      </c>
      <c r="B879" s="2" t="inlineStr">
        <is>
          <t>2-[1-(tert-butyldimethylsilyloxy)-7-phenylheptyl]-5-(tributylstannyl)oxazole</t>
        </is>
      </c>
      <c r="C879" s="2" t="inlineStr"/>
      <c r="D879" s="2" t="inlineStr">
        <is>
          <t>organometallic reagent</t>
        </is>
      </c>
      <c r="E879" s="2" t="inlineStr"/>
      <c r="F879" s="2" t="n"/>
      <c r="G879" s="2" t="n">
        <v>38</v>
      </c>
      <c r="H879" s="2" t="inlineStr">
        <is>
          <t>2-(1-(Tert-butyldimethylsilyloxy)-7-phenylheptyl)-5-(tributylstannyl)oxazole (CID 67046048)</t>
        </is>
      </c>
      <c r="I879" s="2" t="inlineStr">
        <is>
          <t>Stille partner coupled with 2-iodonitrobenzene before the TBS-removal/oxidation step shown.</t>
        </is>
      </c>
      <c r="J879" s="2" t="inlineStr">
        <is>
          <t>named and classified by a chemist agent; reviewed by an independent agent</t>
        </is>
      </c>
    </row>
    <row r="880">
      <c r="A880" s="3" t="inlineStr">
        <is>
          <t>CCCC[B+]CCCC</t>
        </is>
      </c>
      <c r="B880" s="2" t="inlineStr">
        <is>
          <t>dibutylboron cation (dibutylboron triflate)</t>
        </is>
      </c>
      <c r="C880" s="2" t="inlineStr">
        <is>
          <t>Bu2BOTf</t>
        </is>
      </c>
      <c r="D880" s="2" t="inlineStr">
        <is>
          <t>Lewis acid</t>
        </is>
      </c>
      <c r="E880" s="2" t="inlineStr"/>
      <c r="F880" s="2" t="n"/>
      <c r="G880" s="2" t="n">
        <v>38</v>
      </c>
      <c r="H880" s="2" t="inlineStr"/>
      <c r="I880" s="2" t="inlineStr">
        <is>
          <t>With Et3N it forms the Z-boron enolate of the Evans oxazolidinone for the syn-aldol.</t>
        </is>
      </c>
      <c r="J880" s="2" t="inlineStr">
        <is>
          <t>named and classified by a chemist agent; reviewed by an independent agent</t>
        </is>
      </c>
    </row>
    <row r="881">
      <c r="A881" s="3" t="inlineStr">
        <is>
          <t>CC(C)(C)OC(=O)N1CCC(C(=O)Nc2c(C(N)=O)oc3ccc(Br)cc23)CC1</t>
        </is>
      </c>
      <c r="B881" s="2" t="inlineStr">
        <is>
          <t>tert-butyl 4-[(5-bromo-2-carbamoylbenzofuran-3-yl)carbamoyl]piperidine-1-carboxylate</t>
        </is>
      </c>
      <c r="C881" s="2" t="inlineStr"/>
      <c r="D881" s="2" t="inlineStr">
        <is>
          <t>other</t>
        </is>
      </c>
      <c r="E881" s="2" t="inlineStr"/>
      <c r="F881" s="2" t="n"/>
      <c r="G881" s="2" t="n">
        <v>38</v>
      </c>
      <c r="H881" s="2" t="inlineStr">
        <is>
          <t>1,1-Dimethylethyl 4-(5-bromo-2-carbamoylbenzofuran-3-ylcarbamoyl)piperidine-1-carboxylate (CID 57899680)</t>
        </is>
      </c>
      <c r="I881" s="2" t="inlineStr">
        <is>
          <t>Cyclization-substrate analog recorded among the agents of a benzofuropyrimidinone ring closure.</t>
        </is>
      </c>
      <c r="J881" s="2" t="inlineStr">
        <is>
          <t>named and classified by a chemist agent; reviewed by an independent agent</t>
        </is>
      </c>
    </row>
    <row r="882">
      <c r="A882" s="3" t="inlineStr">
        <is>
          <t>O=C(OI(OC(=O)C(F)(F)F)c1ccccc1)C(F)(F)F</t>
        </is>
      </c>
      <c r="B882" s="2" t="inlineStr">
        <is>
          <t>[bis(trifluoroacetoxy)iodo]benzene</t>
        </is>
      </c>
      <c r="C882" s="2" t="inlineStr">
        <is>
          <t>PIFA</t>
        </is>
      </c>
      <c r="D882" s="2" t="inlineStr">
        <is>
          <t>oxidant</t>
        </is>
      </c>
      <c r="E882" s="2" t="inlineStr"/>
      <c r="F882" s="2" t="n"/>
      <c r="G882" s="2" t="n">
        <v>38</v>
      </c>
      <c r="H882" s="2" t="inlineStr">
        <is>
          <t>Bis(trifluoroacetoxy)iodobenzene (CID 102317)</t>
        </is>
      </c>
      <c r="I882" s="2" t="inlineStr">
        <is>
          <t>Hypervalent iodine oxidant that alpha-hydroxylates the aryl ketone (with TFA, aqueous MeCN).</t>
        </is>
      </c>
      <c r="J882" s="2" t="inlineStr">
        <is>
          <t>named and classified by a chemist agent; reviewed by an independent agent</t>
        </is>
      </c>
    </row>
    <row r="883">
      <c r="A883" s="3" t="inlineStr">
        <is>
          <t>Cc1cc2nc3c(=O)[nH]c(=O)nc-3n(C[C@H](O)[C@H](O)[C@H](O)CO)c2cc1C</t>
        </is>
      </c>
      <c r="B883" s="2" t="inlineStr">
        <is>
          <t>riboflavin</t>
        </is>
      </c>
      <c r="C883" s="2" t="inlineStr"/>
      <c r="D883" s="2" t="inlineStr">
        <is>
          <t>other</t>
        </is>
      </c>
      <c r="E883" s="2" t="inlineStr">
        <is>
          <t>photocatalyst / redox mediator</t>
        </is>
      </c>
      <c r="F883" s="2" t="n"/>
      <c r="G883" s="2" t="n">
        <v>37</v>
      </c>
      <c r="H883" s="2" t="inlineStr">
        <is>
          <t>Riboflavin (CID 493570)</t>
        </is>
      </c>
      <c r="I883" s="2" t="inlineStr">
        <is>
          <t>Recorded with Pd for nitro reduction; at most a redox mediator, otherwise an artifact.</t>
        </is>
      </c>
      <c r="J883" s="2" t="inlineStr">
        <is>
          <t>named and classified by a chemist agent; reviewed by an independent agent</t>
        </is>
      </c>
    </row>
    <row r="884">
      <c r="A884" s="3" t="inlineStr">
        <is>
          <t>COc1ccc(S(=O)(=O)[O-])c(OC)c1-c1ccccc1P(C1CCCCC1)C1CCCCC1</t>
        </is>
      </c>
      <c r="B884" s="2" t="inlineStr">
        <is>
          <t>2'-dicyclohexylphosphino-2,6-dimethoxybiphenyl-3-sulfonate</t>
        </is>
      </c>
      <c r="C884" s="2" t="inlineStr">
        <is>
          <t>sSPhos</t>
        </is>
      </c>
      <c r="D884" s="2" t="inlineStr">
        <is>
          <t>ligand</t>
        </is>
      </c>
      <c r="E884" s="2" t="inlineStr"/>
      <c r="F884" s="2" t="n"/>
      <c r="G884" s="2" t="n">
        <v>37</v>
      </c>
      <c r="H884" s="2" t="inlineStr">
        <is>
          <t>3-(2-Dicyclohexylphosphanylphenyl)-2,4-dimethoxybenzenesulfonate (CID 86314534)</t>
        </is>
      </c>
      <c r="I884" s="2" t="inlineStr">
        <is>
          <t>Water-soluble SPhos (Na salt) for Pd Suzuki coupling with K3PO4 in toluene/water.</t>
        </is>
      </c>
      <c r="J884" s="2" t="inlineStr">
        <is>
          <t>named and classified by a chemist agent; reviewed by an independent agent</t>
        </is>
      </c>
    </row>
    <row r="885">
      <c r="A885" s="3" t="inlineStr">
        <is>
          <t>OC1CCNC1</t>
        </is>
      </c>
      <c r="B885" s="2" t="inlineStr">
        <is>
          <t>3-pyrrolidinol</t>
        </is>
      </c>
      <c r="C885" s="2" t="inlineStr"/>
      <c r="D885" s="2" t="inlineStr">
        <is>
          <t>nucleophile</t>
        </is>
      </c>
      <c r="E885" s="2" t="inlineStr"/>
      <c r="F885" s="2" t="n"/>
      <c r="G885" s="2" t="n">
        <v>37</v>
      </c>
      <c r="H885" s="2" t="inlineStr">
        <is>
          <t>4-Hydroxypyrrolidine (CID 98210)</t>
        </is>
      </c>
      <c r="I885" s="2" t="inlineStr">
        <is>
          <t>Secondary amine for SNAr on the 2-chloropyridine (example records the piperidinol analog).</t>
        </is>
      </c>
      <c r="J885" s="2" t="inlineStr">
        <is>
          <t>named and classified by a chemist agent; reviewed by an independent agent</t>
        </is>
      </c>
    </row>
    <row r="886">
      <c r="A886" s="3" t="inlineStr">
        <is>
          <t>[O-][Si]([O-])([O-])[O-]</t>
        </is>
      </c>
      <c r="B886" s="2" t="inlineStr">
        <is>
          <t>orthosilicate ion</t>
        </is>
      </c>
      <c r="C886" s="2" t="inlineStr"/>
      <c r="D886" s="2" t="inlineStr">
        <is>
          <t>other</t>
        </is>
      </c>
      <c r="E886" s="2" t="inlineStr">
        <is>
          <t>filter aid</t>
        </is>
      </c>
      <c r="F886" s="2" t="n"/>
      <c r="G886" s="2" t="n">
        <v>37</v>
      </c>
      <c r="H886" s="2" t="inlineStr">
        <is>
          <t>Silicate (CID 104812)</t>
        </is>
      </c>
      <c r="I886" s="2" t="inlineStr">
        <is>
          <t>From magnesium silicate (Florisil) used to filter chromium residues after PCC oxidation.</t>
        </is>
      </c>
      <c r="J886" s="2" t="inlineStr">
        <is>
          <t>named and classified by a chemist agent; reviewed by an independent agent</t>
        </is>
      </c>
    </row>
    <row r="887">
      <c r="A887" s="3" t="inlineStr">
        <is>
          <t>CS</t>
        </is>
      </c>
      <c r="B887" s="2" t="inlineStr">
        <is>
          <t>methanethiol (methyl mercaptan)</t>
        </is>
      </c>
      <c r="C887" s="2" t="inlineStr">
        <is>
          <t>MeSH</t>
        </is>
      </c>
      <c r="D887" s="2" t="inlineStr">
        <is>
          <t>nucleophile</t>
        </is>
      </c>
      <c r="E887" s="2" t="inlineStr"/>
      <c r="F887" s="2" t="n"/>
      <c r="G887" s="2" t="n">
        <v>37</v>
      </c>
      <c r="H887" s="2" t="inlineStr">
        <is>
          <t>Methanethiol (CID 878)</t>
        </is>
      </c>
      <c r="I887" s="2" t="inlineStr">
        <is>
          <t>S-nucleophile: as MeS- (K2CO3/DMF) it displaces an activated aryl chloride by SNAr to give an aryl methyl sulfide. The recorded C(=S)OMe thionoester is probably a mis-parse.</t>
        </is>
      </c>
      <c r="J887" s="2" t="inlineStr">
        <is>
          <t>named and classified by a chemist agent; reviewed by an independent agent; corrected notes (The mechanism is wrong. A thiolate attacking a methyl ester gives a thioester (C(=O)SMe) or demethylates it by SN2. It cannot turn the ester into a thionoester )</t>
        </is>
      </c>
    </row>
    <row r="888">
      <c r="A888" s="3" t="inlineStr">
        <is>
          <t>O=[N+]([O-])c1cccc(S(=O)(=O)[O-])c1</t>
        </is>
      </c>
      <c r="B888" s="2" t="inlineStr">
        <is>
          <t>3-nitrobenzenesulfonate ion</t>
        </is>
      </c>
      <c r="C888" s="2" t="inlineStr"/>
      <c r="D888" s="2" t="inlineStr">
        <is>
          <t>oxidant</t>
        </is>
      </c>
      <c r="E888" s="2" t="inlineStr"/>
      <c r="F888" s="2" t="n"/>
      <c r="G888" s="2" t="n">
        <v>37</v>
      </c>
      <c r="H888" s="2" t="inlineStr">
        <is>
          <t>3-Nitrobenzenesulfonate (CID 3906961)</t>
        </is>
      </c>
      <c r="I888" s="2" t="inlineStr">
        <is>
          <t>Sodium m-nitrobenzenesulfonate is a mild water-soluble oxidant; unclear role in this deacetylation.</t>
        </is>
      </c>
      <c r="J888" s="2" t="inlineStr">
        <is>
          <t>named and classified by a chemist agent; reviewed by an independent agent</t>
        </is>
      </c>
    </row>
    <row r="889">
      <c r="A889" s="3" t="inlineStr">
        <is>
          <t>NC1CCCCC1N</t>
        </is>
      </c>
      <c r="B889" s="2" t="inlineStr">
        <is>
          <t>1,2-diaminocyclohexane</t>
        </is>
      </c>
      <c r="C889" s="2" t="inlineStr">
        <is>
          <t>DACH</t>
        </is>
      </c>
      <c r="D889" s="2" t="inlineStr">
        <is>
          <t>ligand</t>
        </is>
      </c>
      <c r="E889" s="2" t="inlineStr"/>
      <c r="F889" s="2" t="n"/>
      <c r="G889" s="2" t="n">
        <v>37</v>
      </c>
      <c r="H889" s="2" t="inlineStr">
        <is>
          <t>1,2-Diaminocyclohexane (CID 4610)</t>
        </is>
      </c>
      <c r="I889" s="2" t="inlineStr">
        <is>
          <t>Diamine ligand for CuI Goldberg N-arylation of the lactam with an aryl iodide.</t>
        </is>
      </c>
      <c r="J889" s="2" t="inlineStr">
        <is>
          <t>named and classified by a chemist agent; reviewed by an independent agent</t>
        </is>
      </c>
    </row>
    <row r="890">
      <c r="A890" s="3" t="inlineStr">
        <is>
          <t>NNc1ccccc1</t>
        </is>
      </c>
      <c r="B890" s="2" t="inlineStr">
        <is>
          <t>phenylhydrazine</t>
        </is>
      </c>
      <c r="C890" s="2" t="inlineStr">
        <is>
          <t>PhNHNH2</t>
        </is>
      </c>
      <c r="D890" s="2" t="inlineStr">
        <is>
          <t>nucleophile</t>
        </is>
      </c>
      <c r="E890" s="2" t="inlineStr"/>
      <c r="F890" s="2" t="n"/>
      <c r="G890" s="2" t="n">
        <v>37</v>
      </c>
      <c r="H890" s="2" t="inlineStr">
        <is>
          <t>Phenylhydrazine (CID 7516)</t>
        </is>
      </c>
      <c r="I890" s="2" t="inlineStr">
        <is>
          <t>Condenses with the aldehyde to form the phenylhydrazone.</t>
        </is>
      </c>
      <c r="J890" s="2" t="inlineStr">
        <is>
          <t>named and classified by a chemist agent; reviewed by an independent agent</t>
        </is>
      </c>
    </row>
    <row r="891">
      <c r="A891" s="3" t="inlineStr">
        <is>
          <t>O=S(=O)(O)OOS(=O)(=O)O</t>
        </is>
      </c>
      <c r="B891" s="2" t="inlineStr">
        <is>
          <t>peroxydisulfuric acid (persulfate)</t>
        </is>
      </c>
      <c r="C891" s="2" t="inlineStr">
        <is>
          <t>(NH4)2S2O8 (ammonium persulfate)</t>
        </is>
      </c>
      <c r="D891" s="2" t="inlineStr">
        <is>
          <t>oxidant</t>
        </is>
      </c>
      <c r="E891" s="2" t="inlineStr"/>
      <c r="F891" s="2" t="n"/>
      <c r="G891" s="2" t="n">
        <v>37</v>
      </c>
      <c r="H891" s="2" t="inlineStr">
        <is>
          <t>Peroxydisulfuric acid (CID 24413)</t>
        </is>
      </c>
      <c r="I891" s="2" t="inlineStr">
        <is>
          <t>Oxidant for Minisci decarboxylative alkylation of lepidine with cyclohexanecarboxylic acid.</t>
        </is>
      </c>
      <c r="J891" s="2" t="inlineStr">
        <is>
          <t>named and classified by a chemist agent; reviewed by an independent agent; corrected abbreviation (The record contains NH3/ammonium ('N') and no K+, so the persulfate salt is ammonium persulfate, the usual Minisci oxidant. K2S2O8 is the wrong salt.)</t>
        </is>
      </c>
    </row>
    <row r="892">
      <c r="A892" s="3" t="inlineStr">
        <is>
          <t>CNCC(=O)O</t>
        </is>
      </c>
      <c r="B892" s="2" t="inlineStr">
        <is>
          <t>sarcosine (N-methylglycine)</t>
        </is>
      </c>
      <c r="C892" s="2" t="inlineStr">
        <is>
          <t>Sar</t>
        </is>
      </c>
      <c r="D892" s="2" t="inlineStr">
        <is>
          <t>nucleophile</t>
        </is>
      </c>
      <c r="E892" s="2" t="inlineStr"/>
      <c r="F892" s="2" t="n"/>
      <c r="G892" s="2" t="n">
        <v>36</v>
      </c>
      <c r="H892" s="2" t="inlineStr">
        <is>
          <t>Sarcosine (CID 1088)</t>
        </is>
      </c>
      <c r="I892" s="2" t="inlineStr">
        <is>
          <t>Amine component of the recorded N-acylation that formed the sarcosinamide.</t>
        </is>
      </c>
      <c r="J892" s="2" t="inlineStr">
        <is>
          <t>named and classified by a chemist agent; reviewed by an independent agent</t>
        </is>
      </c>
    </row>
    <row r="893">
      <c r="A893" s="3" t="inlineStr">
        <is>
          <t>CC(C)(C)OC(N)=O</t>
        </is>
      </c>
      <c r="B893" s="2" t="inlineStr">
        <is>
          <t>tert-butyl carbamate</t>
        </is>
      </c>
      <c r="C893" s="2" t="inlineStr">
        <is>
          <t>BocNH2</t>
        </is>
      </c>
      <c r="D893" s="2" t="inlineStr">
        <is>
          <t>nucleophile</t>
        </is>
      </c>
      <c r="E893" s="2" t="inlineStr"/>
      <c r="F893" s="2" t="n"/>
      <c r="G893" s="2" t="n">
        <v>36</v>
      </c>
      <c r="H893" s="2" t="inlineStr">
        <is>
          <t>tert-Butyl carbamate (CID 77922)</t>
        </is>
      </c>
      <c r="I893" s="2" t="inlineStr">
        <is>
          <t>N-source in Pd amidation or aza-Henry reactions; no reagent role in this nitro reduction.</t>
        </is>
      </c>
      <c r="J893" s="2" t="inlineStr">
        <is>
          <t>named and classified by a chemist agent; reviewed by an independent agent</t>
        </is>
      </c>
    </row>
    <row r="894">
      <c r="A894" s="3" t="inlineStr">
        <is>
          <t>CCCS</t>
        </is>
      </c>
      <c r="B894" s="2" t="inlineStr">
        <is>
          <t>1-propanethiol</t>
        </is>
      </c>
      <c r="C894" s="2" t="inlineStr">
        <is>
          <t>PrSH</t>
        </is>
      </c>
      <c r="D894" s="2" t="inlineStr">
        <is>
          <t>nucleophile</t>
        </is>
      </c>
      <c r="E894" s="2" t="inlineStr">
        <is>
          <t>deprotecting agent (ester cleavage)</t>
        </is>
      </c>
      <c r="F894" s="2" t="n"/>
      <c r="G894" s="2" t="n">
        <v>36</v>
      </c>
      <c r="H894" s="2" t="inlineStr">
        <is>
          <t>Propyl mercaptan (CID 7848)</t>
        </is>
      </c>
      <c r="I894" s="2" t="inlineStr">
        <is>
          <t>As LiSPr in HMPA it cleaves the methyl ester by SN2 at methyl, leaving the t-Bu ester intact.</t>
        </is>
      </c>
      <c r="J894" s="2" t="inlineStr">
        <is>
          <t>named and classified by a chemist agent; reviewed by an independent agent</t>
        </is>
      </c>
    </row>
    <row r="895">
      <c r="A895" s="3" t="inlineStr">
        <is>
          <t>C[Si](C)(C)[Si](C)(C)C</t>
        </is>
      </c>
      <c r="B895" s="2" t="inlineStr">
        <is>
          <t>hexamethyldisilane</t>
        </is>
      </c>
      <c r="C895" s="2" t="inlineStr">
        <is>
          <t>Me3SiSiMe3 (Me6Si2)</t>
        </is>
      </c>
      <c r="D895" s="2" t="inlineStr">
        <is>
          <t>deprotecting agent</t>
        </is>
      </c>
      <c r="E895" s="2" t="inlineStr"/>
      <c r="F895" s="2" t="n"/>
      <c r="G895" s="2" t="n">
        <v>36</v>
      </c>
      <c r="H895" s="2" t="inlineStr">
        <is>
          <t>Hexamethyldisilane (CID 74057)</t>
        </is>
      </c>
      <c r="I895" s="2" t="inlineStr">
        <is>
          <t>With I2 it generates TMSI in situ, which cleaves the methyl ester to the acid.</t>
        </is>
      </c>
      <c r="J895" s="2" t="inlineStr">
        <is>
          <t>named and classified by a chemist agent; reviewed by an independent agent; corrected abbreviation (HMDS is the standard abbreviation for hexamethyldisilazane, and this same table uses it that way in entry 788 (LiHMDS, 'pKa of HMDS'). Using HMDS for hexamethyl)</t>
        </is>
      </c>
    </row>
    <row r="896">
      <c r="A896" s="3" t="inlineStr">
        <is>
          <t>CCCCI</t>
        </is>
      </c>
      <c r="B896" s="2" t="inlineStr">
        <is>
          <t>1-iodobutane</t>
        </is>
      </c>
      <c r="C896" s="2" t="inlineStr">
        <is>
          <t>n-BuI</t>
        </is>
      </c>
      <c r="D896" s="2" t="inlineStr">
        <is>
          <t>electrophile / alkylating agent</t>
        </is>
      </c>
      <c r="E896" s="2" t="inlineStr"/>
      <c r="F896" s="2" t="n"/>
      <c r="G896" s="2" t="n">
        <v>36</v>
      </c>
      <c r="H896" s="2" t="inlineStr">
        <is>
          <t>Butyl iodide (CID 10962)</t>
        </is>
      </c>
      <c r="I896" s="2" t="inlineStr">
        <is>
          <t>Butylating agent that made the O-butyl ether seen in the substrate.</t>
        </is>
      </c>
      <c r="J896" s="2" t="inlineStr">
        <is>
          <t>named and classified by a chemist agent; reviewed by an independent agent</t>
        </is>
      </c>
    </row>
    <row r="897">
      <c r="A897" s="3" t="inlineStr">
        <is>
          <t>CN(C)CCCN</t>
        </is>
      </c>
      <c r="B897" s="2" t="inlineStr">
        <is>
          <t>3-(dimethylamino)propylamine</t>
        </is>
      </c>
      <c r="C897" s="2" t="inlineStr">
        <is>
          <t>DMAPA</t>
        </is>
      </c>
      <c r="D897" s="2" t="inlineStr">
        <is>
          <t>nucleophile</t>
        </is>
      </c>
      <c r="E897" s="2" t="inlineStr"/>
      <c r="F897" s="2" t="n"/>
      <c r="G897" s="2" t="n">
        <v>36</v>
      </c>
      <c r="H897" s="2" t="inlineStr">
        <is>
          <t>N,N-Dimethyl-1,3-propanediamine (CID 7993)</t>
        </is>
      </c>
      <c r="I897" s="2" t="inlineStr">
        <is>
          <t>Primary amine that displaces chloride twice to build the N-substituted dihydropyrrolopyrimidine.</t>
        </is>
      </c>
      <c r="J897" s="2" t="inlineStr">
        <is>
          <t>named and classified by a chemist agent; reviewed by an independent agent</t>
        </is>
      </c>
    </row>
    <row r="898">
      <c r="A898" s="3" t="inlineStr">
        <is>
          <t>N#CC(Cl)(Cl)Cl</t>
        </is>
      </c>
      <c r="B898" s="2" t="inlineStr">
        <is>
          <t>trichloroacetonitrile</t>
        </is>
      </c>
      <c r="C898" s="2" t="inlineStr">
        <is>
          <t>Cl3CCN</t>
        </is>
      </c>
      <c r="D898" s="2" t="inlineStr">
        <is>
          <t>coupling reagent (activates an acid)</t>
        </is>
      </c>
      <c r="E898" s="2" t="inlineStr"/>
      <c r="F898" s="2" t="n"/>
      <c r="G898" s="2" t="n">
        <v>36</v>
      </c>
      <c r="H898" s="2" t="inlineStr">
        <is>
          <t>Trichloroacetonitrile (CID 11011)</t>
        </is>
      </c>
      <c r="I898" s="2" t="inlineStr">
        <is>
          <t>With PPh3 it converts the acid to an acid chloride in situ for amide formation.</t>
        </is>
      </c>
      <c r="J898" s="2" t="inlineStr">
        <is>
          <t>named and classified by a chemist agent; reviewed by an independent agent</t>
        </is>
      </c>
    </row>
    <row r="899">
      <c r="A899" s="3" t="inlineStr">
        <is>
          <t>O=C(O)c1ccccc1-c1cccs1</t>
        </is>
      </c>
      <c r="B899" s="2" t="inlineStr">
        <is>
          <t>2-(thiophen-2-yl)benzoic acid</t>
        </is>
      </c>
      <c r="C899" s="2" t="inlineStr"/>
      <c r="D899" s="2" t="inlineStr">
        <is>
          <t>other</t>
        </is>
      </c>
      <c r="E899" s="2" t="inlineStr"/>
      <c r="F899" s="2" t="n"/>
      <c r="G899" s="2" t="n">
        <v>36</v>
      </c>
      <c r="H899" s="2" t="inlineStr">
        <is>
          <t>2-(Thiophen-2-yl)benzoic acid (CID 5105623)</t>
        </is>
      </c>
      <c r="I899" s="2" t="inlineStr">
        <is>
          <t>Carboxylic-acid analog of the coupling partner, recorded among the agents of an amide coupling.</t>
        </is>
      </c>
      <c r="J899" s="2" t="inlineStr">
        <is>
          <t>named and classified by a chemist agent; reviewed by an independent agent</t>
        </is>
      </c>
    </row>
    <row r="900">
      <c r="A900" s="3" t="inlineStr">
        <is>
          <t>C[Si](C)(C)OP(=O)=O</t>
        </is>
      </c>
      <c r="B900" s="2" t="inlineStr">
        <is>
          <t>trimethylsilyl metaphosphate (Me3SiOPO2; monomer unit of PPSE)</t>
        </is>
      </c>
      <c r="C900" s="2" t="inlineStr">
        <is>
          <t>PPSE</t>
        </is>
      </c>
      <c r="D900" s="2" t="inlineStr">
        <is>
          <t>dehydrating / activating agent</t>
        </is>
      </c>
      <c r="E900" s="2" t="inlineStr"/>
      <c r="F900" s="2" t="n"/>
      <c r="G900" s="2" t="n">
        <v>36</v>
      </c>
      <c r="H900" s="2" t="inlineStr">
        <is>
          <t>Trimethyl(phosphooxy)silane (CID 16133246)</t>
        </is>
      </c>
      <c r="I900" s="2" t="inlineStr">
        <is>
          <t>Mild polyphosphate dehydrating agent that promotes amide formation and cyclodehydration.</t>
        </is>
      </c>
      <c r="J900" s="2" t="inlineStr">
        <is>
          <t>named and classified by a chemist agent; reviewed by an independent agent; name corrected after comparing with PubChem (was: trimethylsilyl polyphosphate)</t>
        </is>
      </c>
    </row>
    <row r="901">
      <c r="A901" s="3" t="inlineStr">
        <is>
          <t>CC(C)CC(C)(C)C</t>
        </is>
      </c>
      <c r="B901" s="2" t="inlineStr">
        <is>
          <t>2,2,4-trimethylpentane (isooctane)</t>
        </is>
      </c>
      <c r="C901" s="2" t="inlineStr"/>
      <c r="D901" s="2" t="inlineStr">
        <is>
          <t>solvent</t>
        </is>
      </c>
      <c r="E901" s="2" t="inlineStr"/>
      <c r="F901" s="2" t="n"/>
      <c r="G901" s="2" t="n">
        <v>36</v>
      </c>
      <c r="H901" s="2" t="inlineStr">
        <is>
          <t>2,2,4-Trimethylpentane (CID 10907)</t>
        </is>
      </c>
      <c r="I901" s="2" t="inlineStr">
        <is>
          <t>Alkane solvent, here from the borane-dimethyl sulfide reagent solution.</t>
        </is>
      </c>
      <c r="J901" s="2" t="inlineStr">
        <is>
          <t>named and classified by a chemist agent; reviewed by an independent agent</t>
        </is>
      </c>
    </row>
    <row r="902">
      <c r="A902" s="3" t="inlineStr">
        <is>
          <t>COCCOCCO</t>
        </is>
      </c>
      <c r="B902" s="2" t="inlineStr">
        <is>
          <t>2-(2-methoxyethoxy)ethanol (diethylene glycol monomethyl ether)</t>
        </is>
      </c>
      <c r="C902" s="2" t="inlineStr">
        <is>
          <t>DEGME</t>
        </is>
      </c>
      <c r="D902" s="2" t="inlineStr">
        <is>
          <t>solvent</t>
        </is>
      </c>
      <c r="E902" s="2" t="inlineStr"/>
      <c r="F902" s="2" t="n"/>
      <c r="G902" s="2" t="n">
        <v>36</v>
      </c>
      <c r="H902" s="2" t="inlineStr">
        <is>
          <t>Diethylene Glycol Monomethyl Ether (CID 8134)</t>
        </is>
      </c>
      <c r="I902" s="2" t="inlineStr">
        <is>
          <t>High-boiling glycol ether co-solvent for Suzuki coupling</t>
        </is>
      </c>
      <c r="J902" s="2" t="inlineStr">
        <is>
          <t>named and classified by a chemist agent; reviewed by an independent agent</t>
        </is>
      </c>
    </row>
    <row r="903">
      <c r="A903" s="3" t="inlineStr">
        <is>
          <t>O=BO[O-]</t>
        </is>
      </c>
      <c r="B903" s="2" t="inlineStr">
        <is>
          <t>perborate</t>
        </is>
      </c>
      <c r="C903" s="2" t="inlineStr"/>
      <c r="D903" s="2" t="inlineStr">
        <is>
          <t>base</t>
        </is>
      </c>
      <c r="E903" s="2" t="inlineStr">
        <is>
          <t>oxidant</t>
        </is>
      </c>
      <c r="F903" s="2" t="n">
        <v>9</v>
      </c>
      <c r="G903" s="2" t="n">
        <v>36</v>
      </c>
      <c r="H903" s="2" t="inlineStr">
        <is>
          <t>Perborate (BO(O2)1-) (CID 24271)</t>
        </is>
      </c>
      <c r="I903" s="2" t="inlineStr">
        <is>
          <t>From sodium perborate; mild basic/peroxide reagent used for deacetylation in MeOH/water (also an oxidant)</t>
        </is>
      </c>
      <c r="J903" s="2" t="inlineStr">
        <is>
          <t>named and classified by a chemist agent; reviewed by an independent agent</t>
        </is>
      </c>
    </row>
    <row r="904">
      <c r="A904" s="3" t="inlineStr">
        <is>
          <t>ClC(Cl)(Cl)Br</t>
        </is>
      </c>
      <c r="B904" s="2" t="inlineStr">
        <is>
          <t>bromotrichloromethane</t>
        </is>
      </c>
      <c r="C904" s="2" t="inlineStr">
        <is>
          <t>BrCCl3</t>
        </is>
      </c>
      <c r="D904" s="2" t="inlineStr">
        <is>
          <t>halogenating agent</t>
        </is>
      </c>
      <c r="E904" s="2" t="inlineStr">
        <is>
          <t>coupling reagent (activates an acid)</t>
        </is>
      </c>
      <c r="F904" s="2" t="n"/>
      <c r="G904" s="2" t="n">
        <v>36</v>
      </c>
      <c r="H904" s="2" t="inlineStr">
        <is>
          <t>Bromotrichloromethane (CID 6383)</t>
        </is>
      </c>
      <c r="I904" s="2" t="inlineStr">
        <is>
          <t>With PPh3 (Appel-type) converts the acid to an acyl halide/acyloxyphosphonium for amidation</t>
        </is>
      </c>
      <c r="J904" s="2" t="inlineStr">
        <is>
          <t>named and classified by a chemist agent; reviewed by an independent agent</t>
        </is>
      </c>
    </row>
    <row r="905">
      <c r="A905" s="3" t="inlineStr">
        <is>
          <t>CC(=O)[O][Cu][O]C(C)=O</t>
        </is>
      </c>
      <c r="B905" s="2" t="inlineStr">
        <is>
          <t>copper(II) acetate</t>
        </is>
      </c>
      <c r="C905" s="2" t="inlineStr">
        <is>
          <t>Cu(OAc)2</t>
        </is>
      </c>
      <c r="D905" s="2" t="inlineStr">
        <is>
          <t>catalyst (metal)</t>
        </is>
      </c>
      <c r="E905" s="2" t="inlineStr">
        <is>
          <t>oxidant</t>
        </is>
      </c>
      <c r="F905" s="2" t="n"/>
      <c r="G905" s="2" t="n">
        <v>36</v>
      </c>
      <c r="H905" s="2" t="inlineStr">
        <is>
          <t>Copper(II)acetatemono hydrate (CID 517041)</t>
        </is>
      </c>
      <c r="I905" s="2" t="inlineStr">
        <is>
          <t>Copper promoter for Chan-Lam O-arylation with an arylboronic acid</t>
        </is>
      </c>
      <c r="J905" s="2" t="inlineStr">
        <is>
          <t>named and classified by a chemist agent; reviewed by an independent agent</t>
        </is>
      </c>
    </row>
    <row r="906">
      <c r="A906" s="3" t="inlineStr">
        <is>
          <t>CN(C)C(OCC(C)(C)C)OCC(C)(C)C</t>
        </is>
      </c>
      <c r="B906" s="2" t="inlineStr">
        <is>
          <t>N,N-dimethylformamide dineopentyl acetal</t>
        </is>
      </c>
      <c r="C906" s="2" t="inlineStr">
        <is>
          <t>DMF-DNPA</t>
        </is>
      </c>
      <c r="D906" s="2" t="inlineStr">
        <is>
          <t>dehydrating / activating agent</t>
        </is>
      </c>
      <c r="E906" s="2" t="inlineStr">
        <is>
          <t>electrophile / alkylating agent</t>
        </is>
      </c>
      <c r="F906" s="2" t="n"/>
      <c r="G906" s="2" t="n">
        <v>36</v>
      </c>
      <c r="H906" s="2" t="inlineStr">
        <is>
          <t>1,1-Bis(2,2-dimethylpropoxy)-N,N-dimethylmethanamine (CID 78623)</t>
        </is>
      </c>
      <c r="I906" s="2" t="inlineStr">
        <is>
          <t>Activates the carboxylic acid for esterification with t-BuOH (tert-butyl ester formation)</t>
        </is>
      </c>
      <c r="J906" s="2" t="inlineStr">
        <is>
          <t>named and classified by a chemist agent; reviewed by an independent agent</t>
        </is>
      </c>
    </row>
    <row r="907">
      <c r="A907" s="3" t="inlineStr">
        <is>
          <t>CN1CC(=O)Nc2ncc(/C=C/C(=O)O)cc2C1</t>
        </is>
      </c>
      <c r="B907" s="2" t="inlineStr">
        <is>
          <t>(E)-3-(4-methyl-2-oxo-1,2,3,4,5-tetrahydropyrido[2,3-e][1,4]diazepin-7-yl)acrylic acid</t>
        </is>
      </c>
      <c r="C907" s="2" t="inlineStr"/>
      <c r="D907" s="2" t="inlineStr">
        <is>
          <t>other</t>
        </is>
      </c>
      <c r="E907" s="2" t="inlineStr"/>
      <c r="F907" s="2" t="n"/>
      <c r="G907" s="2" t="n">
        <v>36</v>
      </c>
      <c r="H907" s="2" t="inlineStr">
        <is>
          <t>(E)-3-(4-Methyl-2-oxo-2,3,4,5-tetrahydro-1H-pyrido[2,3-e][1,4]diazepin-7-yl)acrylic acid (CID 59456911)</t>
        </is>
      </c>
      <c r="I907" s="2" t="inlineStr">
        <is>
          <t>Mis-recorded related compound (homolog of the acrylic acid reactant), not a functional agent</t>
        </is>
      </c>
      <c r="J907" s="2" t="inlineStr">
        <is>
          <t>named and classified by a chemist agent; reviewed by an independent agent</t>
        </is>
      </c>
    </row>
    <row r="908">
      <c r="A908" s="3" t="inlineStr">
        <is>
          <t>CC[n+]1csc(CCO)c1C</t>
        </is>
      </c>
      <c r="B908" s="2" t="inlineStr">
        <is>
          <t>3-ethyl-5-(2-hydroxyethyl)-4-methylthiazolium</t>
        </is>
      </c>
      <c r="C908" s="2" t="inlineStr"/>
      <c r="D908" s="2" t="inlineStr">
        <is>
          <t>other</t>
        </is>
      </c>
      <c r="E908" s="2" t="inlineStr"/>
      <c r="F908" s="2" t="n"/>
      <c r="G908" s="2" t="n">
        <v>36</v>
      </c>
      <c r="H908" s="2" t="inlineStr">
        <is>
          <t>Thiazolium, 3-ethyl-5-(2-hydroxyethyl)-4-methyl- (CID 688124)</t>
        </is>
      </c>
      <c r="I908" s="2" t="inlineStr">
        <is>
          <t>Thiazolium salt NHC precatalyst (organocatalyst) for the Stetter 1,4-addition; deprotonated by Et3N</t>
        </is>
      </c>
      <c r="J908" s="2" t="inlineStr">
        <is>
          <t>named and classified by a chemist agent; reviewed by an independent agent</t>
        </is>
      </c>
    </row>
    <row r="909">
      <c r="A909" s="3" t="inlineStr">
        <is>
          <t>c1c[nH]nn1</t>
        </is>
      </c>
      <c r="B909" s="2" t="inlineStr">
        <is>
          <t>1H-1,2,3-triazole</t>
        </is>
      </c>
      <c r="C909" s="2" t="inlineStr"/>
      <c r="D909" s="2" t="inlineStr">
        <is>
          <t>other</t>
        </is>
      </c>
      <c r="E909" s="2" t="inlineStr"/>
      <c r="F909" s="2" t="n"/>
      <c r="G909" s="2" t="n">
        <v>35</v>
      </c>
      <c r="H909" s="2" t="inlineStr">
        <is>
          <t>1H-1,2,3-Triazole (CID 67516)</t>
        </is>
      </c>
      <c r="I909" s="2" t="inlineStr">
        <is>
          <t>Carried over from a multistep record; plays no role in the dithionite nitro reduction</t>
        </is>
      </c>
      <c r="J909" s="2" t="inlineStr">
        <is>
          <t>named and classified by a chemist agent; reviewed by an independent agent</t>
        </is>
      </c>
    </row>
    <row r="910">
      <c r="A910" s="3" t="inlineStr">
        <is>
          <t>O=C1NCCO1</t>
        </is>
      </c>
      <c r="B910" s="2" t="inlineStr">
        <is>
          <t>2-oxazolidinone</t>
        </is>
      </c>
      <c r="C910" s="2" t="inlineStr"/>
      <c r="D910" s="2" t="inlineStr">
        <is>
          <t>nucleophile</t>
        </is>
      </c>
      <c r="E910" s="2" t="inlineStr"/>
      <c r="F910" s="2" t="n"/>
      <c r="G910" s="2" t="n">
        <v>35</v>
      </c>
      <c r="H910" s="2" t="inlineStr">
        <is>
          <t>2-Oxazolidinone (CID 73949)</t>
        </is>
      </c>
      <c r="I910" s="2" t="inlineStr">
        <is>
          <t>N-nucleophile in a Cu/diamine (Goldberg) N-arylation from an earlier step of the record</t>
        </is>
      </c>
      <c r="J910" s="2" t="inlineStr">
        <is>
          <t>named and classified by a chemist agent; reviewed by an independent agent</t>
        </is>
      </c>
    </row>
    <row r="911">
      <c r="A911" s="3" t="inlineStr">
        <is>
          <t>CC(=O)Br</t>
        </is>
      </c>
      <c r="B911" s="2" t="inlineStr">
        <is>
          <t>acetyl bromide</t>
        </is>
      </c>
      <c r="C911" s="2" t="inlineStr">
        <is>
          <t>AcBr</t>
        </is>
      </c>
      <c r="D911" s="2" t="inlineStr">
        <is>
          <t>deprotecting agent</t>
        </is>
      </c>
      <c r="E911" s="2" t="inlineStr">
        <is>
          <t>acid</t>
        </is>
      </c>
      <c r="F911" s="2" t="n"/>
      <c r="G911" s="2" t="n">
        <v>35</v>
      </c>
      <c r="H911" s="2" t="inlineStr">
        <is>
          <t>Acetyl bromide (CID 10482)</t>
        </is>
      </c>
      <c r="I911" s="2" t="inlineStr">
        <is>
          <t>Reacts with MeOH to generate HBr in situ for Boc removal</t>
        </is>
      </c>
      <c r="J911" s="2" t="inlineStr">
        <is>
          <t>named and classified by a chemist agent; reviewed by an independent agent</t>
        </is>
      </c>
    </row>
    <row r="912">
      <c r="A912" s="3" t="inlineStr">
        <is>
          <t>O=C(O)c1cccc(CN2C(=O)C3(COc4cc5c(cc43)CCO5)c3ccccc32)c1</t>
        </is>
      </c>
      <c r="B912" s="2" t="inlineStr">
        <is>
          <t>3-[(2'-oxo-5,6-dihydrospiro[benzo[1,2-b:5,4-b']difuran-3,3'-indol]-1'(2'H)-yl)methyl]benzoic acid</t>
        </is>
      </c>
      <c r="C912" s="2" t="inlineStr"/>
      <c r="D912" s="2" t="inlineStr">
        <is>
          <t>other</t>
        </is>
      </c>
      <c r="E912" s="2" t="inlineStr"/>
      <c r="F912" s="2" t="n"/>
      <c r="G912" s="2" t="n">
        <v>35</v>
      </c>
      <c r="H912" s="2" t="inlineStr">
        <is>
          <t>3-[(2'-oxo-5,6-dihydrospiro[benzo[1,2-b:5,4-b']difuran-3,3'-indol]-1'(2'H)-yl)methyl]benzoic acid (CID 59352253)</t>
        </is>
      </c>
      <c r="I912" s="2" t="inlineStr">
        <is>
          <t>Mis-recorded related compound (regioisomer of the acid reactant), not a functional agent</t>
        </is>
      </c>
      <c r="J912" s="2" t="inlineStr">
        <is>
          <t>named and classified by a chemist agent; reviewed by an independent agent; name corrected after comparing with PubChem (was: 3-[(2'-oxo-spiro[benzodifuran-3,3'-indolin]-1'-yl)methyl]benzoic acid)</t>
        </is>
      </c>
    </row>
    <row r="913">
      <c r="A913" s="3" t="inlineStr">
        <is>
          <t>c1ccc([PH](c2ccccc2)(c2ccccc2)[Pd]([PH](c2ccccc2)(c2ccccc2)c2ccccc2)([PH](c2ccccc2)(c2ccccc2)c2ccccc2)[PH](c2ccccc2)(c2ccccc2)c2ccccc2)cc1</t>
        </is>
      </c>
      <c r="B913" s="2" t="inlineStr">
        <is>
          <t>tetrakis(triphenylphosphine)palladium(0)</t>
        </is>
      </c>
      <c r="C913" s="2" t="inlineStr">
        <is>
          <t>Pd(PPh3)4</t>
        </is>
      </c>
      <c r="D913" s="2" t="inlineStr">
        <is>
          <t>catalyst (metal)</t>
        </is>
      </c>
      <c r="E913" s="2" t="inlineStr"/>
      <c r="F913" s="2" t="n"/>
      <c r="G913" s="2" t="n">
        <v>35</v>
      </c>
      <c r="H913" s="2" t="inlineStr">
        <is>
          <t>Tetrakis(triphenylphosphino)palladium (CID 11980388)</t>
        </is>
      </c>
      <c r="I913" s="2" t="inlineStr">
        <is>
          <t>Pd(0) catalyst for Suzuki coupling</t>
        </is>
      </c>
      <c r="J913" s="2" t="inlineStr">
        <is>
          <t>named and classified by a chemist agent; reviewed by an independent agent</t>
        </is>
      </c>
    </row>
    <row r="914">
      <c r="A914" s="3" t="inlineStr">
        <is>
          <t>CCCN(CCC)CCC</t>
        </is>
      </c>
      <c r="B914" s="2" t="inlineStr">
        <is>
          <t>tripropylamine</t>
        </is>
      </c>
      <c r="C914" s="2" t="inlineStr">
        <is>
          <t>Pr3N</t>
        </is>
      </c>
      <c r="D914" s="2" t="inlineStr">
        <is>
          <t>base</t>
        </is>
      </c>
      <c r="E914" s="2" t="inlineStr"/>
      <c r="F914" s="2" t="n">
        <v>10.7</v>
      </c>
      <c r="G914" s="2" t="n">
        <v>35</v>
      </c>
      <c r="H914" s="2" t="inlineStr">
        <is>
          <t>Tripropylamine (CID 7616)</t>
        </is>
      </c>
      <c r="I914" s="2" t="inlineStr">
        <is>
          <t>Tertiary amine base scavenging HCl in acylation</t>
        </is>
      </c>
      <c r="J914" s="2" t="inlineStr">
        <is>
          <t>named and classified by a chemist agent; reviewed by an independent agent</t>
        </is>
      </c>
    </row>
    <row r="915">
      <c r="A915" s="3" t="inlineStr">
        <is>
          <t>O=[PH](O)O</t>
        </is>
      </c>
      <c r="B915" s="2" t="inlineStr">
        <is>
          <t>phosphorous acid</t>
        </is>
      </c>
      <c r="C915" s="2" t="inlineStr">
        <is>
          <t>H3PO3</t>
        </is>
      </c>
      <c r="D915" s="2" t="inlineStr">
        <is>
          <t>acid</t>
        </is>
      </c>
      <c r="E915" s="2" t="inlineStr"/>
      <c r="F915" s="2" t="n"/>
      <c r="G915" s="2" t="n">
        <v>35</v>
      </c>
      <c r="H915" s="2" t="inlineStr"/>
      <c r="I915" s="2" t="inlineStr">
        <is>
          <t>Acidic additive in acid-catalysed acetylation with Ac2O</t>
        </is>
      </c>
      <c r="J915" s="2" t="inlineStr">
        <is>
          <t>named and classified by a chemist agent; reviewed by an independent agent; PubChem's title for this SMILES was wrong (Cyclohexaneacetic acid, 4-[4-[6-(aminocarbonyl)-3,5-dimethyl-2-pyrazinyl]phenyl]-, trans- (CID 3084169)): PubChem returned an unrelated pyrazinylphenyl cyclohexaneacetic acid.</t>
        </is>
      </c>
    </row>
    <row r="916">
      <c r="A916" s="3" t="inlineStr">
        <is>
          <t>Cc1cccc([N+](=O)[O-])c1C(=O)OC(=O)c1c(C)cccc1[N+](=O)[O-]</t>
        </is>
      </c>
      <c r="B916" s="2" t="inlineStr">
        <is>
          <t>2-methyl-6-nitrobenzoic anhydride</t>
        </is>
      </c>
      <c r="C916" s="2" t="inlineStr">
        <is>
          <t>MNBA</t>
        </is>
      </c>
      <c r="D916" s="2" t="inlineStr">
        <is>
          <t>coupling reagent (activates an acid)</t>
        </is>
      </c>
      <c r="E916" s="2" t="inlineStr"/>
      <c r="F916" s="2" t="n"/>
      <c r="G916" s="2" t="n">
        <v>35</v>
      </c>
      <c r="H916" s="2" t="inlineStr">
        <is>
          <t>2-Methyl-6-nitrobenzoic anhydride (CID 10472648)</t>
        </is>
      </c>
      <c r="I916" s="2" t="inlineStr">
        <is>
          <t>Shiina reagent; with DMAP activates the acid for acylsulfonamide formation</t>
        </is>
      </c>
      <c r="J916" s="2" t="inlineStr">
        <is>
          <t>named and classified by a chemist agent; reviewed by an independent agent</t>
        </is>
      </c>
    </row>
    <row r="917">
      <c r="A917" s="3" t="inlineStr">
        <is>
          <t>COC[P+](c1ccccc1)(c1ccccc1)c1ccccc1</t>
        </is>
      </c>
      <c r="B917" s="2" t="inlineStr">
        <is>
          <t>(methoxymethyl)triphenylphosphonium</t>
        </is>
      </c>
      <c r="C917" s="2" t="inlineStr"/>
      <c r="D917" s="2" t="inlineStr">
        <is>
          <t>other</t>
        </is>
      </c>
      <c r="E917" s="2" t="inlineStr">
        <is>
          <t>nucleophile</t>
        </is>
      </c>
      <c r="F917" s="2" t="n"/>
      <c r="G917" s="2" t="n">
        <v>35</v>
      </c>
      <c r="H917" s="2" t="inlineStr">
        <is>
          <t>(Methoxymethyl)triphenylphosphonium chloride (CID 2723799)</t>
        </is>
      </c>
      <c r="I917" s="2" t="inlineStr">
        <is>
          <t>Wittig reagent precursor (with base gives methoxymethylene ylide for homologation); not used in this amide coupling</t>
        </is>
      </c>
      <c r="J917" s="2" t="inlineStr">
        <is>
          <t>named and classified by a chemist agent; reviewed by an independent agent</t>
        </is>
      </c>
    </row>
    <row r="918">
      <c r="A918" s="3" t="inlineStr">
        <is>
          <t>CC(C)C[C@H]1CN(C(=O)c2ccc(Oc3ccccc3)cc2)[C@@H](CC(C)C)C(=O)N1</t>
        </is>
      </c>
      <c r="B918" s="2" t="inlineStr">
        <is>
          <t>(3S,6S)-3,6-diisobutyl-4-(4-phenoxybenzoyl)piperazin-2-one</t>
        </is>
      </c>
      <c r="C918" s="2" t="inlineStr"/>
      <c r="D918" s="2" t="inlineStr">
        <is>
          <t>other</t>
        </is>
      </c>
      <c r="E918" s="2" t="inlineStr"/>
      <c r="F918" s="2" t="n"/>
      <c r="G918" s="2" t="n">
        <v>35</v>
      </c>
      <c r="H918" s="2" t="inlineStr">
        <is>
          <t>(3S,6S)-3,6-Diisobutyl-4-(4-phenoxybenzoyl)piperazin-2-one (CID 68158570)</t>
        </is>
      </c>
      <c r="I918" s="2" t="inlineStr">
        <is>
          <t>Mis-recorded related compound (analog of a reactant/product), not a functional agent</t>
        </is>
      </c>
      <c r="J918" s="2" t="inlineStr">
        <is>
          <t>named and classified by a chemist agent; reviewed by an independent agent</t>
        </is>
      </c>
    </row>
    <row r="919">
      <c r="A919" s="3" t="inlineStr">
        <is>
          <t>O=NO</t>
        </is>
      </c>
      <c r="B919" s="2" t="inlineStr">
        <is>
          <t>nitrous acid</t>
        </is>
      </c>
      <c r="C919" s="2" t="inlineStr">
        <is>
          <t>HNO2</t>
        </is>
      </c>
      <c r="D919" s="2" t="inlineStr">
        <is>
          <t>reactant (inorganic)</t>
        </is>
      </c>
      <c r="E919" s="2" t="inlineStr"/>
      <c r="F919" s="2" t="n"/>
      <c r="G919" s="2" t="n">
        <v>35</v>
      </c>
      <c r="H919" s="2" t="inlineStr">
        <is>
          <t>Nitrous Acid (CID 24529)</t>
        </is>
      </c>
      <c r="I919" s="2" t="inlineStr">
        <is>
          <t>From KNO2/acid; diazotizes the aniline, then iodide gives the aryl iodide (Sandmeyer-type)</t>
        </is>
      </c>
      <c r="J919" s="2" t="inlineStr">
        <is>
          <t>named and classified by a chemist agent; reviewed by an independent agent</t>
        </is>
      </c>
    </row>
    <row r="920">
      <c r="A920" s="3" t="inlineStr">
        <is>
          <t>O=S(=O)(N(c1ccccc1)S(=O)(=O)C(F)(F)F)C(F)(F)F</t>
        </is>
      </c>
      <c r="B920" s="2" t="inlineStr">
        <is>
          <t>N-phenyl-bis(trifluoromethanesulfonimide)</t>
        </is>
      </c>
      <c r="C920" s="2" t="inlineStr">
        <is>
          <t>PhNTf2</t>
        </is>
      </c>
      <c r="D920" s="2" t="inlineStr">
        <is>
          <t>electrophile / alkylating agent</t>
        </is>
      </c>
      <c r="E920" s="2" t="inlineStr"/>
      <c r="F920" s="2" t="n"/>
      <c r="G920" s="2" t="n">
        <v>35</v>
      </c>
      <c r="H920" s="2" t="inlineStr">
        <is>
          <t>Phenyl triflimide (CID 142176)</t>
        </is>
      </c>
      <c r="I920" s="2" t="inlineStr">
        <is>
          <t>Triflating agent that forms enol/aryl triflates (here from an earlier step)</t>
        </is>
      </c>
      <c r="J920" s="2" t="inlineStr">
        <is>
          <t>named and classified by a chemist agent; reviewed by an independent agent</t>
        </is>
      </c>
    </row>
    <row r="921">
      <c r="A921" s="3" t="inlineStr">
        <is>
          <t>Cc1cc(C)c(N2CCN(c3c(C)cc(C)cc3C)[C]2=[Ru]([Cl])([Cl])(=[CH]c2ccccc2)[P](C2CCCCC2)(C2CCCCC2)C2CCCCC2)c(C)c1</t>
        </is>
      </c>
      <c r="B921" s="2" t="inlineStr">
        <is>
          <t>Grubbs catalyst 2nd generation</t>
        </is>
      </c>
      <c r="C921" s="2" t="inlineStr">
        <is>
          <t>Grubbs II</t>
        </is>
      </c>
      <c r="D921" s="2" t="inlineStr">
        <is>
          <t>catalyst (metal)</t>
        </is>
      </c>
      <c r="E921" s="2" t="inlineStr"/>
      <c r="F921" s="2" t="n"/>
      <c r="G921" s="2" t="n">
        <v>35</v>
      </c>
      <c r="H921" s="2" t="inlineStr">
        <is>
          <t>Grubbs second generation (CID 15551468)</t>
        </is>
      </c>
      <c r="I921" s="2" t="inlineStr">
        <is>
          <t>Ru-carbene olefin metathesis catalyst</t>
        </is>
      </c>
      <c r="J921" s="2" t="inlineStr">
        <is>
          <t>named and classified by a chemist agent; reviewed by an independent agent</t>
        </is>
      </c>
    </row>
    <row r="922">
      <c r="A922" s="3" t="inlineStr">
        <is>
          <t>ClCC1CO1</t>
        </is>
      </c>
      <c r="B922" s="2" t="inlineStr">
        <is>
          <t>epichlorohydrin</t>
        </is>
      </c>
      <c r="C922" s="2" t="inlineStr"/>
      <c r="D922" s="2" t="inlineStr">
        <is>
          <t>electrophile / alkylating agent</t>
        </is>
      </c>
      <c r="E922" s="2" t="inlineStr"/>
      <c r="F922" s="2" t="n"/>
      <c r="G922" s="2" t="n">
        <v>34</v>
      </c>
      <c r="H922" s="2" t="inlineStr">
        <is>
          <t>Epichlorohydrin (CID 7835)</t>
        </is>
      </c>
      <c r="I922" s="2" t="inlineStr">
        <is>
          <t>Epoxide alkylating agent from an earlier step of the record</t>
        </is>
      </c>
      <c r="J922" s="2" t="inlineStr">
        <is>
          <t>named and classified by a chemist agent; reviewed by an independent agent</t>
        </is>
      </c>
    </row>
    <row r="923">
      <c r="A923" s="3" t="inlineStr">
        <is>
          <t>CC(O)CO</t>
        </is>
      </c>
      <c r="B923" s="2" t="inlineStr">
        <is>
          <t>propylene glycol (1,2-propanediol)</t>
        </is>
      </c>
      <c r="C923" s="2" t="inlineStr"/>
      <c r="D923" s="2" t="inlineStr">
        <is>
          <t>solvent</t>
        </is>
      </c>
      <c r="E923" s="2" t="inlineStr"/>
      <c r="F923" s="2" t="n"/>
      <c r="G923" s="2" t="n">
        <v>34</v>
      </c>
      <c r="H923" s="2" t="inlineStr">
        <is>
          <t>Propylene Glycol (CID 1030)</t>
        </is>
      </c>
      <c r="I923" s="2" t="inlineStr">
        <is>
          <t>Co-solvent for KOH ester hydrolysis</t>
        </is>
      </c>
      <c r="J923" s="2" t="inlineStr">
        <is>
          <t>named and classified by a chemist agent; reviewed by an independent agent</t>
        </is>
      </c>
    </row>
    <row r="924">
      <c r="A924" s="3" t="inlineStr">
        <is>
          <t>O=C(Cl)OCc1ccccc1</t>
        </is>
      </c>
      <c r="B924" s="2" t="inlineStr">
        <is>
          <t>benzyl chloroformate</t>
        </is>
      </c>
      <c r="C924" s="2" t="inlineStr">
        <is>
          <t>Cbz-Cl</t>
        </is>
      </c>
      <c r="D924" s="2" t="inlineStr">
        <is>
          <t>protecting-group reagent</t>
        </is>
      </c>
      <c r="E924" s="2" t="inlineStr"/>
      <c r="F924" s="2" t="n"/>
      <c r="G924" s="2" t="n">
        <v>34</v>
      </c>
      <c r="H924" s="2" t="inlineStr">
        <is>
          <t>Benzyl chloroformate (CID 10387)</t>
        </is>
      </c>
      <c r="I924" s="2" t="inlineStr">
        <is>
          <t>Installs the Cbz protecting group on amines</t>
        </is>
      </c>
      <c r="J924" s="2" t="inlineStr">
        <is>
          <t>named and classified by a chemist agent; reviewed by an independent agent</t>
        </is>
      </c>
    </row>
    <row r="925">
      <c r="A925" s="3" t="inlineStr">
        <is>
          <t>CN=C=O</t>
        </is>
      </c>
      <c r="B925" s="2" t="inlineStr">
        <is>
          <t>methyl isocyanate</t>
        </is>
      </c>
      <c r="C925" s="2" t="inlineStr">
        <is>
          <t>MeNCO</t>
        </is>
      </c>
      <c r="D925" s="2" t="inlineStr">
        <is>
          <t>electrophile / alkylating agent</t>
        </is>
      </c>
      <c r="E925" s="2" t="inlineStr"/>
      <c r="F925" s="2" t="n"/>
      <c r="G925" s="2" t="n">
        <v>34</v>
      </c>
      <c r="H925" s="2" t="inlineStr">
        <is>
          <t>Methyl Isocyanate (CID 12228)</t>
        </is>
      </c>
      <c r="I925" s="2" t="inlineStr">
        <is>
          <t>Electrophile that forms methylureas; here probably a mis-parsed fragment of the carbodiimide coupling reagent</t>
        </is>
      </c>
      <c r="J925" s="2" t="inlineStr">
        <is>
          <t>named and classified by a chemist agent; reviewed by an independent agent</t>
        </is>
      </c>
    </row>
    <row r="926">
      <c r="A926" s="3" t="inlineStr">
        <is>
          <t>Cc1cc(C)nc(N2C[C@@H]3CCNC[C@@H]32)n1</t>
        </is>
      </c>
      <c r="B926" s="2" t="inlineStr">
        <is>
          <t>8-(4,6-dimethylpyrimidin-2-yl)-3,8-diazabicyclo[4.2.0]octane</t>
        </is>
      </c>
      <c r="C926" s="2" t="inlineStr"/>
      <c r="D926" s="2" t="inlineStr">
        <is>
          <t>other</t>
        </is>
      </c>
      <c r="E926" s="2" t="inlineStr"/>
      <c r="F926" s="2" t="n"/>
      <c r="G926" s="2" t="n">
        <v>34</v>
      </c>
      <c r="H926" s="2" t="inlineStr">
        <is>
          <t>(1R,6S)-8-(4,6-Dimethyl-pyrimidin-2-yl)-3,8-diaza-bicyclo[4.2.0]octane (CID 68156939)</t>
        </is>
      </c>
      <c r="I926" s="2" t="inlineStr">
        <is>
          <t>Mis-recorded related compound (heteroaryl analog of the amine reactant), not a functional agent</t>
        </is>
      </c>
      <c r="J926" s="2" t="inlineStr">
        <is>
          <t>named and classified by a chemist agent; reviewed by an independent agent</t>
        </is>
      </c>
    </row>
    <row r="927">
      <c r="A927" s="3" t="inlineStr">
        <is>
          <t>O=C(O)CC(=O)O</t>
        </is>
      </c>
      <c r="B927" s="2" t="inlineStr">
        <is>
          <t>malonic acid</t>
        </is>
      </c>
      <c r="C927" s="2" t="inlineStr"/>
      <c r="D927" s="2" t="inlineStr">
        <is>
          <t>acid</t>
        </is>
      </c>
      <c r="E927" s="2" t="inlineStr"/>
      <c r="F927" s="2" t="n"/>
      <c r="G927" s="2" t="n">
        <v>34</v>
      </c>
      <c r="H927" s="2" t="inlineStr">
        <is>
          <t>Malonic Acid (CID 867)</t>
        </is>
      </c>
      <c r="I927" s="2" t="inlineStr">
        <is>
          <t>Acid probably used to isolate the product as a malonate salt</t>
        </is>
      </c>
      <c r="J927" s="2" t="inlineStr">
        <is>
          <t>named and classified by a chemist agent; reviewed by an independent agent</t>
        </is>
      </c>
    </row>
    <row r="928">
      <c r="A928" s="3" t="inlineStr">
        <is>
          <t>Brc1ccccn1</t>
        </is>
      </c>
      <c r="B928" s="2" t="inlineStr">
        <is>
          <t>2-bromopyridine</t>
        </is>
      </c>
      <c r="C928" s="2" t="inlineStr"/>
      <c r="D928" s="2" t="inlineStr">
        <is>
          <t>other</t>
        </is>
      </c>
      <c r="E928" s="2" t="inlineStr"/>
      <c r="F928" s="2" t="n"/>
      <c r="G928" s="2" t="n">
        <v>34</v>
      </c>
      <c r="H928" s="2" t="inlineStr">
        <is>
          <t>2-Bromopyridine (CID 7973)</t>
        </is>
      </c>
      <c r="I928" s="2" t="inlineStr">
        <is>
          <t>Alternative aryl halide substrate carried over in a Sonogashira record</t>
        </is>
      </c>
      <c r="J928" s="2" t="inlineStr">
        <is>
          <t>named and classified by a chemist agent; reviewed by an independent agent</t>
        </is>
      </c>
    </row>
    <row r="929">
      <c r="A929" s="3" t="inlineStr">
        <is>
          <t>COCCOC(=O)N=NC(=O)OCCOC</t>
        </is>
      </c>
      <c r="B929" s="2" t="inlineStr">
        <is>
          <t>di-2-methoxyethyl azodicarboxylate</t>
        </is>
      </c>
      <c r="C929" s="2" t="inlineStr">
        <is>
          <t>DMEAD</t>
        </is>
      </c>
      <c r="D929" s="2" t="inlineStr">
        <is>
          <t>dehydrating / activating agent</t>
        </is>
      </c>
      <c r="E929" s="2" t="inlineStr">
        <is>
          <t>oxidant</t>
        </is>
      </c>
      <c r="F929" s="2" t="n"/>
      <c r="G929" s="2" t="n">
        <v>34</v>
      </c>
      <c r="H929" s="2" t="inlineStr">
        <is>
          <t>2-methoxyethyl N-(2-methoxyethoxycarbonylimino)carbamate (CID 53384415)</t>
        </is>
      </c>
      <c r="I929" s="2" t="inlineStr">
        <is>
          <t>Mitsunobu azo reagent with PPh3; water-soluble by-products</t>
        </is>
      </c>
      <c r="J929" s="2" t="inlineStr">
        <is>
          <t>named and classified by a chemist agent; reviewed by an independent agent</t>
        </is>
      </c>
    </row>
    <row r="930">
      <c r="A930" s="3" t="inlineStr">
        <is>
          <t>C=CC(=O)O</t>
        </is>
      </c>
      <c r="B930" s="2" t="inlineStr">
        <is>
          <t>acrylic acid</t>
        </is>
      </c>
      <c r="C930" s="2" t="inlineStr"/>
      <c r="D930" s="2" t="inlineStr">
        <is>
          <t>other</t>
        </is>
      </c>
      <c r="E930" s="2" t="inlineStr"/>
      <c r="F930" s="2" t="n"/>
      <c r="G930" s="2" t="n">
        <v>34</v>
      </c>
      <c r="H930" s="2" t="inlineStr">
        <is>
          <t>Acrylic Acid (CID 6581)</t>
        </is>
      </c>
      <c r="I930" s="2" t="inlineStr">
        <is>
          <t>Not a functional agent in this ester hydrolysis; likely from an earlier Heck step</t>
        </is>
      </c>
      <c r="J930" s="2" t="inlineStr">
        <is>
          <t>named and classified by a chemist agent; reviewed by an independent agent</t>
        </is>
      </c>
    </row>
    <row r="931">
      <c r="A931" s="3" t="inlineStr">
        <is>
          <t>COCOC</t>
        </is>
      </c>
      <c r="B931" s="2" t="inlineStr">
        <is>
          <t>dimethoxymethane (methylal)</t>
        </is>
      </c>
      <c r="C931" s="2" t="inlineStr"/>
      <c r="D931" s="2" t="inlineStr">
        <is>
          <t>solvent</t>
        </is>
      </c>
      <c r="E931" s="2" t="inlineStr"/>
      <c r="F931" s="2" t="n"/>
      <c r="G931" s="2" t="n">
        <v>34</v>
      </c>
      <c r="H931" s="2" t="inlineStr">
        <is>
          <t>Dimethoxymethane (CID 8020)</t>
        </is>
      </c>
      <c r="I931" s="2" t="inlineStr">
        <is>
          <t>Ether co-solvent for Suzuki coupling</t>
        </is>
      </c>
      <c r="J931" s="2" t="inlineStr">
        <is>
          <t>named and classified by a chemist agent; reviewed by an independent agent</t>
        </is>
      </c>
    </row>
    <row r="932">
      <c r="A932" s="3" t="inlineStr">
        <is>
          <t>CC(=O)[O][Hg][O]C(C)=O</t>
        </is>
      </c>
      <c r="B932" s="2" t="inlineStr">
        <is>
          <t>mercury(II) acetate</t>
        </is>
      </c>
      <c r="C932" s="2" t="inlineStr">
        <is>
          <t>Hg(OAc)2</t>
        </is>
      </c>
      <c r="D932" s="2" t="inlineStr">
        <is>
          <t>Lewis acid</t>
        </is>
      </c>
      <c r="E932" s="2" t="inlineStr"/>
      <c r="F932" s="2" t="n"/>
      <c r="G932" s="2" t="n">
        <v>34</v>
      </c>
      <c r="H932" s="2" t="inlineStr">
        <is>
          <t>Diacetyloxymercury (CID 16683746)</t>
        </is>
      </c>
      <c r="I932" s="2" t="inlineStr">
        <is>
          <t>Activates I2 (forms AcOI) for electrophilic aromatic iodination</t>
        </is>
      </c>
      <c r="J932" s="2" t="inlineStr">
        <is>
          <t>named and classified by a chemist agent; reviewed by an independent agent</t>
        </is>
      </c>
    </row>
    <row r="933">
      <c r="A933" s="3" t="inlineStr">
        <is>
          <t>C[CH2][Mg][Cl]</t>
        </is>
      </c>
      <c r="B933" s="2" t="inlineStr">
        <is>
          <t>ethylmagnesium chloride</t>
        </is>
      </c>
      <c r="C933" s="2" t="inlineStr">
        <is>
          <t>EtMgCl</t>
        </is>
      </c>
      <c r="D933" s="2" t="inlineStr">
        <is>
          <t>organometallic reagent</t>
        </is>
      </c>
      <c r="E933" s="2" t="inlineStr">
        <is>
          <t>base</t>
        </is>
      </c>
      <c r="F933" s="2" t="n">
        <v>50</v>
      </c>
      <c r="G933" s="2" t="n">
        <v>34</v>
      </c>
      <c r="H933" s="2" t="inlineStr">
        <is>
          <t>Magnesium, chloroethyl- (CID 75432)</t>
        </is>
      </c>
      <c r="I933" s="2" t="inlineStr">
        <is>
          <t>Deprotonates the OH and does Br/Mg exchange to give the aryl Grignard for addition to the ketone</t>
        </is>
      </c>
      <c r="J933" s="2" t="inlineStr">
        <is>
          <t>named and classified by a chemist agent; reviewed by an independent agent</t>
        </is>
      </c>
    </row>
    <row r="934">
      <c r="A934" s="3" t="inlineStr">
        <is>
          <t>NC(C1CCCCC1)C1CCCCC1</t>
        </is>
      </c>
      <c r="B934" s="2" t="inlineStr">
        <is>
          <t>1,1-dicyclohexylmethanamine</t>
        </is>
      </c>
      <c r="C934" s="2" t="inlineStr"/>
      <c r="D934" s="2" t="inlineStr">
        <is>
          <t>base</t>
        </is>
      </c>
      <c r="E934" s="2" t="inlineStr"/>
      <c r="F934" s="2" t="n">
        <v>10.6</v>
      </c>
      <c r="G934" s="2" t="n">
        <v>34</v>
      </c>
      <c r="H934" s="2" t="inlineStr">
        <is>
          <t>alpha-Cyclohexylcyclohexanemethanamine (CID 10774245)</t>
        </is>
      </c>
      <c r="I934" s="2" t="inlineStr">
        <is>
          <t>Amine base for Heck coupling; probably intended N-methyldicyclohexylamine (Cy2NMe), same formula</t>
        </is>
      </c>
      <c r="J934" s="2" t="inlineStr">
        <is>
          <t>named and classified by a chemist agent; reviewed by an independent agent</t>
        </is>
      </c>
    </row>
    <row r="935">
      <c r="A935" s="3" t="inlineStr">
        <is>
          <t>O=C1CNCCN1</t>
        </is>
      </c>
      <c r="B935" s="2" t="inlineStr">
        <is>
          <t>piperazin-2-one</t>
        </is>
      </c>
      <c r="C935" s="2" t="inlineStr"/>
      <c r="D935" s="2" t="inlineStr">
        <is>
          <t>other</t>
        </is>
      </c>
      <c r="E935" s="2" t="inlineStr"/>
      <c r="F935" s="2" t="n"/>
      <c r="G935" s="2" t="n">
        <v>34</v>
      </c>
      <c r="H935" s="2" t="inlineStr">
        <is>
          <t>Piperazin-2-one (CID 231360)</t>
        </is>
      </c>
      <c r="I935" s="2" t="inlineStr">
        <is>
          <t>Starting-material fragment carried over; not a functional agent in the amide reduction</t>
        </is>
      </c>
      <c r="J935" s="2" t="inlineStr">
        <is>
          <t>named and classified by a chemist agent; reviewed by an independent agent</t>
        </is>
      </c>
    </row>
    <row r="936">
      <c r="A936" s="3" t="inlineStr">
        <is>
          <t>CC[C@H]1CN2CC[C@H]1C[C@@H]2[C@@H](Oc1nnc(O[C@@H](c2ccnc3ccc(OC)cc23)[C@H]2C[C@@H]3CCN2C[C@@H]3CC)c2ccccc12)c1ccnc2ccc(OC)cc12</t>
        </is>
      </c>
      <c r="B936" s="2" t="inlineStr">
        <is>
          <t>hydroquinidine 1,4-phthalazinediyl diether</t>
        </is>
      </c>
      <c r="C936" s="2" t="inlineStr">
        <is>
          <t>(DHQD)2PHAL</t>
        </is>
      </c>
      <c r="D936" s="2" t="inlineStr">
        <is>
          <t>ligand</t>
        </is>
      </c>
      <c r="E936" s="2" t="inlineStr"/>
      <c r="F936" s="2" t="n"/>
      <c r="G936" s="2" t="n">
        <v>34</v>
      </c>
      <c r="H936" s="2" t="inlineStr">
        <is>
          <t>1,4-Bis(dihydroquinidine)phthalazine (CID 11217202)</t>
        </is>
      </c>
      <c r="I936" s="2" t="inlineStr">
        <is>
          <t>Chiral ligand for Os-catalyzed Sharpless asymmetric aminohydroxylation</t>
        </is>
      </c>
      <c r="J936" s="2" t="inlineStr">
        <is>
          <t>named and classified by a chemist agent; reviewed by an independent agent</t>
        </is>
      </c>
    </row>
    <row r="937">
      <c r="A937" s="3" t="inlineStr">
        <is>
          <t>ClC(Cl)C(Cl)Cl</t>
        </is>
      </c>
      <c r="B937" s="2" t="inlineStr">
        <is>
          <t>1,1,2,2-tetrachloroethane</t>
        </is>
      </c>
      <c r="C937" s="2" t="inlineStr"/>
      <c r="D937" s="2" t="inlineStr">
        <is>
          <t>solvent</t>
        </is>
      </c>
      <c r="E937" s="2" t="inlineStr"/>
      <c r="F937" s="2" t="n"/>
      <c r="G937" s="2" t="n">
        <v>33</v>
      </c>
      <c r="H937" s="2" t="inlineStr">
        <is>
          <t>1,1,2,2-Tetrachloroethane (CID 6591)</t>
        </is>
      </c>
      <c r="I937" s="2" t="inlineStr">
        <is>
          <t>High-boiling chlorinated solvent for AlCl3 demethylation</t>
        </is>
      </c>
      <c r="J937" s="2" t="inlineStr">
        <is>
          <t>named and classified by a chemist agent; reviewed by an independent agent</t>
        </is>
      </c>
    </row>
    <row r="938">
      <c r="A938" s="3" t="inlineStr">
        <is>
          <t>CBr</t>
        </is>
      </c>
      <c r="B938" s="2" t="inlineStr">
        <is>
          <t>bromomethane</t>
        </is>
      </c>
      <c r="C938" s="2" t="inlineStr">
        <is>
          <t>MeBr</t>
        </is>
      </c>
      <c r="D938" s="2" t="inlineStr">
        <is>
          <t>other</t>
        </is>
      </c>
      <c r="E938" s="2" t="inlineStr"/>
      <c r="F938" s="2" t="n"/>
      <c r="G938" s="2" t="n">
        <v>33</v>
      </c>
      <c r="H938" s="2" t="inlineStr">
        <is>
          <t>Methyl Bromide (CID 6323)</t>
        </is>
      </c>
      <c r="I938" s="2" t="inlineStr">
        <is>
          <t>By-product of HBr/AcOH O-demethylation (normally a methylating agent)</t>
        </is>
      </c>
      <c r="J938" s="2" t="inlineStr">
        <is>
          <t>named and classified by a chemist agent; reviewed by an independent agent</t>
        </is>
      </c>
    </row>
    <row r="939">
      <c r="A939" s="3" t="inlineStr">
        <is>
          <t>[N-]=C=S</t>
        </is>
      </c>
      <c r="B939" s="2" t="inlineStr">
        <is>
          <t>thiocyanate</t>
        </is>
      </c>
      <c r="C939" s="2" t="inlineStr">
        <is>
          <t>SCN-</t>
        </is>
      </c>
      <c r="D939" s="2" t="inlineStr">
        <is>
          <t>other</t>
        </is>
      </c>
      <c r="E939" s="2" t="inlineStr"/>
      <c r="F939" s="2" t="n"/>
      <c r="G939" s="2" t="n">
        <v>33</v>
      </c>
      <c r="H939" s="2" t="inlineStr">
        <is>
          <t>Thiocyanate (CID 9322)</t>
        </is>
      </c>
      <c r="I939" s="2" t="inlineStr">
        <is>
          <t>Likely a parsing artefact in this amide coupling record</t>
        </is>
      </c>
      <c r="J939" s="2" t="inlineStr">
        <is>
          <t>named and classified by a chemist agent; reviewed by an independent agent</t>
        </is>
      </c>
    </row>
    <row r="940">
      <c r="A940" s="3" t="inlineStr">
        <is>
          <t>Cc1ccccc1CCO</t>
        </is>
      </c>
      <c r="B940" s="2" t="inlineStr">
        <is>
          <t>2-(2-methylphenyl)ethanol</t>
        </is>
      </c>
      <c r="C940" s="2" t="inlineStr"/>
      <c r="D940" s="2" t="inlineStr">
        <is>
          <t>other</t>
        </is>
      </c>
      <c r="E940" s="2" t="inlineStr"/>
      <c r="F940" s="2" t="n"/>
      <c r="G940" s="2" t="n">
        <v>33</v>
      </c>
      <c r="H940" s="2" t="inlineStr">
        <is>
          <t>2-Methylphenethyl alcohol (CID 88267)</t>
        </is>
      </c>
      <c r="I940" s="2" t="inlineStr">
        <is>
          <t>No clear function in this Suzuki coupling; probably mis-recorded</t>
        </is>
      </c>
      <c r="J940" s="2" t="inlineStr">
        <is>
          <t>named and classified by a chemist agent; reviewed by an independent agent</t>
        </is>
      </c>
    </row>
    <row r="941">
      <c r="A941" s="3" t="inlineStr">
        <is>
          <t>c1ccc2[nH]nnc2c1</t>
        </is>
      </c>
      <c r="B941" s="2" t="inlineStr">
        <is>
          <t>1H-benzotriazole</t>
        </is>
      </c>
      <c r="C941" s="2" t="inlineStr">
        <is>
          <t>BtH</t>
        </is>
      </c>
      <c r="D941" s="2" t="inlineStr">
        <is>
          <t>coupling reagent (activates an acid)</t>
        </is>
      </c>
      <c r="E941" s="2" t="inlineStr"/>
      <c r="F941" s="2" t="n"/>
      <c r="G941" s="2" t="n">
        <v>33</v>
      </c>
      <c r="H941" s="2" t="inlineStr">
        <is>
          <t>1H-Benzotriazole (CID 7220)</t>
        </is>
      </c>
      <c r="I941" s="2" t="inlineStr">
        <is>
          <t>With SOCl2 forms an N-acylbenzotriazole (Katritzky) to activate the acid</t>
        </is>
      </c>
      <c r="J941" s="2" t="inlineStr">
        <is>
          <t>named and classified by a chemist agent; reviewed by an independent agent</t>
        </is>
      </c>
    </row>
    <row r="942">
      <c r="A942" s="3" t="inlineStr">
        <is>
          <t>O=C(/N=N/C(=O)N1CCCCC1)N1CCCCC1</t>
        </is>
      </c>
      <c r="B942" s="2" t="inlineStr">
        <is>
          <t>1,1'-(azodicarbonyl)dipiperidine</t>
        </is>
      </c>
      <c r="C942" s="2" t="inlineStr">
        <is>
          <t>ADDP</t>
        </is>
      </c>
      <c r="D942" s="2" t="inlineStr">
        <is>
          <t>dehydrating / activating agent</t>
        </is>
      </c>
      <c r="E942" s="2" t="inlineStr">
        <is>
          <t>oxidant</t>
        </is>
      </c>
      <c r="F942" s="2" t="n"/>
      <c r="G942" s="2" t="n">
        <v>33</v>
      </c>
      <c r="H942" s="2" t="inlineStr">
        <is>
          <t>1,1'-(Azodicarbonyl)dipiperidine (CID 73042)</t>
        </is>
      </c>
      <c r="I942" s="2" t="inlineStr">
        <is>
          <t>Mitsunobu azo reagent with PPh3 for aryl ether formation</t>
        </is>
      </c>
      <c r="J942" s="2" t="inlineStr">
        <is>
          <t>named and classified by a chemist agent; reviewed by an independent agent</t>
        </is>
      </c>
    </row>
    <row r="943">
      <c r="A943" s="3" t="inlineStr">
        <is>
          <t>COP(OC)OC</t>
        </is>
      </c>
      <c r="B943" s="2" t="inlineStr">
        <is>
          <t>trimethyl phosphite</t>
        </is>
      </c>
      <c r="C943" s="2" t="inlineStr">
        <is>
          <t>P(OMe)3</t>
        </is>
      </c>
      <c r="D943" s="2" t="inlineStr">
        <is>
          <t>reductant</t>
        </is>
      </c>
      <c r="E943" s="2" t="inlineStr"/>
      <c r="F943" s="2" t="n"/>
      <c r="G943" s="2" t="n">
        <v>33</v>
      </c>
      <c r="H943" s="2" t="inlineStr">
        <is>
          <t>Trimethyl phosphite (CID 8472)</t>
        </is>
      </c>
      <c r="I943" s="2" t="inlineStr">
        <is>
          <t>Staudinger-type reduction of the azide to the amine</t>
        </is>
      </c>
      <c r="J943" s="2" t="inlineStr">
        <is>
          <t>named and classified by a chemist agent; reviewed by an independent agent</t>
        </is>
      </c>
    </row>
    <row r="944">
      <c r="A944" s="3" t="inlineStr">
        <is>
          <t>[Cl][Pd-2]([Cl])([PH](c1ccccc1)(c1ccccc1)c1ccccc1)[PH](c1ccccc1)(c1ccccc1)c1ccccc1</t>
        </is>
      </c>
      <c r="B944" s="2" t="inlineStr">
        <is>
          <t>bis(triphenylphosphine)palladium(II) dichloride</t>
        </is>
      </c>
      <c r="C944" s="2" t="inlineStr">
        <is>
          <t>PdCl2(PPh3)2</t>
        </is>
      </c>
      <c r="D944" s="2" t="inlineStr">
        <is>
          <t>catalyst (metal)</t>
        </is>
      </c>
      <c r="E944" s="2" t="inlineStr"/>
      <c r="F944" s="2" t="n"/>
      <c r="G944" s="2" t="n">
        <v>33</v>
      </c>
      <c r="H944" s="2" t="inlineStr">
        <is>
          <t>Bis(triphenylphosphine)palladium(II) dichloride (CID 6332635)</t>
        </is>
      </c>
      <c r="I944" s="2" t="inlineStr">
        <is>
          <t>Pd catalyst for Sonogashira coupling with CuI</t>
        </is>
      </c>
      <c r="J944" s="2" t="inlineStr">
        <is>
          <t>named and classified by a chemist agent; reviewed by an independent agent</t>
        </is>
      </c>
    </row>
    <row r="945">
      <c r="A945" s="3" t="inlineStr">
        <is>
          <t>[BH3-]OC(C)=O</t>
        </is>
      </c>
      <c r="B945" s="2" t="inlineStr">
        <is>
          <t>triacetoxyborohydride (drawn as acetoxyborohydride)</t>
        </is>
      </c>
      <c r="C945" s="2" t="inlineStr">
        <is>
          <t>NaBH(OAc)3 / STAB</t>
        </is>
      </c>
      <c r="D945" s="2" t="inlineStr">
        <is>
          <t>reductant</t>
        </is>
      </c>
      <c r="E945" s="2" t="inlineStr"/>
      <c r="F945" s="2" t="n"/>
      <c r="G945" s="2" t="n">
        <v>33</v>
      </c>
      <c r="H945" s="2" t="inlineStr">
        <is>
          <t>Acetoxyborohydride (CID 12268230)</t>
        </is>
      </c>
      <c r="I945" s="2" t="inlineStr">
        <is>
          <t>Mild hydride for reductive amination</t>
        </is>
      </c>
      <c r="J945" s="2" t="inlineStr">
        <is>
          <t>named and classified by a chemist agent; reviewed by an independent agent</t>
        </is>
      </c>
    </row>
    <row r="946">
      <c r="A946" s="3" t="inlineStr">
        <is>
          <t>NCl</t>
        </is>
      </c>
      <c r="B946" s="2" t="inlineStr">
        <is>
          <t>chloramine</t>
        </is>
      </c>
      <c r="C946" s="2" t="inlineStr"/>
      <c r="D946" s="2" t="inlineStr">
        <is>
          <t>additive</t>
        </is>
      </c>
      <c r="E946" s="2" t="inlineStr"/>
      <c r="F946" s="2" t="n"/>
      <c r="G946" s="2" t="n">
        <v>33</v>
      </c>
      <c r="H946" s="2" t="inlineStr">
        <is>
          <t>Monochloramine (CID 25423)</t>
        </is>
      </c>
      <c r="I946" s="2" t="inlineStr">
        <is>
          <t>Almost certainly mis-drawn ammonium chloride: proton source for Zn nitro reduction</t>
        </is>
      </c>
      <c r="J946" s="2" t="inlineStr">
        <is>
          <t>named and classified by a chemist agent; reviewed by an independent agent</t>
        </is>
      </c>
    </row>
    <row r="947">
      <c r="A947" s="3" t="inlineStr">
        <is>
          <t>Cc1ccc(S(=O)(=O)NCl)cc1</t>
        </is>
      </c>
      <c r="B947" s="2" t="inlineStr">
        <is>
          <t>N-chloro-p-toluenesulfonamide</t>
        </is>
      </c>
      <c r="C947" s="2" t="inlineStr">
        <is>
          <t>TsNHCl</t>
        </is>
      </c>
      <c r="D947" s="2" t="inlineStr">
        <is>
          <t>oxidant</t>
        </is>
      </c>
      <c r="E947" s="2" t="inlineStr">
        <is>
          <t>halogenating agent</t>
        </is>
      </c>
      <c r="F947" s="2" t="n"/>
      <c r="G947" s="2" t="n">
        <v>33</v>
      </c>
      <c r="H947" s="2" t="inlineStr">
        <is>
          <t>Tosylchloramide (CID 31388)</t>
        </is>
      </c>
      <c r="I947" s="2" t="inlineStr">
        <is>
          <t>Oxidizes iodide to an electrophilic iodine species for aromatic iodination</t>
        </is>
      </c>
      <c r="J947" s="2" t="inlineStr">
        <is>
          <t>named and classified by a chemist agent; reviewed by an independent agent</t>
        </is>
      </c>
    </row>
    <row r="948">
      <c r="A948" s="3" t="inlineStr">
        <is>
          <t>O=C(O)c1ccccc1S</t>
        </is>
      </c>
      <c r="B948" s="2" t="inlineStr">
        <is>
          <t>thiosalicylic acid (2-mercaptobenzoic acid)</t>
        </is>
      </c>
      <c r="C948" s="2" t="inlineStr"/>
      <c r="D948" s="2" t="inlineStr">
        <is>
          <t>nucleophile</t>
        </is>
      </c>
      <c r="E948" s="2" t="inlineStr"/>
      <c r="F948" s="2" t="n"/>
      <c r="G948" s="2" t="n">
        <v>33</v>
      </c>
      <c r="H948" s="2" t="inlineStr">
        <is>
          <t>2-Mercaptobenzoic Acid (CID 5443)</t>
        </is>
      </c>
      <c r="I948" s="2" t="inlineStr">
        <is>
          <t>Unsubstituted analog of the thiol reactant; likely mis-recorded</t>
        </is>
      </c>
      <c r="J948" s="2" t="inlineStr">
        <is>
          <t>named and classified by a chemist agent; reviewed by an independent agent</t>
        </is>
      </c>
    </row>
    <row r="949">
      <c r="A949" s="3" t="inlineStr">
        <is>
          <t>O=C(O)c1cc(-c2cc(F)cc(Cl)c2)n(-c2ccccn2)n1</t>
        </is>
      </c>
      <c r="B949" s="2" t="inlineStr">
        <is>
          <t>5-(3-chloro-5-fluorophenyl)-1-(pyridin-2-yl)-1H-pyrazole-3-carboxylic acid</t>
        </is>
      </c>
      <c r="C949" s="2" t="inlineStr"/>
      <c r="D949" s="2" t="inlineStr">
        <is>
          <t>other</t>
        </is>
      </c>
      <c r="E949" s="2" t="inlineStr"/>
      <c r="F949" s="2" t="n"/>
      <c r="G949" s="2" t="n">
        <v>33</v>
      </c>
      <c r="H949" s="2" t="inlineStr">
        <is>
          <t>5-(3-Chloro-5-fluorophenyl)-1-(pyridin-2-yl)-1H-pyrazole-3-carboxylic acid (CID 89602575)</t>
        </is>
      </c>
      <c r="I949" s="2" t="inlineStr">
        <is>
          <t>Mis-recorded related compound (analog of a reactant/product), not a functional agent</t>
        </is>
      </c>
      <c r="J949" s="2" t="inlineStr">
        <is>
          <t>named and classified by a chemist agent; reviewed by an independent agent</t>
        </is>
      </c>
    </row>
    <row r="950">
      <c r="A950" s="3" t="inlineStr">
        <is>
          <t>CCNC</t>
        </is>
      </c>
      <c r="B950" s="2" t="inlineStr">
        <is>
          <t>N-methylethylamine</t>
        </is>
      </c>
      <c r="C950" s="2" t="inlineStr"/>
      <c r="D950" s="2" t="inlineStr">
        <is>
          <t>nucleophile</t>
        </is>
      </c>
      <c r="E950" s="2" t="inlineStr"/>
      <c r="F950" s="2" t="n">
        <v>10.9</v>
      </c>
      <c r="G950" s="2" t="n">
        <v>33</v>
      </c>
      <c r="H950" s="2" t="inlineStr">
        <is>
          <t>N-Methylethylamine (CID 12219)</t>
        </is>
      </c>
      <c r="I950" s="2" t="inlineStr">
        <is>
          <t>Amine nucleophile that attacks the CDI-activated acid to form the amide</t>
        </is>
      </c>
      <c r="J950" s="2" t="inlineStr">
        <is>
          <t>named and classified by a chemist agent; reviewed by an independent agent</t>
        </is>
      </c>
    </row>
    <row r="951">
      <c r="A951" s="3" t="inlineStr">
        <is>
          <t>CCCCCBr</t>
        </is>
      </c>
      <c r="B951" s="2" t="inlineStr">
        <is>
          <t>1-bromopentane</t>
        </is>
      </c>
      <c r="C951" s="2" t="inlineStr"/>
      <c r="D951" s="2" t="inlineStr">
        <is>
          <t>electrophile / alkylating agent</t>
        </is>
      </c>
      <c r="E951" s="2" t="inlineStr"/>
      <c r="F951" s="2" t="n"/>
      <c r="G951" s="2" t="n">
        <v>32</v>
      </c>
      <c r="H951" s="2" t="inlineStr">
        <is>
          <t>1-Bromopentane (CID 8057)</t>
        </is>
      </c>
      <c r="I951" s="2" t="inlineStr">
        <is>
          <t>Alkylating agent with K2CO3/DMF from an earlier step of the record</t>
        </is>
      </c>
      <c r="J951" s="2" t="inlineStr">
        <is>
          <t>named and classified by a chemist agent; reviewed by an independent agent</t>
        </is>
      </c>
    </row>
    <row r="952">
      <c r="A952" s="3" t="inlineStr">
        <is>
          <t>Nc1c(C(=O)O)cc(C(F)(F)F)c(C=O)c1Cl</t>
        </is>
      </c>
      <c r="B952" s="2" t="inlineStr">
        <is>
          <t>2-amino-3-chloro-4-formyl-5-(trifluoromethyl)benzoic acid</t>
        </is>
      </c>
      <c r="C952" s="2" t="inlineStr"/>
      <c r="D952" s="2" t="inlineStr">
        <is>
          <t>other</t>
        </is>
      </c>
      <c r="E952" s="2" t="inlineStr"/>
      <c r="F952" s="2" t="n"/>
      <c r="G952" s="2" t="n">
        <v>32</v>
      </c>
      <c r="H952" s="2" t="inlineStr">
        <is>
          <t>2-Amino-3-chloro-4-formyl-5-(trifluoromethyl)benzoic acid (CID 117921743)</t>
        </is>
      </c>
      <c r="I952" s="2" t="inlineStr">
        <is>
          <t>Mis-recorded related compound (analog of a reactant/product), not a functional agent</t>
        </is>
      </c>
      <c r="J952" s="2" t="inlineStr">
        <is>
          <t>named and classified by a chemist agent; reviewed by an independent agent</t>
        </is>
      </c>
    </row>
    <row r="953">
      <c r="A953" s="3" t="inlineStr">
        <is>
          <t>CCCCCCCC</t>
        </is>
      </c>
      <c r="B953" s="2" t="inlineStr">
        <is>
          <t>n-octane</t>
        </is>
      </c>
      <c r="C953" s="2" t="inlineStr"/>
      <c r="D953" s="2" t="inlineStr">
        <is>
          <t>solvent</t>
        </is>
      </c>
      <c r="E953" s="2" t="inlineStr"/>
      <c r="F953" s="2" t="n"/>
      <c r="G953" s="2" t="n">
        <v>32</v>
      </c>
      <c r="H953" s="2" t="inlineStr">
        <is>
          <t>Octane (CID 356)</t>
        </is>
      </c>
      <c r="I953" s="2" t="inlineStr">
        <is>
          <t>Hydrocarbon solvent for acid chloride formation with SOCl2</t>
        </is>
      </c>
      <c r="J953" s="2" t="inlineStr">
        <is>
          <t>named and classified by a chemist agent; reviewed by an independent agent</t>
        </is>
      </c>
    </row>
    <row r="954">
      <c r="A954" s="3" t="inlineStr">
        <is>
          <t>COC(=O)[C@H](C(C)C)N1Cc2ccc(-c3ccc(NC(=O)c4ccccc4)cc3)cc2C1=O</t>
        </is>
      </c>
      <c r="B954" s="2" t="inlineStr">
        <is>
          <t>methyl (2S)-2-[6-(4-benzamidophenyl)-1-oxoisoindolin-2-yl]-3-methylbutanoate</t>
        </is>
      </c>
      <c r="C954" s="2" t="inlineStr"/>
      <c r="D954" s="2" t="inlineStr">
        <is>
          <t>other</t>
        </is>
      </c>
      <c r="E954" s="2" t="inlineStr"/>
      <c r="F954" s="2" t="n"/>
      <c r="G954" s="2" t="n">
        <v>32</v>
      </c>
      <c r="H954" s="2" t="inlineStr">
        <is>
          <t>(S)-Methyl 2-(6-(4-benzamidophenyl)-1-oxoisoindolin-2-yl)-3-methylbutanoate (CID 123625862)</t>
        </is>
      </c>
      <c r="I954" s="2" t="inlineStr">
        <is>
          <t>Mis-recorded related compound (des-fluoro analog of the product), not a functional agent</t>
        </is>
      </c>
      <c r="J954" s="2" t="inlineStr">
        <is>
          <t>named and classified by a chemist agent; reviewed by an independent agent</t>
        </is>
      </c>
    </row>
    <row r="955">
      <c r="A955" s="3" t="inlineStr">
        <is>
          <t>[B-]</t>
        </is>
      </c>
      <c r="B955" s="2" t="inlineStr">
        <is>
          <t>boride anion (likely mis-drawn borohydride)</t>
        </is>
      </c>
      <c r="C955" s="2" t="inlineStr"/>
      <c r="D955" s="2" t="inlineStr">
        <is>
          <t>reductant</t>
        </is>
      </c>
      <c r="E955" s="2" t="inlineStr"/>
      <c r="F955" s="2" t="n"/>
      <c r="G955" s="2" t="n">
        <v>32</v>
      </c>
      <c r="H955" s="2" t="inlineStr">
        <is>
          <t>Boride(1-) (CID 6328187)</t>
        </is>
      </c>
      <c r="I955" s="2" t="inlineStr">
        <is>
          <t>Probably NaBH4/KBH4 fragment acting as reducing agent in the reductive amination</t>
        </is>
      </c>
      <c r="J955" s="2" t="inlineStr">
        <is>
          <t>named and classified by a chemist agent; reviewed by an independent agent</t>
        </is>
      </c>
    </row>
    <row r="956">
      <c r="A956" s="3" t="inlineStr">
        <is>
          <t>CC(=O)c1ccccc1</t>
        </is>
      </c>
      <c r="B956" s="2" t="inlineStr">
        <is>
          <t>acetophenone</t>
        </is>
      </c>
      <c r="C956" s="2" t="inlineStr"/>
      <c r="D956" s="2" t="inlineStr">
        <is>
          <t>other</t>
        </is>
      </c>
      <c r="E956" s="2" t="inlineStr"/>
      <c r="F956" s="2" t="n"/>
      <c r="G956" s="2" t="n">
        <v>32</v>
      </c>
      <c r="H956" s="2" t="inlineStr">
        <is>
          <t>Acetophenone (CID 7410)</t>
        </is>
      </c>
      <c r="I956" s="2" t="inlineStr">
        <is>
          <t>No clear role in this Sonogashira coupling; probably mis-recorded</t>
        </is>
      </c>
      <c r="J956" s="2" t="inlineStr">
        <is>
          <t>named and classified by a chemist agent; reviewed by an independent agent</t>
        </is>
      </c>
    </row>
    <row r="957">
      <c r="A957" s="3" t="inlineStr">
        <is>
          <t>NCc1cccnc1</t>
        </is>
      </c>
      <c r="B957" s="2" t="inlineStr">
        <is>
          <t>3-(aminomethyl)pyridine (3-picolylamine)</t>
        </is>
      </c>
      <c r="C957" s="2" t="inlineStr"/>
      <c r="D957" s="2" t="inlineStr">
        <is>
          <t>nucleophile</t>
        </is>
      </c>
      <c r="E957" s="2" t="inlineStr"/>
      <c r="F957" s="2" t="n">
        <v>8.9</v>
      </c>
      <c r="G957" s="2" t="n">
        <v>32</v>
      </c>
      <c r="H957" s="2" t="inlineStr">
        <is>
          <t>3-Pyridinemethanamine (CID 31018)</t>
        </is>
      </c>
      <c r="I957" s="2" t="inlineStr">
        <is>
          <t>Amine alkylated by pentyl iodide in an earlier step of the record</t>
        </is>
      </c>
      <c r="J957" s="2" t="inlineStr">
        <is>
          <t>named and classified by a chemist agent; reviewed by an independent agent</t>
        </is>
      </c>
    </row>
    <row r="958">
      <c r="A958" s="3" t="inlineStr">
        <is>
          <t>CC(=O)[O][K]</t>
        </is>
      </c>
      <c r="B958" s="2" t="inlineStr">
        <is>
          <t>potassium acetate</t>
        </is>
      </c>
      <c r="C958" s="2" t="inlineStr">
        <is>
          <t>KOAc</t>
        </is>
      </c>
      <c r="D958" s="2" t="inlineStr">
        <is>
          <t>base</t>
        </is>
      </c>
      <c r="E958" s="2" t="inlineStr"/>
      <c r="F958" s="2" t="n">
        <v>4.76</v>
      </c>
      <c r="G958" s="2" t="n">
        <v>32</v>
      </c>
      <c r="H958" s="2" t="inlineStr">
        <is>
          <t>Potassium Acetate (CID 517044)</t>
        </is>
      </c>
      <c r="I958" s="2" t="inlineStr">
        <is>
          <t>Weak base/buffer for selective mono-Cbz protection of the diamine</t>
        </is>
      </c>
      <c r="J958" s="2" t="inlineStr">
        <is>
          <t>named and classified by a chemist agent; reviewed by an independent agent</t>
        </is>
      </c>
    </row>
    <row r="959">
      <c r="A959" s="3" t="inlineStr">
        <is>
          <t>Cc1ccc(Cl)cc1N1C(=O)c2cc(Br)n(C(C)C)c2C1c1ccc(Cl)cc1</t>
        </is>
      </c>
      <c r="B959" s="2" t="inlineStr">
        <is>
          <t>2-bromo-5-(5-chloro-2-methylphenyl)-6-(4-chlorophenyl)-1-isopropyl-5,6-dihydropyrrolo[3,4-b]pyrrol-4(1H)-one</t>
        </is>
      </c>
      <c r="C959" s="2" t="inlineStr"/>
      <c r="D959" s="2" t="inlineStr">
        <is>
          <t>other</t>
        </is>
      </c>
      <c r="E959" s="2" t="inlineStr"/>
      <c r="F959" s="2" t="n"/>
      <c r="G959" s="2" t="n">
        <v>32</v>
      </c>
      <c r="H959" s="2" t="inlineStr">
        <is>
          <t>2-bromo-5-(5-chloro-2-methyl-phenyl)-6-(4-chloro-phenyl)-1-isopropyl-5,6-dihydro-1H-pyrrolo[3,4-b]pyrrol-4-one (CID 86703169)</t>
        </is>
      </c>
      <c r="I959" s="2" t="inlineStr">
        <is>
          <t>Mis-recorded related compound (analog of a reactant/product), not a functional agent</t>
        </is>
      </c>
      <c r="J959" s="2" t="inlineStr">
        <is>
          <t>named and classified by a chemist agent; reviewed by an independent agent</t>
        </is>
      </c>
    </row>
    <row r="960">
      <c r="A960" s="3" t="inlineStr">
        <is>
          <t>COC([O-])[O-]</t>
        </is>
      </c>
      <c r="B960" s="2" t="inlineStr">
        <is>
          <t>methoxymethanediolate (likely mis-drawn trimethyl orthoformate)</t>
        </is>
      </c>
      <c r="C960" s="2" t="inlineStr">
        <is>
          <t>TMOF</t>
        </is>
      </c>
      <c r="D960" s="2" t="inlineStr">
        <is>
          <t>dehydrating / activating agent</t>
        </is>
      </c>
      <c r="E960" s="2" t="inlineStr"/>
      <c r="F960" s="2" t="n"/>
      <c r="G960" s="2" t="n">
        <v>32</v>
      </c>
      <c r="H960" s="2" t="inlineStr">
        <is>
          <t>Methylorthoformate (CID 53629101)</t>
        </is>
      </c>
      <c r="I960" s="2" t="inlineStr">
        <is>
          <t>Orthoformate water scavenger promoting imine formation in reductive amination</t>
        </is>
      </c>
      <c r="J960" s="2" t="inlineStr">
        <is>
          <t>named and classified by a chemist agent; reviewed by an independent agent</t>
        </is>
      </c>
    </row>
    <row r="961">
      <c r="A961" s="3" t="inlineStr">
        <is>
          <t>O=C1Nc2ccccc2C1=O</t>
        </is>
      </c>
      <c r="B961" s="2" t="inlineStr">
        <is>
          <t>isatin</t>
        </is>
      </c>
      <c r="C961" s="2" t="inlineStr"/>
      <c r="D961" s="2" t="inlineStr">
        <is>
          <t>other</t>
        </is>
      </c>
      <c r="E961" s="2" t="inlineStr"/>
      <c r="F961" s="2" t="n"/>
      <c r="G961" s="2" t="n">
        <v>32</v>
      </c>
      <c r="H961" s="2" t="inlineStr">
        <is>
          <t>Isatin (CID 7054)</t>
        </is>
      </c>
      <c r="I961" s="2" t="inlineStr">
        <is>
          <t>Mis-recorded related compound (analog of a reactant/product), not a functional agent</t>
        </is>
      </c>
      <c r="J961" s="2" t="inlineStr">
        <is>
          <t>named and classified by a chemist agent; reviewed by an independent agent</t>
        </is>
      </c>
    </row>
    <row r="962">
      <c r="A962" s="3" t="inlineStr">
        <is>
          <t>N#CN</t>
        </is>
      </c>
      <c r="B962" s="2" t="inlineStr">
        <is>
          <t>cyanamide</t>
        </is>
      </c>
      <c r="C962" s="2" t="inlineStr"/>
      <c r="D962" s="2" t="inlineStr">
        <is>
          <t>other</t>
        </is>
      </c>
      <c r="E962" s="2" t="inlineStr"/>
      <c r="F962" s="2" t="n"/>
      <c r="G962" s="2" t="n">
        <v>32</v>
      </c>
      <c r="H962" s="2" t="inlineStr">
        <is>
          <t>Cyanamide (CID 9864)</t>
        </is>
      </c>
      <c r="I962" s="2" t="inlineStr">
        <is>
          <t>Likely the N-cyanamide intermediate/fragment of a von Braun (BrCN) N-demethylation</t>
        </is>
      </c>
      <c r="J962" s="2" t="inlineStr">
        <is>
          <t>named and classified by a chemist agent; reviewed by an independent agent</t>
        </is>
      </c>
    </row>
    <row r="963">
      <c r="A963" s="3" t="inlineStr">
        <is>
          <t>O=Cc1ccccn1</t>
        </is>
      </c>
      <c r="B963" s="2" t="inlineStr">
        <is>
          <t>pyridine-2-carboxaldehyde</t>
        </is>
      </c>
      <c r="C963" s="2" t="inlineStr"/>
      <c r="D963" s="2" t="inlineStr">
        <is>
          <t>other</t>
        </is>
      </c>
      <c r="E963" s="2" t="inlineStr"/>
      <c r="F963" s="2" t="n"/>
      <c r="G963" s="2" t="n">
        <v>32</v>
      </c>
      <c r="H963" s="2" t="inlineStr">
        <is>
          <t>2-Pyridinecarboxaldehyde (CID 14273)</t>
        </is>
      </c>
      <c r="I963" s="2" t="inlineStr">
        <is>
          <t>Precursor of the imidazole from an earlier step; not active in this amide coupling</t>
        </is>
      </c>
      <c r="J963" s="2" t="inlineStr">
        <is>
          <t>named and classified by a chemist agent; reviewed by an independent agent</t>
        </is>
      </c>
    </row>
    <row r="964">
      <c r="A964" s="3" t="inlineStr">
        <is>
          <t>CCC(=O)OC(=O)CC</t>
        </is>
      </c>
      <c r="B964" s="2" t="inlineStr">
        <is>
          <t>propionic anhydride</t>
        </is>
      </c>
      <c r="C964" s="2" t="inlineStr"/>
      <c r="D964" s="2" t="inlineStr">
        <is>
          <t>electrophile / alkylating agent</t>
        </is>
      </c>
      <c r="E964" s="2" t="inlineStr"/>
      <c r="F964" s="2" t="n"/>
      <c r="G964" s="2" t="n">
        <v>32</v>
      </c>
      <c r="H964" s="2" t="inlineStr">
        <is>
          <t>Propionic anhydride (CID 31263)</t>
        </is>
      </c>
      <c r="I964" s="2" t="inlineStr">
        <is>
          <t>Acylating agent; probably an alternative to the acid chloride in this esterification</t>
        </is>
      </c>
      <c r="J964" s="2" t="inlineStr">
        <is>
          <t>named and classified by a chemist agent; reviewed by an independent agent</t>
        </is>
      </c>
    </row>
    <row r="965">
      <c r="A965" s="3" t="inlineStr">
        <is>
          <t>COc1cc(Cl)nnc1NS(=O)(=O)Cc1cc(C#N)ccc1Cl</t>
        </is>
      </c>
      <c r="B965" s="2" t="inlineStr">
        <is>
          <t>N-(6-chloro-4-methoxypyridazin-3-yl)-1-(2-chloro-5-cyanophenyl)methanesulfonamide</t>
        </is>
      </c>
      <c r="C965" s="2" t="inlineStr"/>
      <c r="D965" s="2" t="inlineStr">
        <is>
          <t>other</t>
        </is>
      </c>
      <c r="E965" s="2" t="inlineStr"/>
      <c r="F965" s="2" t="n"/>
      <c r="G965" s="2" t="n">
        <v>31</v>
      </c>
      <c r="H965" s="2" t="inlineStr">
        <is>
          <t>N-(6-chloro-4-methoxypyridazin-3-yl)-1-(2-chloro-5cyanophenyl)methanesulfonamide (CID 117696095)</t>
        </is>
      </c>
      <c r="I965" s="2" t="inlineStr">
        <is>
          <t>Mis-recorded related compound (analog of a reactant/product), not a functional agent</t>
        </is>
      </c>
      <c r="J965" s="2" t="inlineStr">
        <is>
          <t>named and classified by a chemist agent; reviewed by an independent agent</t>
        </is>
      </c>
    </row>
    <row r="966">
      <c r="A966" s="3" t="inlineStr">
        <is>
          <t>CCCP(=O)(O)O</t>
        </is>
      </c>
      <c r="B966" s="2" t="inlineStr">
        <is>
          <t>propylphosphonic acid (represents T3P, propylphosphonic anhydride)</t>
        </is>
      </c>
      <c r="C966" s="2" t="inlineStr">
        <is>
          <t>T3P</t>
        </is>
      </c>
      <c r="D966" s="2" t="inlineStr">
        <is>
          <t>coupling reagent (activates an acid)</t>
        </is>
      </c>
      <c r="E966" s="2" t="inlineStr"/>
      <c r="F966" s="2" t="n"/>
      <c r="G966" s="2" t="n">
        <v>31</v>
      </c>
      <c r="H966" s="2" t="inlineStr">
        <is>
          <t>Propylphosphonic acid (CID 204484)</t>
        </is>
      </c>
      <c r="I966" s="2" t="inlineStr">
        <is>
          <t>Activates the carboxylic acid for amide formation</t>
        </is>
      </c>
      <c r="J966" s="2" t="inlineStr">
        <is>
          <t>named and classified by a chemist agent; reviewed by an independent agent</t>
        </is>
      </c>
    </row>
    <row r="967">
      <c r="A967" s="3" t="inlineStr">
        <is>
          <t>O=C(NC1CCCCC1)NC1CCCCC1</t>
        </is>
      </c>
      <c r="B967" s="2" t="inlineStr">
        <is>
          <t>N,N'-dicyclohexylurea</t>
        </is>
      </c>
      <c r="C967" s="2" t="inlineStr">
        <is>
          <t>DCU</t>
        </is>
      </c>
      <c r="D967" s="2" t="inlineStr">
        <is>
          <t>other</t>
        </is>
      </c>
      <c r="E967" s="2" t="inlineStr"/>
      <c r="F967" s="2" t="n"/>
      <c r="G967" s="2" t="n">
        <v>31</v>
      </c>
      <c r="H967" s="2" t="inlineStr">
        <is>
          <t>N,N'-Dicyclohexylurea (CID 4277)</t>
        </is>
      </c>
      <c r="I967" s="2" t="inlineStr">
        <is>
          <t>By-product of DCC coupling</t>
        </is>
      </c>
      <c r="J967" s="2" t="inlineStr">
        <is>
          <t>named and classified by a chemist agent; reviewed by an independent agent</t>
        </is>
      </c>
    </row>
    <row r="968">
      <c r="A968" s="3" t="inlineStr">
        <is>
          <t>Oc1cc(Cl)c(Cl)cc1Cl</t>
        </is>
      </c>
      <c r="B968" s="2" t="inlineStr">
        <is>
          <t>2,4,5-trichlorophenol</t>
        </is>
      </c>
      <c r="C968" s="2" t="inlineStr"/>
      <c r="D968" s="2" t="inlineStr">
        <is>
          <t>coupling reagent (activates an acid)</t>
        </is>
      </c>
      <c r="E968" s="2" t="inlineStr"/>
      <c r="F968" s="2" t="n"/>
      <c r="G968" s="2" t="n">
        <v>31</v>
      </c>
      <c r="H968" s="2" t="inlineStr">
        <is>
          <t>2,4,5-Trichlorophenol (CID 7271)</t>
        </is>
      </c>
      <c r="I968" s="2" t="inlineStr">
        <is>
          <t>Forms a 2,4,5-trichlorophenyl active ester with EDC for amide coupling</t>
        </is>
      </c>
      <c r="J968" s="2" t="inlineStr">
        <is>
          <t>named and classified by a chemist agent; reviewed by an independent agent</t>
        </is>
      </c>
    </row>
    <row r="969">
      <c r="A969" s="3" t="inlineStr">
        <is>
          <t>Cc1cc(C)c(C)c(C)c1C</t>
        </is>
      </c>
      <c r="B969" s="2" t="inlineStr">
        <is>
          <t>pentamethylbenzene</t>
        </is>
      </c>
      <c r="C969" s="2" t="inlineStr"/>
      <c r="D969" s="2" t="inlineStr">
        <is>
          <t>additive</t>
        </is>
      </c>
      <c r="E969" s="2" t="inlineStr"/>
      <c r="F969" s="2" t="n"/>
      <c r="G969" s="2" t="n">
        <v>31</v>
      </c>
      <c r="H969" s="2" t="inlineStr">
        <is>
          <t>Pentamethylbenzene (CID 12784)</t>
        </is>
      </c>
      <c r="I969" s="2" t="inlineStr">
        <is>
          <t>Benzyl-cation scavenger during TFA debenzylation</t>
        </is>
      </c>
      <c r="J969" s="2" t="inlineStr">
        <is>
          <t>named and classified by a chemist agent; reviewed by an independent agent</t>
        </is>
      </c>
    </row>
    <row r="970">
      <c r="A970" s="3" t="inlineStr">
        <is>
          <t>CCOC(=O)C(C#N)=NO</t>
        </is>
      </c>
      <c r="B970" s="2" t="inlineStr">
        <is>
          <t>ethyl cyano(hydroxyimino)acetate</t>
        </is>
      </c>
      <c r="C970" s="2" t="inlineStr">
        <is>
          <t>Oxyma</t>
        </is>
      </c>
      <c r="D970" s="2" t="inlineStr">
        <is>
          <t>coupling reagent (activates an acid)</t>
        </is>
      </c>
      <c r="E970" s="2" t="inlineStr"/>
      <c r="F970" s="2" t="n"/>
      <c r="G970" s="2" t="n">
        <v>31</v>
      </c>
      <c r="H970" s="2" t="inlineStr">
        <is>
          <t>Ethyl 2-cyano-2-(hydroxyimino)acetate (CID 6399078)</t>
        </is>
      </c>
      <c r="I970" s="2" t="inlineStr">
        <is>
          <t>Coupling additive with EDC that suppresses racemization</t>
        </is>
      </c>
      <c r="J970" s="2" t="inlineStr">
        <is>
          <t>named and classified by a chemist agent; reviewed by an independent agent</t>
        </is>
      </c>
    </row>
    <row r="971">
      <c r="A971" s="3" t="inlineStr">
        <is>
          <t>C[Si](C)(C)N=[N+]=[N-]</t>
        </is>
      </c>
      <c r="B971" s="2" t="inlineStr">
        <is>
          <t>azidotrimethylsilane</t>
        </is>
      </c>
      <c r="C971" s="2" t="inlineStr">
        <is>
          <t>TMSN3</t>
        </is>
      </c>
      <c r="D971" s="2" t="inlineStr">
        <is>
          <t>nucleophile</t>
        </is>
      </c>
      <c r="E971" s="2" t="inlineStr"/>
      <c r="F971" s="2" t="n"/>
      <c r="G971" s="2" t="n">
        <v>31</v>
      </c>
      <c r="H971" s="2" t="inlineStr">
        <is>
          <t>Azidotrimethylsilane (CID 78378)</t>
        </is>
      </c>
      <c r="I971" s="2" t="inlineStr">
        <is>
          <t>Azide source; with BF3 converts the tertiary alcohol to the azide</t>
        </is>
      </c>
      <c r="J971" s="2" t="inlineStr">
        <is>
          <t>named and classified by a chemist agent; reviewed by an independent agent</t>
        </is>
      </c>
    </row>
    <row r="972">
      <c r="A972" s="3" t="inlineStr">
        <is>
          <t>OCCOCCOCCOCCOCCO</t>
        </is>
      </c>
      <c r="B972" s="2" t="inlineStr">
        <is>
          <t>pentaethylene glycol</t>
        </is>
      </c>
      <c r="C972" s="2" t="inlineStr"/>
      <c r="D972" s="2" t="inlineStr">
        <is>
          <t>additive</t>
        </is>
      </c>
      <c r="E972" s="2" t="inlineStr"/>
      <c r="F972" s="2" t="n"/>
      <c r="G972" s="2" t="n">
        <v>31</v>
      </c>
      <c r="H972" s="2" t="inlineStr">
        <is>
          <t>Pentaethylene glycol (CID 62551)</t>
        </is>
      </c>
      <c r="I972" s="2" t="inlineStr">
        <is>
          <t>Polyether additive/co-solvent in aqueous sulfonamide formation; unclear role</t>
        </is>
      </c>
      <c r="J972" s="2" t="inlineStr">
        <is>
          <t>named and classified by a chemist agent; reviewed by an independent agent</t>
        </is>
      </c>
    </row>
    <row r="973">
      <c r="A973" s="3" t="inlineStr">
        <is>
          <t>O=CC=O</t>
        </is>
      </c>
      <c r="B973" s="2" t="inlineStr">
        <is>
          <t>glyoxal</t>
        </is>
      </c>
      <c r="C973" s="2" t="inlineStr"/>
      <c r="D973" s="2" t="inlineStr">
        <is>
          <t>other</t>
        </is>
      </c>
      <c r="E973" s="2" t="inlineStr"/>
      <c r="F973" s="2" t="n"/>
      <c r="G973" s="2" t="n">
        <v>31</v>
      </c>
      <c r="H973" s="2" t="inlineStr">
        <is>
          <t>Glyoxal (CID 7860)</t>
        </is>
      </c>
      <c r="I973" s="2" t="inlineStr">
        <is>
          <t>No clear role in this Sonogashira coupling; probably mis-recorded</t>
        </is>
      </c>
      <c r="J973" s="2" t="inlineStr">
        <is>
          <t>named and classified by a chemist agent; reviewed by an independent agent</t>
        </is>
      </c>
    </row>
    <row r="974">
      <c r="A974" s="3" t="inlineStr">
        <is>
          <t>CCCCCCO</t>
        </is>
      </c>
      <c r="B974" s="2" t="inlineStr">
        <is>
          <t>1-hexanol</t>
        </is>
      </c>
      <c r="C974" s="2" t="inlineStr"/>
      <c r="D974" s="2" t="inlineStr">
        <is>
          <t>solvent</t>
        </is>
      </c>
      <c r="E974" s="2" t="inlineStr"/>
      <c r="F974" s="2" t="n"/>
      <c r="G974" s="2" t="n">
        <v>31</v>
      </c>
      <c r="H974" s="2" t="inlineStr">
        <is>
          <t>1-Hexanol (CID 8103)</t>
        </is>
      </c>
      <c r="I974" s="2" t="inlineStr">
        <is>
          <t>High-boiling alcohol solvent for SNAr amination with DIPEA</t>
        </is>
      </c>
      <c r="J974" s="2" t="inlineStr">
        <is>
          <t>named and classified by a chemist agent; reviewed by an independent agent</t>
        </is>
      </c>
    </row>
    <row r="975">
      <c r="A975" s="3" t="inlineStr">
        <is>
          <t>[Mn]</t>
        </is>
      </c>
      <c r="B975" s="2" t="inlineStr">
        <is>
          <t>manganese (likely MnO2)</t>
        </is>
      </c>
      <c r="C975" s="2" t="inlineStr">
        <is>
          <t>MnO2</t>
        </is>
      </c>
      <c r="D975" s="2" t="inlineStr">
        <is>
          <t>oxidant</t>
        </is>
      </c>
      <c r="E975" s="2" t="inlineStr"/>
      <c r="F975" s="2" t="n"/>
      <c r="G975" s="2" t="n">
        <v>31</v>
      </c>
      <c r="H975" s="2" t="inlineStr">
        <is>
          <t>Manganese (CID 23930)</t>
        </is>
      </c>
      <c r="I975" s="2" t="inlineStr">
        <is>
          <t>Mis-drawn manganese dioxide oxidizing a benzylic alcohol to the aldehyde</t>
        </is>
      </c>
      <c r="J975" s="2" t="inlineStr">
        <is>
          <t>named and classified by a chemist agent; reviewed by an independent agent</t>
        </is>
      </c>
    </row>
    <row r="976">
      <c r="A976" s="3" t="inlineStr">
        <is>
          <t>Clc1ccc(Cl)cc1</t>
        </is>
      </c>
      <c r="B976" s="2" t="inlineStr">
        <is>
          <t>1,4-dichlorobenzene</t>
        </is>
      </c>
      <c r="C976" s="2" t="inlineStr"/>
      <c r="D976" s="2" t="inlineStr">
        <is>
          <t>solvent</t>
        </is>
      </c>
      <c r="E976" s="2" t="inlineStr"/>
      <c r="F976" s="2" t="n"/>
      <c r="G976" s="2" t="n">
        <v>31</v>
      </c>
      <c r="H976" s="2" t="inlineStr">
        <is>
          <t>1,4-Dichlorobenzene (CID 4685)</t>
        </is>
      </c>
      <c r="I976" s="2" t="inlineStr">
        <is>
          <t>High-boiling solvent for O-methylation with methyl tosylate</t>
        </is>
      </c>
      <c r="J976" s="2" t="inlineStr">
        <is>
          <t>named and classified by a chemist agent; reviewed by an independent agent</t>
        </is>
      </c>
    </row>
    <row r="977">
      <c r="A977" s="3" t="inlineStr">
        <is>
          <t>ClCC(Cl)(Cl)Cl</t>
        </is>
      </c>
      <c r="B977" s="2" t="inlineStr">
        <is>
          <t>1,1,1,2-tetrachloroethane</t>
        </is>
      </c>
      <c r="C977" s="2" t="inlineStr"/>
      <c r="D977" s="2" t="inlineStr">
        <is>
          <t>solvent</t>
        </is>
      </c>
      <c r="E977" s="2" t="inlineStr"/>
      <c r="F977" s="2" t="n"/>
      <c r="G977" s="2" t="n">
        <v>31</v>
      </c>
      <c r="H977" s="2" t="inlineStr">
        <is>
          <t>1,1,1,2-Tetrachloroethane (CID 12418)</t>
        </is>
      </c>
      <c r="I977" s="2" t="inlineStr">
        <is>
          <t>Chlorinated solvent for AlCl3 Friedel-Crafts acylation</t>
        </is>
      </c>
      <c r="J977" s="2" t="inlineStr">
        <is>
          <t>named and classified by a chemist agent; reviewed by an independent agent</t>
        </is>
      </c>
    </row>
    <row r="978">
      <c r="A978" s="3" t="inlineStr">
        <is>
          <t>C[Si](C)(C)O[Si](C)(C)C</t>
        </is>
      </c>
      <c r="B978" s="2" t="inlineStr">
        <is>
          <t>hexamethyldisiloxane</t>
        </is>
      </c>
      <c r="C978" s="2" t="inlineStr">
        <is>
          <t>HMDSO</t>
        </is>
      </c>
      <c r="D978" s="2" t="inlineStr">
        <is>
          <t>dehydrating / activating agent</t>
        </is>
      </c>
      <c r="E978" s="2" t="inlineStr"/>
      <c r="F978" s="2" t="n"/>
      <c r="G978" s="2" t="n">
        <v>31</v>
      </c>
      <c r="H978" s="2" t="inlineStr">
        <is>
          <t>Hexamethyldisiloxane (CID 24764)</t>
        </is>
      </c>
      <c r="I978" s="2" t="inlineStr">
        <is>
          <t>With P4O10 forms PPSE, dehydrating the primary amide to the nitrile</t>
        </is>
      </c>
      <c r="J978" s="2" t="inlineStr">
        <is>
          <t>named and classified by a chemist agent; reviewed by an independent agent</t>
        </is>
      </c>
    </row>
    <row r="979">
      <c r="A979" s="3" t="inlineStr">
        <is>
          <t>C[CH2][Al]([CH2]C)[CH2]C</t>
        </is>
      </c>
      <c r="B979" s="2" t="inlineStr">
        <is>
          <t>triethylaluminium</t>
        </is>
      </c>
      <c r="C979" s="2" t="inlineStr">
        <is>
          <t>AlEt3</t>
        </is>
      </c>
      <c r="D979" s="2" t="inlineStr">
        <is>
          <t>organometallic reagent</t>
        </is>
      </c>
      <c r="E979" s="2" t="inlineStr">
        <is>
          <t>reductant</t>
        </is>
      </c>
      <c r="F979" s="2" t="n"/>
      <c r="G979" s="2" t="n">
        <v>31</v>
      </c>
      <c r="H979" s="2" t="inlineStr">
        <is>
          <t>Triethylaluminum (CID 16682930)</t>
        </is>
      </c>
      <c r="I979" s="2" t="inlineStr">
        <is>
          <t>Activates Cp2TiCl2 (Ziegler-type) for selective hydrogenation of the vinyl group</t>
        </is>
      </c>
      <c r="J979" s="2" t="inlineStr">
        <is>
          <t>named and classified by a chemist agent; reviewed by an independent agent</t>
        </is>
      </c>
    </row>
    <row r="980">
      <c r="A980" s="3" t="inlineStr">
        <is>
          <t>CC(C)(C)[O][AlH-]([O]C(C)(C)C)[O]C(C)(C)C</t>
        </is>
      </c>
      <c r="B980" s="2" t="inlineStr">
        <is>
          <t>tri-tert-butoxyaluminum hydride anion (tri-tert-butoxyaluminohydride)</t>
        </is>
      </c>
      <c r="C980" s="2" t="inlineStr">
        <is>
          <t>LiAlH(OtBu)3</t>
        </is>
      </c>
      <c r="D980" s="2" t="inlineStr">
        <is>
          <t>reductant</t>
        </is>
      </c>
      <c r="E980" s="2" t="inlineStr"/>
      <c r="F980" s="2" t="n"/>
      <c r="G980" s="2" t="n">
        <v>31</v>
      </c>
      <c r="H980" s="2" t="inlineStr">
        <is>
          <t>Tri-tert-butoxy aluminohydride (CID 16721206)</t>
        </is>
      </c>
      <c r="I980" s="2" t="inlineStr">
        <is>
          <t>Bulky, selective hydride for ketone reduction</t>
        </is>
      </c>
      <c r="J980" s="2" t="inlineStr">
        <is>
          <t>named and classified by a chemist agent; reviewed by an independent agent; name corrected after comparing with PubChem (was: lithium tri-tert-butoxyaluminium hydride)</t>
        </is>
      </c>
    </row>
    <row r="981">
      <c r="A981" s="3" t="inlineStr">
        <is>
          <t>C[Si](C)(C)[NH-]</t>
        </is>
      </c>
      <c r="B981" s="2" t="inlineStr">
        <is>
          <t>trimethylsilylamide (likely LiHMDS fragment)</t>
        </is>
      </c>
      <c r="C981" s="2" t="inlineStr">
        <is>
          <t>LiHMDS</t>
        </is>
      </c>
      <c r="D981" s="2" t="inlineStr">
        <is>
          <t>base</t>
        </is>
      </c>
      <c r="E981" s="2" t="inlineStr"/>
      <c r="F981" s="2" t="n">
        <v>26</v>
      </c>
      <c r="G981" s="2" t="n">
        <v>31</v>
      </c>
      <c r="H981" s="2" t="inlineStr">
        <is>
          <t>(Trimethylsilyl)amide (CID 53627528)</t>
        </is>
      </c>
      <c r="I981" s="2" t="inlineStr">
        <is>
          <t>Strong non-nucleophilic amide base for beta-lactam N-alkylation</t>
        </is>
      </c>
      <c r="J981" s="2" t="inlineStr">
        <is>
          <t>named and classified by a chemist agent; reviewed by an independent agent</t>
        </is>
      </c>
    </row>
    <row r="982">
      <c r="A982" s="3" t="inlineStr">
        <is>
          <t>[CH3][Sn]([CH3])([CH3])[CH3]</t>
        </is>
      </c>
      <c r="B982" s="2" t="inlineStr">
        <is>
          <t>tetramethyltin</t>
        </is>
      </c>
      <c r="C982" s="2" t="inlineStr">
        <is>
          <t>SnMe4</t>
        </is>
      </c>
      <c r="D982" s="2" t="inlineStr">
        <is>
          <t>other</t>
        </is>
      </c>
      <c r="E982" s="2" t="inlineStr"/>
      <c r="F982" s="2" t="n"/>
      <c r="G982" s="2" t="n">
        <v>31</v>
      </c>
      <c r="H982" s="2" t="inlineStr">
        <is>
          <t>Tetramethyltin (CID 11661)</t>
        </is>
      </c>
      <c r="I982" s="2" t="inlineStr">
        <is>
          <t>No clear role in this BBr3 deprotection; probably mis-recorded</t>
        </is>
      </c>
      <c r="J982" s="2" t="inlineStr">
        <is>
          <t>named and classified by a chemist agent; reviewed by an independent agent</t>
        </is>
      </c>
    </row>
    <row r="983">
      <c r="A983" s="3" t="inlineStr">
        <is>
          <t>[C+4]</t>
        </is>
      </c>
      <c r="B983" s="2" t="inlineStr">
        <is>
          <t>carbon (Pd/C support)</t>
        </is>
      </c>
      <c r="C983" s="2" t="inlineStr">
        <is>
          <t>C</t>
        </is>
      </c>
      <c r="D983" s="2" t="inlineStr">
        <is>
          <t>other</t>
        </is>
      </c>
      <c r="E983" s="2" t="inlineStr"/>
      <c r="F983" s="2" t="n"/>
      <c r="G983" s="2" t="n">
        <v>30</v>
      </c>
      <c r="H983" s="2" t="inlineStr"/>
      <c r="I983" s="2" t="inlineStr">
        <is>
          <t>Activated-carbon support of Pd/C hydrogenation catalyst; charge is a parsing artefact</t>
        </is>
      </c>
      <c r="J983" s="2" t="inlineStr">
        <is>
          <t>named and classified by a chemist agent; reviewed by an independent agent</t>
        </is>
      </c>
    </row>
    <row r="984">
      <c r="A984" s="3" t="inlineStr">
        <is>
          <t>CC(C)(C)OC=O</t>
        </is>
      </c>
      <c r="B984" s="2" t="inlineStr">
        <is>
          <t>tert-butyl formate</t>
        </is>
      </c>
      <c r="C984" s="2" t="inlineStr"/>
      <c r="D984" s="2" t="inlineStr">
        <is>
          <t>other</t>
        </is>
      </c>
      <c r="E984" s="2" t="inlineStr"/>
      <c r="F984" s="2" t="n"/>
      <c r="G984" s="2" t="n">
        <v>30</v>
      </c>
      <c r="H984" s="2" t="inlineStr">
        <is>
          <t>tert-Butyl Formate (CID 61207)</t>
        </is>
      </c>
      <c r="I984" s="2" t="inlineStr">
        <is>
          <t>Unclear role in this nitro reduction; probably mis-recorded</t>
        </is>
      </c>
      <c r="J984" s="2" t="inlineStr">
        <is>
          <t>named and classified by a chemist agent; reviewed by an independent agent</t>
        </is>
      </c>
    </row>
    <row r="985">
      <c r="A985" s="3" t="inlineStr">
        <is>
          <t>Nc1ccccc1S</t>
        </is>
      </c>
      <c r="B985" s="2" t="inlineStr">
        <is>
          <t>2-aminothiophenol</t>
        </is>
      </c>
      <c r="C985" s="2" t="inlineStr"/>
      <c r="D985" s="2" t="inlineStr">
        <is>
          <t>nucleophile</t>
        </is>
      </c>
      <c r="E985" s="2" t="inlineStr"/>
      <c r="F985" s="2" t="n"/>
      <c r="G985" s="2" t="n">
        <v>30</v>
      </c>
      <c r="H985" s="2" t="inlineStr">
        <is>
          <t>2-Aminothiophenol (CID 8713)</t>
        </is>
      </c>
      <c r="I985" s="2" t="inlineStr">
        <is>
          <t>Condenses with an aldehyde to form the benzothiazole in an earlier step of the record</t>
        </is>
      </c>
      <c r="J985" s="2" t="inlineStr">
        <is>
          <t>named and classified by a chemist agent; reviewed by an independent agent</t>
        </is>
      </c>
    </row>
    <row r="986">
      <c r="A986" s="3" t="inlineStr">
        <is>
          <t>COC(=O)CBr</t>
        </is>
      </c>
      <c r="B986" s="2" t="inlineStr">
        <is>
          <t>methyl bromoacetate</t>
        </is>
      </c>
      <c r="C986" s="2" t="inlineStr"/>
      <c r="D986" s="2" t="inlineStr">
        <is>
          <t>electrophile / alkylating agent</t>
        </is>
      </c>
      <c r="E986" s="2" t="inlineStr"/>
      <c r="F986" s="2" t="n"/>
      <c r="G986" s="2" t="n">
        <v>30</v>
      </c>
      <c r="H986" s="2" t="inlineStr">
        <is>
          <t>Methyl bromoacetate (CID 60984)</t>
        </is>
      </c>
      <c r="I986" s="2" t="inlineStr">
        <is>
          <t>Alkylates the phenol in the earlier step of this record</t>
        </is>
      </c>
      <c r="J986" s="2" t="inlineStr">
        <is>
          <t>named and classified by a chemist agent; reviewed by an independent agent</t>
        </is>
      </c>
    </row>
    <row r="987">
      <c r="A987" s="3" t="inlineStr">
        <is>
          <t>CC(C)OCC#N</t>
        </is>
      </c>
      <c r="B987" s="2" t="inlineStr">
        <is>
          <t>2-isopropoxyacetonitrile</t>
        </is>
      </c>
      <c r="C987" s="2" t="inlineStr"/>
      <c r="D987" s="2" t="inlineStr">
        <is>
          <t>other</t>
        </is>
      </c>
      <c r="E987" s="2" t="inlineStr"/>
      <c r="F987" s="2" t="n"/>
      <c r="G987" s="2" t="n">
        <v>30</v>
      </c>
      <c r="H987" s="2" t="inlineStr">
        <is>
          <t>2-(Propan-2-yloxy)acetonitrile (CID 21391664)</t>
        </is>
      </c>
      <c r="I987" s="2" t="inlineStr">
        <is>
          <t>Unclear role in this ester hydrolysis; probably mis-recorded</t>
        </is>
      </c>
      <c r="J987" s="2" t="inlineStr">
        <is>
          <t>named and classified by a chemist agent; reviewed by an independent agent</t>
        </is>
      </c>
    </row>
    <row r="988">
      <c r="A988" s="3" t="inlineStr">
        <is>
          <t>[Tl+]</t>
        </is>
      </c>
      <c r="B988" s="2" t="inlineStr">
        <is>
          <t>thallium(I) cation</t>
        </is>
      </c>
      <c r="C988" s="2" t="inlineStr">
        <is>
          <t>Tl+</t>
        </is>
      </c>
      <c r="D988" s="2" t="inlineStr">
        <is>
          <t>counter-ion / spectator ion</t>
        </is>
      </c>
      <c r="E988" s="2" t="inlineStr"/>
      <c r="F988" s="2" t="n"/>
      <c r="G988" s="2" t="n">
        <v>30</v>
      </c>
      <c r="H988" s="2" t="inlineStr">
        <is>
          <t>Thallous cation (CID 105005)</t>
        </is>
      </c>
      <c r="I988" s="2" t="inlineStr">
        <is>
          <t>Unclear role in this BBr3 demethylation; probably mis-recorded</t>
        </is>
      </c>
      <c r="J988" s="2" t="inlineStr">
        <is>
          <t>named and classified by a chemist agent; reviewed by an independent agent</t>
        </is>
      </c>
    </row>
    <row r="989">
      <c r="A989" s="3" t="inlineStr">
        <is>
          <t>N#Cc1ccc(Cl)c(CS(=O)(=O)Nc2nnc(Cl)cc2O)c1</t>
        </is>
      </c>
      <c r="B989" s="2" t="inlineStr">
        <is>
          <t>1-(2-chloro-5-cyanophenyl)-N-(6-chloro-4-hydroxypyridazin-3-yl)methanesulfonamide</t>
        </is>
      </c>
      <c r="C989" s="2" t="inlineStr"/>
      <c r="D989" s="2" t="inlineStr">
        <is>
          <t>other</t>
        </is>
      </c>
      <c r="E989" s="2" t="inlineStr"/>
      <c r="F989" s="2" t="n"/>
      <c r="G989" s="2" t="n">
        <v>30</v>
      </c>
      <c r="H989" s="2" t="inlineStr"/>
      <c r="I989" s="2" t="inlineStr">
        <is>
          <t>Mis-recorded related compound (analog of a reactant/product), not a functional agent</t>
        </is>
      </c>
      <c r="J989" s="2" t="inlineStr">
        <is>
          <t>named and classified by a chemist agent; reviewed by an independent agent; PubChem's title for this SMILES was wrong (US10125125, Example 85 (CID 86580884)): PubChem title is a patent example label, not a name; agent name verified.</t>
        </is>
      </c>
    </row>
    <row r="990">
      <c r="A990" s="3" t="inlineStr">
        <is>
          <t>CCC(=O)CC</t>
        </is>
      </c>
      <c r="B990" s="2" t="inlineStr">
        <is>
          <t>3-pentanone (diethyl ketone)</t>
        </is>
      </c>
      <c r="C990" s="2" t="inlineStr"/>
      <c r="D990" s="2" t="inlineStr">
        <is>
          <t>solvent</t>
        </is>
      </c>
      <c r="E990" s="2" t="inlineStr"/>
      <c r="F990" s="2" t="n"/>
      <c r="G990" s="2" t="n">
        <v>30</v>
      </c>
      <c r="H990" s="2" t="inlineStr">
        <is>
          <t>Ethyl ketone (CID 7288)</t>
        </is>
      </c>
      <c r="I990" s="2" t="inlineStr">
        <is>
          <t>Ketone solvent for O-alkylation with K2CO3</t>
        </is>
      </c>
      <c r="J990" s="2" t="inlineStr">
        <is>
          <t>named and classified by a chemist agent; reviewed by an independent agent</t>
        </is>
      </c>
    </row>
    <row r="991">
      <c r="A991" s="3" t="inlineStr">
        <is>
          <t>CCN(CC)Cc1ccccc1</t>
        </is>
      </c>
      <c r="B991" s="2" t="inlineStr">
        <is>
          <t>N,N-diethylbenzylamine (polymer-supported)</t>
        </is>
      </c>
      <c r="C991" s="2" t="inlineStr"/>
      <c r="D991" s="2" t="inlineStr">
        <is>
          <t>base</t>
        </is>
      </c>
      <c r="E991" s="2" t="inlineStr"/>
      <c r="F991" s="2" t="n">
        <v>9.5</v>
      </c>
      <c r="G991" s="2" t="n">
        <v>30</v>
      </c>
      <c r="H991" s="2" t="inlineStr">
        <is>
          <t>Benzenemethanamine, N,N-diethyl- (CID 61211)</t>
        </is>
      </c>
      <c r="I991" s="2" t="inlineStr">
        <is>
          <t>With styrene/divinylbenzene: polystyrene-bound diethylaminomethyl base for acylation</t>
        </is>
      </c>
      <c r="J991" s="2" t="inlineStr">
        <is>
          <t>named and classified by a chemist agent; reviewed by an independent agent; corrected abbreviation (PS-DEAM is Biotage's diethanolaminomethyl polystyrene, a resin that scavenges boronic acids: N(CH2CH2OH)2 on the resin. This entry is diethylaminomethyl polysty)</t>
        </is>
      </c>
    </row>
    <row r="992">
      <c r="A992" s="3" t="inlineStr">
        <is>
          <t>O=C([O-])N=NC(=O)[O-]</t>
        </is>
      </c>
      <c r="B992" s="2" t="inlineStr">
        <is>
          <t>azodicarboxylate (likely DEAD/DIAD fragment)</t>
        </is>
      </c>
      <c r="C992" s="2" t="inlineStr">
        <is>
          <t>DEAD/DIAD</t>
        </is>
      </c>
      <c r="D992" s="2" t="inlineStr">
        <is>
          <t>dehydrating / activating agent</t>
        </is>
      </c>
      <c r="E992" s="2" t="inlineStr">
        <is>
          <t>oxidant</t>
        </is>
      </c>
      <c r="F992" s="2" t="n"/>
      <c r="G992" s="2" t="n">
        <v>30</v>
      </c>
      <c r="H992" s="2" t="inlineStr">
        <is>
          <t>N-carboxylatoiminocarbamate (CID 51573101)</t>
        </is>
      </c>
      <c r="I992" s="2" t="inlineStr">
        <is>
          <t>Mitsunobu azo reagent with PPh3 for aryl ether formation</t>
        </is>
      </c>
      <c r="J992" s="2" t="inlineStr">
        <is>
          <t>named and classified by a chemist agent; reviewed by an independent agent</t>
        </is>
      </c>
    </row>
    <row r="993">
      <c r="A993" s="3" t="inlineStr">
        <is>
          <t>CC(C)C=O</t>
        </is>
      </c>
      <c r="B993" s="2" t="inlineStr">
        <is>
          <t>isobutyraldehyde</t>
        </is>
      </c>
      <c r="C993" s="2" t="inlineStr"/>
      <c r="D993" s="2" t="inlineStr">
        <is>
          <t>other</t>
        </is>
      </c>
      <c r="E993" s="2" t="inlineStr"/>
      <c r="F993" s="2" t="n"/>
      <c r="G993" s="2" t="n">
        <v>30</v>
      </c>
      <c r="H993" s="2" t="inlineStr">
        <is>
          <t>Isobutyraldehyde (CID 6561)</t>
        </is>
      </c>
      <c r="I993" s="2" t="inlineStr">
        <is>
          <t>Co-product/impurity in this record; not a reagent</t>
        </is>
      </c>
      <c r="J993" s="2" t="inlineStr">
        <is>
          <t>named and classified by a chemist agent; reviewed by an independent agent</t>
        </is>
      </c>
    </row>
    <row r="994">
      <c r="A994" s="3" t="inlineStr">
        <is>
          <t>COCCN(CCOC)S(F)(F)F</t>
        </is>
      </c>
      <c r="B994" s="2" t="inlineStr">
        <is>
          <t>bis(2-methoxyethyl)aminosulfur trifluoride</t>
        </is>
      </c>
      <c r="C994" s="2" t="inlineStr">
        <is>
          <t>Deoxo-Fluor</t>
        </is>
      </c>
      <c r="D994" s="2" t="inlineStr">
        <is>
          <t>halogenating agent</t>
        </is>
      </c>
      <c r="E994" s="2" t="inlineStr"/>
      <c r="F994" s="2" t="n"/>
      <c r="G994" s="2" t="n">
        <v>30</v>
      </c>
      <c r="H994" s="2" t="inlineStr">
        <is>
          <t>(Bis(2-methoxyethyl)amino)sulfur trifluoride (CID 2734690)</t>
        </is>
      </c>
      <c r="I994" s="2" t="inlineStr">
        <is>
          <t>Deoxyfluorinating agent (CHO to CHF2) from an earlier step</t>
        </is>
      </c>
      <c r="J994" s="2" t="inlineStr">
        <is>
          <t>named and classified by a chemist agent; reviewed by an independent agent</t>
        </is>
      </c>
    </row>
    <row r="995">
      <c r="A995" s="3" t="inlineStr">
        <is>
          <t>CS(=O)(=O)NC(=O)c1cc(Cl)c(F)cc1F</t>
        </is>
      </c>
      <c r="B995" s="2" t="inlineStr">
        <is>
          <t>5-chloro-2,4-difluoro-N-(methylsulfonyl)benzamide</t>
        </is>
      </c>
      <c r="C995" s="2" t="inlineStr"/>
      <c r="D995" s="2" t="inlineStr">
        <is>
          <t>other</t>
        </is>
      </c>
      <c r="E995" s="2" t="inlineStr"/>
      <c r="F995" s="2" t="n"/>
      <c r="G995" s="2" t="n">
        <v>30</v>
      </c>
      <c r="H995" s="2" t="inlineStr">
        <is>
          <t>5-chloro-2,4-difluoro-N-(methylsulfonyl)benzamide (CID 58042417)</t>
        </is>
      </c>
      <c r="I995" s="2" t="inlineStr">
        <is>
          <t>Mis-recorded related compound (analog of a reactant/product), not a functional agent</t>
        </is>
      </c>
      <c r="J995" s="2" t="inlineStr">
        <is>
          <t>named and classified by a chemist agent; reviewed by an independent agent</t>
        </is>
      </c>
    </row>
    <row r="996">
      <c r="A996" s="3" t="inlineStr">
        <is>
          <t>CC(C)c1cc(C(C)C)c(-c2ccccc2[PH](C2CCCCC2)(C2CCCCC2)[Pd]2([O]S(C)(=O)=O)[NH]c3ccccc3-c3cccc[c]32)c(C(C)C)c1</t>
        </is>
      </c>
      <c r="B996" s="2" t="inlineStr">
        <is>
          <t>XPhos Pd G3</t>
        </is>
      </c>
      <c r="C996" s="2" t="inlineStr">
        <is>
          <t>XPhos-Pd-G3</t>
        </is>
      </c>
      <c r="D996" s="2" t="inlineStr">
        <is>
          <t>catalyst (metal)</t>
        </is>
      </c>
      <c r="E996" s="2" t="inlineStr"/>
      <c r="F996" s="2" t="n"/>
      <c r="G996" s="2" t="n">
        <v>30</v>
      </c>
      <c r="H996" s="2" t="inlineStr">
        <is>
          <t>XPhosPdG3 (CID 132274291)</t>
        </is>
      </c>
      <c r="I996" s="2" t="inlineStr">
        <is>
          <t>Buchwald precatalyst for Suzuki coupling</t>
        </is>
      </c>
      <c r="J996" s="2" t="inlineStr">
        <is>
          <t>named and classified by a chemist agent; reviewed by an independent agent</t>
        </is>
      </c>
    </row>
    <row r="997">
      <c r="A997" s="3" t="inlineStr">
        <is>
          <t>C[NH2+]C</t>
        </is>
      </c>
      <c r="B997" s="2" t="inlineStr">
        <is>
          <t>dimethylammonium</t>
        </is>
      </c>
      <c r="C997" s="2" t="inlineStr"/>
      <c r="D997" s="2" t="inlineStr">
        <is>
          <t>counter-ion / spectator ion</t>
        </is>
      </c>
      <c r="E997" s="2" t="inlineStr"/>
      <c r="F997" s="2" t="n"/>
      <c r="G997" s="2" t="n">
        <v>30</v>
      </c>
      <c r="H997" s="2" t="inlineStr">
        <is>
          <t>Dimethylaminium (CID 3614769)</t>
        </is>
      </c>
      <c r="I997" s="2" t="inlineStr">
        <is>
          <t>With PF6-, likely a fragment of a mis-parsed uronium coupling reagent (HATU/HBTU)</t>
        </is>
      </c>
      <c r="J997" s="2" t="inlineStr">
        <is>
          <t>named and classified by a chemist agent; reviewed by an independent agent</t>
        </is>
      </c>
    </row>
    <row r="998">
      <c r="A998" s="3" t="inlineStr">
        <is>
          <t>[O-]Br</t>
        </is>
      </c>
      <c r="B998" s="2" t="inlineStr">
        <is>
          <t>hypobromite</t>
        </is>
      </c>
      <c r="C998" s="2" t="inlineStr">
        <is>
          <t>BrO-</t>
        </is>
      </c>
      <c r="D998" s="2" t="inlineStr">
        <is>
          <t>halogenating agent</t>
        </is>
      </c>
      <c r="E998" s="2" t="inlineStr"/>
      <c r="F998" s="2" t="n"/>
      <c r="G998" s="2" t="n">
        <v>30</v>
      </c>
      <c r="H998" s="2" t="inlineStr">
        <is>
          <t>Hypobromite (CID 5460626)</t>
        </is>
      </c>
      <c r="I998" s="2" t="inlineStr">
        <is>
          <t>From Br2/NaOH; brominates the phenol ortho to OH</t>
        </is>
      </c>
      <c r="J998" s="2" t="inlineStr">
        <is>
          <t>named and classified by a chemist agent; reviewed by an independent agent</t>
        </is>
      </c>
    </row>
    <row r="999">
      <c r="A999" s="3" t="inlineStr">
        <is>
          <t>CCOCCOCCOCC</t>
        </is>
      </c>
      <c r="B999" s="2" t="inlineStr">
        <is>
          <t>diethylene glycol diethyl ether</t>
        </is>
      </c>
      <c r="C999" s="2" t="inlineStr"/>
      <c r="D999" s="2" t="inlineStr">
        <is>
          <t>solvent</t>
        </is>
      </c>
      <c r="E999" s="2" t="inlineStr"/>
      <c r="F999" s="2" t="n"/>
      <c r="G999" s="2" t="n">
        <v>30</v>
      </c>
      <c r="H999" s="2" t="inlineStr">
        <is>
          <t>Diethylene glycol diethyl ether (CID 8179)</t>
        </is>
      </c>
      <c r="I999" s="2" t="inlineStr">
        <is>
          <t>Ether solvent for KOH Claisen-Schmidt condensation</t>
        </is>
      </c>
      <c r="J999" s="2" t="inlineStr">
        <is>
          <t>named and classified by a chemist agent; reviewed by an independent agent</t>
        </is>
      </c>
    </row>
    <row r="1000">
      <c r="A1000" s="3" t="inlineStr">
        <is>
          <t>CC(C)(C)OC(=O)N[C@@H](Cc1ccccc1C(F)(F)F)C(=O)O</t>
        </is>
      </c>
      <c r="B1000" s="2" t="inlineStr">
        <is>
          <t>N-Boc-2-(trifluoromethyl)-L-phenylalanine</t>
        </is>
      </c>
      <c r="C1000" s="2" t="inlineStr">
        <is>
          <t>Boc-Phe(2-CF3)-OH</t>
        </is>
      </c>
      <c r="D1000" s="2" t="inlineStr">
        <is>
          <t>other</t>
        </is>
      </c>
      <c r="E1000" s="2" t="inlineStr"/>
      <c r="F1000" s="2" t="n"/>
      <c r="G1000" s="2" t="n">
        <v>30</v>
      </c>
      <c r="H1000" s="2" t="inlineStr">
        <is>
          <t>Boc-2-(trifluoromethyl)-L-phenylalanine (CID 2761473)</t>
        </is>
      </c>
      <c r="I1000" s="2" t="inlineStr">
        <is>
          <t>Mis-recorded related compound (analog of a reactant/product), not a functional agent</t>
        </is>
      </c>
      <c r="J1000" s="2" t="inlineStr">
        <is>
          <t>named and classified by a chemist agent; reviewed by an independent agent</t>
        </is>
      </c>
    </row>
    <row r="1001">
      <c r="A1001" s="3" t="inlineStr">
        <is>
          <t>NOC1CCCCO1</t>
        </is>
      </c>
      <c r="B1001" s="2" t="inlineStr">
        <is>
          <t>O-(tetrahydro-2H-pyran-2-yl)hydroxylamine</t>
        </is>
      </c>
      <c r="C1001" s="2" t="inlineStr">
        <is>
          <t>THPONH2</t>
        </is>
      </c>
      <c r="D1001" s="2" t="inlineStr">
        <is>
          <t>nucleophile</t>
        </is>
      </c>
      <c r="E1001" s="2" t="inlineStr"/>
      <c r="F1001" s="2" t="n"/>
      <c r="G1001" s="2" t="n">
        <v>30</v>
      </c>
      <c r="H1001" s="2" t="inlineStr">
        <is>
          <t>O-(Tetrahydropyran-2-yl)hydroxylamine (CID 5142091)</t>
        </is>
      </c>
      <c r="I1001" s="2" t="inlineStr">
        <is>
          <t>Protected hydroxylamine; couples with the acid to give the THP hydroxamate, then acid removes THP</t>
        </is>
      </c>
      <c r="J1001" s="2" t="inlineStr">
        <is>
          <t>named and classified by a chemist agent; reviewed by an independent agent</t>
        </is>
      </c>
    </row>
    <row r="1002">
      <c r="A1002" s="3" t="inlineStr">
        <is>
          <t>CN(C)P(N(C)C)N(C)C</t>
        </is>
      </c>
      <c r="B1002" s="2" t="inlineStr">
        <is>
          <t>tris(dimethylamino)phosphine</t>
        </is>
      </c>
      <c r="C1002" s="2" t="inlineStr">
        <is>
          <t>HMPT</t>
        </is>
      </c>
      <c r="D1002" s="2" t="inlineStr">
        <is>
          <t>other</t>
        </is>
      </c>
      <c r="E1002" s="2" t="inlineStr"/>
      <c r="F1002" s="2" t="n"/>
      <c r="G1002" s="2" t="n">
        <v>30</v>
      </c>
      <c r="H1002" s="2" t="inlineStr">
        <is>
          <t>Hexamethylphosphorous triamide (CID 15355)</t>
        </is>
      </c>
      <c r="I1002" s="2" t="inlineStr">
        <is>
          <t>Likely precursor of the phosphazene base catalyst in this record; no direct role</t>
        </is>
      </c>
      <c r="J1002" s="2" t="inlineStr">
        <is>
          <t>named and classified by a chemist agent; reviewed by an independent agent</t>
        </is>
      </c>
    </row>
    <row r="1003">
      <c r="A1003" s="3" t="inlineStr">
        <is>
          <t>O=C(O)c1cccc(Cl)c1</t>
        </is>
      </c>
      <c r="B1003" s="2" t="inlineStr">
        <is>
          <t>3-chlorobenzoic acid</t>
        </is>
      </c>
      <c r="C1003" s="2" t="inlineStr"/>
      <c r="D1003" s="2" t="inlineStr">
        <is>
          <t>other</t>
        </is>
      </c>
      <c r="E1003" s="2" t="inlineStr"/>
      <c r="F1003" s="2" t="n"/>
      <c r="G1003" s="2" t="n">
        <v>30</v>
      </c>
      <c r="H1003" s="2" t="inlineStr">
        <is>
          <t>3-Chlorobenzoic Acid (CID 447)</t>
        </is>
      </c>
      <c r="I1003" s="2" t="inlineStr">
        <is>
          <t>By-product of mCPBA oxidation</t>
        </is>
      </c>
      <c r="J1003" s="2" t="inlineStr">
        <is>
          <t>named and classified by a chemist agent; reviewed by an independent agent</t>
        </is>
      </c>
    </row>
    <row r="1004">
      <c r="A1004" s="3" t="inlineStr">
        <is>
          <t>CC1(C)COB(B2OCC(C)(C)CO2)OC1</t>
        </is>
      </c>
      <c r="B1004" s="2" t="inlineStr">
        <is>
          <t>bis(neopentyl glycolato)diboron</t>
        </is>
      </c>
      <c r="C1004" s="2" t="inlineStr">
        <is>
          <t>B2nep2</t>
        </is>
      </c>
      <c r="D1004" s="2" t="inlineStr">
        <is>
          <t>other</t>
        </is>
      </c>
      <c r="E1004" s="2" t="inlineStr"/>
      <c r="F1004" s="2" t="n"/>
      <c r="G1004" s="2" t="n">
        <v>30</v>
      </c>
      <c r="H1004" s="2" t="inlineStr">
        <is>
          <t>Bis(neopentyl glycolato)diboron (CID 2734316)</t>
        </is>
      </c>
      <c r="I1004" s="2" t="inlineStr">
        <is>
          <t>Boron source for Pd-catalyzed Miyaura borylation (one-pot borylation/Suzuki)</t>
        </is>
      </c>
      <c r="J1004" s="2" t="inlineStr">
        <is>
          <t>named and classified by a chemist agent; reviewed by an independent agent</t>
        </is>
      </c>
    </row>
    <row r="1005">
      <c r="A1005" s="3" t="inlineStr">
        <is>
          <t>O=C(Cc1ccc2ncccc2c1)NNc1ncc(-c2ccccc2)nn1</t>
        </is>
      </c>
      <c r="B1005" s="2" t="inlineStr">
        <is>
          <t>N'-(6-phenyl-1,2,4-triazin-3-yl)-2-(quinolin-6-yl)acetohydrazide</t>
        </is>
      </c>
      <c r="C1005" s="2" t="inlineStr"/>
      <c r="D1005" s="2" t="inlineStr">
        <is>
          <t>other</t>
        </is>
      </c>
      <c r="E1005" s="2" t="inlineStr"/>
      <c r="F1005" s="2" t="n"/>
      <c r="G1005" s="2" t="n">
        <v>30</v>
      </c>
      <c r="H1005" s="2" t="inlineStr">
        <is>
          <t>6-Phenyl-3-(6-quinolylacetylhydrazino)-1,2,4-triazine (CID 71533891)</t>
        </is>
      </c>
      <c r="I1005" s="2" t="inlineStr">
        <is>
          <t>Mis-recorded related compound (analog of a reactant/product), not a functional agent</t>
        </is>
      </c>
      <c r="J1005" s="2" t="inlineStr">
        <is>
          <t>named and classified by a chemist agent; reviewed by an independent agent</t>
        </is>
      </c>
    </row>
    <row r="1006">
      <c r="A1006" s="3" t="inlineStr">
        <is>
          <t>c1ccc2c(c1)CCCC2</t>
        </is>
      </c>
      <c r="B1006" s="2" t="inlineStr">
        <is>
          <t>tetralin (1,2,3,4-tetrahydronaphthalene)</t>
        </is>
      </c>
      <c r="C1006" s="2" t="inlineStr"/>
      <c r="D1006" s="2" t="inlineStr">
        <is>
          <t>reductant</t>
        </is>
      </c>
      <c r="E1006" s="2" t="inlineStr">
        <is>
          <t>solvent</t>
        </is>
      </c>
      <c r="F1006" s="2" t="n"/>
      <c r="G1006" s="2" t="n">
        <v>29</v>
      </c>
      <c r="H1006" s="2" t="inlineStr">
        <is>
          <t>Tetralin (CID 8404)</t>
        </is>
      </c>
      <c r="I1006" s="2" t="inlineStr">
        <is>
          <t>Hydrogen-donor solvent for transfer reduction of the nitro group</t>
        </is>
      </c>
      <c r="J1006" s="2" t="inlineStr">
        <is>
          <t>named and classified by a chemist agent; reviewed by an independent agent</t>
        </is>
      </c>
    </row>
    <row r="1007">
      <c r="A1007" s="3" t="inlineStr">
        <is>
          <t>[O]=[Pd]</t>
        </is>
      </c>
      <c r="B1007" s="2" t="inlineStr">
        <is>
          <t>palladium(II) oxide</t>
        </is>
      </c>
      <c r="C1007" s="2" t="inlineStr">
        <is>
          <t>PdO</t>
        </is>
      </c>
      <c r="D1007" s="2" t="inlineStr">
        <is>
          <t>catalyst (metal)</t>
        </is>
      </c>
      <c r="E1007" s="2" t="inlineStr"/>
      <c r="F1007" s="2" t="n"/>
      <c r="G1007" s="2" t="n">
        <v>29</v>
      </c>
      <c r="H1007" s="2" t="inlineStr">
        <is>
          <t>Palladium monoxide (CID 5083724)</t>
        </is>
      </c>
      <c r="I1007" s="2" t="inlineStr">
        <is>
          <t>Hydrogenation catalyst for nitro reduction</t>
        </is>
      </c>
      <c r="J1007" s="2" t="inlineStr">
        <is>
          <t>named and classified by a chemist agent; reviewed by an independent agent</t>
        </is>
      </c>
    </row>
    <row r="1008">
      <c r="A1008" s="3" t="inlineStr">
        <is>
          <t>COc1ccnc2c1ccc1c(OC)ccnc12</t>
        </is>
      </c>
      <c r="B1008" s="2" t="inlineStr">
        <is>
          <t>4,7-dimethoxy-1,10-phenanthroline</t>
        </is>
      </c>
      <c r="C1008" s="2" t="inlineStr"/>
      <c r="D1008" s="2" t="inlineStr">
        <is>
          <t>ligand</t>
        </is>
      </c>
      <c r="E1008" s="2" t="inlineStr"/>
      <c r="F1008" s="2" t="n"/>
      <c r="G1008" s="2" t="n">
        <v>29</v>
      </c>
      <c r="H1008" s="2" t="inlineStr">
        <is>
          <t>4,7-Dimethoxy-1,10-phenanthroline (CID 10462298)</t>
        </is>
      </c>
      <c r="I1008" s="2" t="inlineStr">
        <is>
          <t>Ligand for Cu-catalyzed N-arylation of imidazoles</t>
        </is>
      </c>
      <c r="J1008" s="2" t="inlineStr">
        <is>
          <t>named and classified by a chemist agent; reviewed by an independent agent</t>
        </is>
      </c>
    </row>
    <row r="1009">
      <c r="A1009" s="3" t="inlineStr">
        <is>
          <t>NN1CCCC1</t>
        </is>
      </c>
      <c r="B1009" s="2" t="inlineStr">
        <is>
          <t>1-aminopyrrolidine</t>
        </is>
      </c>
      <c r="C1009" s="2" t="inlineStr"/>
      <c r="D1009" s="2" t="inlineStr">
        <is>
          <t>other</t>
        </is>
      </c>
      <c r="E1009" s="2" t="inlineStr"/>
      <c r="F1009" s="2" t="n"/>
      <c r="G1009" s="2" t="n">
        <v>29</v>
      </c>
      <c r="H1009" s="2" t="inlineStr">
        <is>
          <t>1-Pyrrolidinamine (CID 27946)</t>
        </is>
      </c>
      <c r="I1009" s="2" t="inlineStr">
        <is>
          <t>No clear role in this HCl Boc deprotection; probably mis-recorded</t>
        </is>
      </c>
      <c r="J1009" s="2" t="inlineStr">
        <is>
          <t>named and classified by a chemist agent; reviewed by an independent agent</t>
        </is>
      </c>
    </row>
    <row r="1010">
      <c r="A1010" s="3" t="inlineStr">
        <is>
          <t>c1ccc(Pc2ccccc2)cc1</t>
        </is>
      </c>
      <c r="B1010" s="2" t="inlineStr">
        <is>
          <t>diphenylphosphine</t>
        </is>
      </c>
      <c r="C1010" s="2" t="inlineStr">
        <is>
          <t>Ph2PH</t>
        </is>
      </c>
      <c r="D1010" s="2" t="inlineStr">
        <is>
          <t>nucleophile</t>
        </is>
      </c>
      <c r="E1010" s="2" t="inlineStr">
        <is>
          <t>deprotecting agent</t>
        </is>
      </c>
      <c r="F1010" s="2" t="n"/>
      <c r="G1010" s="2" t="n">
        <v>29</v>
      </c>
      <c r="H1010" s="2" t="inlineStr">
        <is>
          <t>Diphenylphosphine (CID 70017)</t>
        </is>
      </c>
      <c r="I1010" s="2" t="inlineStr">
        <is>
          <t>With n-BuLi gives LiPPh2, which cleaves aryl methyl ethers (demethylation)</t>
        </is>
      </c>
      <c r="J1010" s="2" t="inlineStr">
        <is>
          <t>named and classified by a chemist agent; reviewed by an independent agent</t>
        </is>
      </c>
    </row>
    <row r="1011">
      <c r="A1011" s="3" t="inlineStr">
        <is>
          <t>OB(O)c1ccoc1</t>
        </is>
      </c>
      <c r="B1011" s="2" t="inlineStr">
        <is>
          <t>furan-3-boronic acid</t>
        </is>
      </c>
      <c r="C1011" s="2" t="inlineStr"/>
      <c r="D1011" s="2" t="inlineStr">
        <is>
          <t>nucleophile</t>
        </is>
      </c>
      <c r="E1011" s="2" t="inlineStr"/>
      <c r="F1011" s="2" t="n"/>
      <c r="G1011" s="2" t="n">
        <v>29</v>
      </c>
      <c r="H1011" s="2" t="inlineStr">
        <is>
          <t>Furan-3-boronic acid (CID 2734358)</t>
        </is>
      </c>
      <c r="I1011" s="2" t="inlineStr">
        <is>
          <t>Suzuki coupling partner from an earlier step of the record</t>
        </is>
      </c>
      <c r="J1011" s="2" t="inlineStr">
        <is>
          <t>named and classified by a chemist agent; reviewed by an independent agent</t>
        </is>
      </c>
    </row>
    <row r="1012">
      <c r="A1012" s="3" t="inlineStr">
        <is>
          <t>Cc1ccnc(N)c1C</t>
        </is>
      </c>
      <c r="B1012" s="2" t="inlineStr">
        <is>
          <t>2-amino-3,4-dimethylpyridine</t>
        </is>
      </c>
      <c r="C1012" s="2" t="inlineStr"/>
      <c r="D1012" s="2" t="inlineStr">
        <is>
          <t>other</t>
        </is>
      </c>
      <c r="E1012" s="2" t="inlineStr"/>
      <c r="F1012" s="2" t="n"/>
      <c r="G1012" s="2" t="n">
        <v>29</v>
      </c>
      <c r="H1012" s="2" t="inlineStr">
        <is>
          <t>2-Amino-3,4-dimethylpyridine (CID 11007884)</t>
        </is>
      </c>
      <c r="I1012" s="2" t="inlineStr">
        <is>
          <t>No clear role in this mesylation; probably mis-recorded</t>
        </is>
      </c>
      <c r="J1012" s="2" t="inlineStr">
        <is>
          <t>named and classified by a chemist agent; reviewed by an independent agent</t>
        </is>
      </c>
    </row>
    <row r="1013">
      <c r="A1013" s="3" t="inlineStr">
        <is>
          <t>O=CC1CC1</t>
        </is>
      </c>
      <c r="B1013" s="2" t="inlineStr">
        <is>
          <t>cyclopropanecarboxaldehyde</t>
        </is>
      </c>
      <c r="C1013" s="2" t="inlineStr"/>
      <c r="D1013" s="2" t="inlineStr">
        <is>
          <t>electrophile / alkylating agent</t>
        </is>
      </c>
      <c r="E1013" s="2" t="inlineStr"/>
      <c r="F1013" s="2" t="n"/>
      <c r="G1013" s="2" t="n">
        <v>29</v>
      </c>
      <c r="H1013" s="2" t="inlineStr">
        <is>
          <t>Cyclopropanecarboxaldehyde (CID 123114)</t>
        </is>
      </c>
      <c r="I1013" s="2" t="inlineStr">
        <is>
          <t>Carbonyl partner for reductive amination in an earlier step</t>
        </is>
      </c>
      <c r="J1013" s="2" t="inlineStr">
        <is>
          <t>named and classified by a chemist agent; reviewed by an independent agent</t>
        </is>
      </c>
    </row>
    <row r="1014">
      <c r="A1014" s="3" t="inlineStr">
        <is>
          <t>Clc1ccc(Cl)c(Cl)c1</t>
        </is>
      </c>
      <c r="B1014" s="2" t="inlineStr">
        <is>
          <t>1,2,4-trichlorobenzene</t>
        </is>
      </c>
      <c r="C1014" s="2" t="inlineStr"/>
      <c r="D1014" s="2" t="inlineStr">
        <is>
          <t>solvent</t>
        </is>
      </c>
      <c r="E1014" s="2" t="inlineStr"/>
      <c r="F1014" s="2" t="n"/>
      <c r="G1014" s="2" t="n">
        <v>29</v>
      </c>
      <c r="H1014" s="2" t="inlineStr">
        <is>
          <t>1,2,4-Trichlorobenzene (CID 13)</t>
        </is>
      </c>
      <c r="I1014" s="2" t="inlineStr">
        <is>
          <t>High-boiling solvent for thermal SNAr</t>
        </is>
      </c>
      <c r="J1014" s="2" t="inlineStr">
        <is>
          <t>named and classified by a chemist agent; reviewed by an independent agent</t>
        </is>
      </c>
    </row>
    <row r="1015">
      <c r="A1015" s="3" t="inlineStr">
        <is>
          <t>CC(C)CN1CCN2CCN(CC(C)C)P1N(CC(C)C)CC2</t>
        </is>
      </c>
      <c r="B1015" s="2" t="inlineStr">
        <is>
          <t>2,8,9-triisobutyl-2,5,8,9-tetraaza-1-phosphabicyclo[3.3.3]undecane</t>
        </is>
      </c>
      <c r="C1015" s="2" t="inlineStr">
        <is>
          <t>Verkade base</t>
        </is>
      </c>
      <c r="D1015" s="2" t="inlineStr">
        <is>
          <t>ligand</t>
        </is>
      </c>
      <c r="E1015" s="2" t="inlineStr">
        <is>
          <t>base</t>
        </is>
      </c>
      <c r="F1015" s="2" t="n">
        <v>33</v>
      </c>
      <c r="G1015" s="2" t="n">
        <v>29</v>
      </c>
      <c r="H1015" s="2" t="inlineStr">
        <is>
          <t>2,8,9-Triisobutyl-2,5,8,9-tetraaza-1-phosphabicyclo(3.3.3)undecane (CID 4571243)</t>
        </is>
      </c>
      <c r="I1015" s="2" t="inlineStr">
        <is>
          <t>Proazaphosphatrane ligand/superbase for Pd-catalyzed amination (pKa in MeCN)</t>
        </is>
      </c>
      <c r="J1015" s="2" t="inlineStr">
        <is>
          <t>named and classified by a chemist agent; reviewed by an independent agent</t>
        </is>
      </c>
    </row>
    <row r="1016">
      <c r="A1016" s="3" t="inlineStr">
        <is>
          <t>N=C=NC1CCCCC1</t>
        </is>
      </c>
      <c r="B1016" s="2" t="inlineStr">
        <is>
          <t>N-cyclohexylcarbodiimide (polymer-supported)</t>
        </is>
      </c>
      <c r="C1016" s="2" t="inlineStr">
        <is>
          <t>PS-CDI</t>
        </is>
      </c>
      <c r="D1016" s="2" t="inlineStr">
        <is>
          <t>coupling reagent (activates an acid)</t>
        </is>
      </c>
      <c r="E1016" s="2" t="inlineStr"/>
      <c r="F1016" s="2" t="n"/>
      <c r="G1016" s="2" t="n">
        <v>29</v>
      </c>
      <c r="H1016" s="2" t="inlineStr">
        <is>
          <t>N-Cyclohexylcarbodiimide (CID 12048208)</t>
        </is>
      </c>
      <c r="I1016" s="2" t="inlineStr">
        <is>
          <t>Resin-bound carbodiimide that activates the acid with HOBt</t>
        </is>
      </c>
      <c r="J1016" s="2" t="inlineStr">
        <is>
          <t>named and classified by a chemist agent; reviewed by an independent agent</t>
        </is>
      </c>
    </row>
    <row r="1017">
      <c r="A1017" s="3" t="inlineStr">
        <is>
          <t>OCC12CC3CC(CC(C3)C1)C2</t>
        </is>
      </c>
      <c r="B1017" s="2" t="inlineStr">
        <is>
          <t>1-adamantanemethanol</t>
        </is>
      </c>
      <c r="C1017" s="2" t="inlineStr"/>
      <c r="D1017" s="2" t="inlineStr">
        <is>
          <t>other</t>
        </is>
      </c>
      <c r="E1017" s="2" t="inlineStr"/>
      <c r="F1017" s="2" t="n"/>
      <c r="G1017" s="2" t="n">
        <v>29</v>
      </c>
      <c r="H1017" s="2" t="inlineStr">
        <is>
          <t>Tricyclo(3.3.1.1'3,7)dec-1-ylmethanol (CID 64556)</t>
        </is>
      </c>
      <c r="I1017" s="2" t="inlineStr">
        <is>
          <t>Mis-recorded related compound (analog of the alcohol reactant), not a functional agent</t>
        </is>
      </c>
      <c r="J1017" s="2" t="inlineStr">
        <is>
          <t>named and classified by a chemist agent; reviewed by an independent agent</t>
        </is>
      </c>
    </row>
    <row r="1018">
      <c r="A1018" s="3" t="inlineStr">
        <is>
          <t>OCCS</t>
        </is>
      </c>
      <c r="B1018" s="2" t="inlineStr">
        <is>
          <t>2-mercaptoethanol</t>
        </is>
      </c>
      <c r="C1018" s="2" t="inlineStr"/>
      <c r="D1018" s="2" t="inlineStr">
        <is>
          <t>nucleophile</t>
        </is>
      </c>
      <c r="E1018" s="2" t="inlineStr"/>
      <c r="F1018" s="2" t="n"/>
      <c r="G1018" s="2" t="n">
        <v>29</v>
      </c>
      <c r="H1018" s="2" t="inlineStr">
        <is>
          <t>2-Mercaptoethanol (CID 1567)</t>
        </is>
      </c>
      <c r="I1018" s="2" t="inlineStr">
        <is>
          <t>Thiol nucleophile in the dithioester transesterification</t>
        </is>
      </c>
      <c r="J1018" s="2" t="inlineStr">
        <is>
          <t>named and classified by a chemist agent; reviewed by an independent agent</t>
        </is>
      </c>
    </row>
    <row r="1019">
      <c r="A1019" s="3" t="inlineStr">
        <is>
          <t>C1CN=C2NCCCN2C1</t>
        </is>
      </c>
      <c r="B1019" s="2" t="inlineStr">
        <is>
          <t>1,5,7-triazabicyclo[4.4.0]dec-5-ene</t>
        </is>
      </c>
      <c r="C1019" s="2" t="inlineStr">
        <is>
          <t>TBD</t>
        </is>
      </c>
      <c r="D1019" s="2" t="inlineStr">
        <is>
          <t>base</t>
        </is>
      </c>
      <c r="E1019" s="2" t="inlineStr"/>
      <c r="F1019" s="2" t="n">
        <v>15.2</v>
      </c>
      <c r="G1019" s="2" t="n">
        <v>29</v>
      </c>
      <c r="H1019" s="2" t="inlineStr">
        <is>
          <t>Triazabicyclodecene (CID 79873)</t>
        </is>
      </c>
      <c r="I1019" s="2" t="inlineStr">
        <is>
          <t>Strong guanidine base for N-alkylation (pKa about 26 in MeCN)</t>
        </is>
      </c>
      <c r="J1019" s="2" t="inlineStr">
        <is>
          <t>named and classified by a chemist agent; reviewed by an independent agent</t>
        </is>
      </c>
    </row>
    <row r="1020">
      <c r="A1020" s="3" t="inlineStr">
        <is>
          <t>COC(C)(OC)OC</t>
        </is>
      </c>
      <c r="B1020" s="2" t="inlineStr">
        <is>
          <t>trimethyl orthoacetate</t>
        </is>
      </c>
      <c r="C1020" s="2" t="inlineStr"/>
      <c r="D1020" s="2" t="inlineStr">
        <is>
          <t>electrophile / alkylating agent</t>
        </is>
      </c>
      <c r="E1020" s="2" t="inlineStr"/>
      <c r="F1020" s="2" t="n"/>
      <c r="G1020" s="2" t="n">
        <v>29</v>
      </c>
      <c r="H1020" s="2" t="inlineStr">
        <is>
          <t>Trimethyl orthoacetate (CID 15050)</t>
        </is>
      </c>
      <c r="I1020" s="2" t="inlineStr">
        <is>
          <t>C2 source for 2-methylbenzoxazole formation in an earlier step</t>
        </is>
      </c>
      <c r="J1020" s="2" t="inlineStr">
        <is>
          <t>named and classified by a chemist agent; reviewed by an independent agent</t>
        </is>
      </c>
    </row>
    <row r="1021">
      <c r="A1021" s="3" t="inlineStr">
        <is>
          <t>C[C@H](N)C(=O)O</t>
        </is>
      </c>
      <c r="B1021" s="2" t="inlineStr">
        <is>
          <t>L-alanine</t>
        </is>
      </c>
      <c r="C1021" s="2" t="inlineStr">
        <is>
          <t>Ala</t>
        </is>
      </c>
      <c r="D1021" s="2" t="inlineStr">
        <is>
          <t>other</t>
        </is>
      </c>
      <c r="E1021" s="2" t="inlineStr"/>
      <c r="F1021" s="2" t="n"/>
      <c r="G1021" s="2" t="n">
        <v>29</v>
      </c>
      <c r="H1021" s="2" t="inlineStr">
        <is>
          <t>L-Alanine (CID 5950)</t>
        </is>
      </c>
      <c r="I1021" s="2" t="inlineStr">
        <is>
          <t>Mis-recorded related compound (analog of a reactant/product), not a functional agent</t>
        </is>
      </c>
      <c r="J1021" s="2" t="inlineStr">
        <is>
          <t>named and classified by a chemist agent; reviewed by an independent agent</t>
        </is>
      </c>
    </row>
    <row r="1022">
      <c r="A1022" s="3" t="inlineStr">
        <is>
          <t>CCCCOB(OCCCC)OCCCC</t>
        </is>
      </c>
      <c r="B1022" s="2" t="inlineStr">
        <is>
          <t>tributyl borate</t>
        </is>
      </c>
      <c r="C1022" s="2" t="inlineStr">
        <is>
          <t>B(OBu)3</t>
        </is>
      </c>
      <c r="D1022" s="2" t="inlineStr">
        <is>
          <t>dehydrating / activating agent</t>
        </is>
      </c>
      <c r="E1022" s="2" t="inlineStr"/>
      <c r="F1022" s="2" t="n"/>
      <c r="G1022" s="2" t="n">
        <v>29</v>
      </c>
      <c r="H1022" s="2" t="inlineStr">
        <is>
          <t>Tributyl borate (CID 12712)</t>
        </is>
      </c>
      <c r="I1022" s="2" t="inlineStr">
        <is>
          <t>Water scavenger in the Pabon boron-complex aldol condensation</t>
        </is>
      </c>
      <c r="J1022" s="2" t="inlineStr">
        <is>
          <t>named and classified by a chemist agent; reviewed by an independent agent</t>
        </is>
      </c>
    </row>
    <row r="1023">
      <c r="A1023" s="3" t="inlineStr">
        <is>
          <t>O=C(Cl)c1ccccc1F</t>
        </is>
      </c>
      <c r="B1023" s="2" t="inlineStr">
        <is>
          <t>2-fluorobenzoyl chloride</t>
        </is>
      </c>
      <c r="C1023" s="2" t="inlineStr"/>
      <c r="D1023" s="2" t="inlineStr">
        <is>
          <t>electrophile / alkylating agent</t>
        </is>
      </c>
      <c r="E1023" s="2" t="inlineStr"/>
      <c r="F1023" s="2" t="n"/>
      <c r="G1023" s="2" t="n">
        <v>29</v>
      </c>
      <c r="H1023" s="2" t="inlineStr">
        <is>
          <t>2-Fluorobenzoyl chloride (CID 9808)</t>
        </is>
      </c>
      <c r="I1023" s="2" t="inlineStr">
        <is>
          <t>Acylating agent; precursor of the acyl isothiocyanate in an earlier step</t>
        </is>
      </c>
      <c r="J1023" s="2" t="inlineStr">
        <is>
          <t>named and classified by a chemist agent; reviewed by an independent agent</t>
        </is>
      </c>
    </row>
    <row r="1024">
      <c r="A1024" s="3" t="inlineStr">
        <is>
          <t>Cc1ccc(S(=O)(=O)OS(=O)(=O)c2ccc(C)cc2)cc1</t>
        </is>
      </c>
      <c r="B1024" s="2" t="inlineStr">
        <is>
          <t>p-toluenesulfonic anhydride</t>
        </is>
      </c>
      <c r="C1024" s="2" t="inlineStr">
        <is>
          <t>Ts2O</t>
        </is>
      </c>
      <c r="D1024" s="2" t="inlineStr">
        <is>
          <t>dehydrating / activating agent</t>
        </is>
      </c>
      <c r="E1024" s="2" t="inlineStr"/>
      <c r="F1024" s="2" t="n"/>
      <c r="G1024" s="2" t="n">
        <v>29</v>
      </c>
      <c r="H1024" s="2" t="inlineStr">
        <is>
          <t>Toluene-p-sulphonic anhydride (CID 77773)</t>
        </is>
      </c>
      <c r="I1024" s="2" t="inlineStr">
        <is>
          <t>Turns the alcohol into a tosylate leaving group</t>
        </is>
      </c>
      <c r="J1024" s="2" t="inlineStr">
        <is>
          <t>named and classified by a chemist agent; reviewed by an independent agent</t>
        </is>
      </c>
    </row>
    <row r="1025">
      <c r="A1025" s="3" t="inlineStr">
        <is>
          <t>O=C1C=CC(=O)O1</t>
        </is>
      </c>
      <c r="B1025" s="2" t="inlineStr">
        <is>
          <t>maleic anhydride</t>
        </is>
      </c>
      <c r="C1025" s="2" t="inlineStr"/>
      <c r="D1025" s="2" t="inlineStr">
        <is>
          <t>other</t>
        </is>
      </c>
      <c r="E1025" s="2" t="inlineStr"/>
      <c r="F1025" s="2" t="n"/>
      <c r="G1025" s="2" t="n">
        <v>29</v>
      </c>
      <c r="H1025" s="2" t="inlineStr">
        <is>
          <t>Maleic Anhydride (CID 7923)</t>
        </is>
      </c>
      <c r="I1025" s="2" t="inlineStr">
        <is>
          <t>Unclear role in this deamination; probably mis-recorded</t>
        </is>
      </c>
      <c r="J1025" s="2" t="inlineStr">
        <is>
          <t>named and classified by a chemist agent; reviewed by an independent agent</t>
        </is>
      </c>
    </row>
    <row r="1026">
      <c r="A1026" s="3" t="inlineStr">
        <is>
          <t>CC1(C)CC(=O)CC(=O)C1</t>
        </is>
      </c>
      <c r="B1026" s="2" t="inlineStr">
        <is>
          <t>dimedone (5,5-dimethylcyclohexane-1,3-dione)</t>
        </is>
      </c>
      <c r="C1026" s="2" t="inlineStr"/>
      <c r="D1026" s="2" t="inlineStr">
        <is>
          <t>additive</t>
        </is>
      </c>
      <c r="E1026" s="2" t="inlineStr">
        <is>
          <t>deprotecting agent</t>
        </is>
      </c>
      <c r="F1026" s="2" t="n"/>
      <c r="G1026" s="2" t="n">
        <v>29</v>
      </c>
      <c r="H1026" s="2" t="inlineStr">
        <is>
          <t>Dimedone (CID 31358)</t>
        </is>
      </c>
      <c r="I1026" s="2" t="inlineStr">
        <is>
          <t>Allyl scavenger for Pd-catalyzed allyl ester deprotection</t>
        </is>
      </c>
      <c r="J1026" s="2" t="inlineStr">
        <is>
          <t>named and classified by a chemist agent; reviewed by an independent agent</t>
        </is>
      </c>
    </row>
    <row r="1027">
      <c r="A1027" s="3" t="inlineStr">
        <is>
          <t>O=C1C=CC(=O)C=C1</t>
        </is>
      </c>
      <c r="B1027" s="2" t="inlineStr">
        <is>
          <t>1,4-benzoquinone</t>
        </is>
      </c>
      <c r="C1027" s="2" t="inlineStr"/>
      <c r="D1027" s="2" t="inlineStr">
        <is>
          <t>oxidant</t>
        </is>
      </c>
      <c r="E1027" s="2" t="inlineStr"/>
      <c r="F1027" s="2" t="n"/>
      <c r="G1027" s="2" t="n">
        <v>29</v>
      </c>
      <c r="H1027" s="2" t="inlineStr">
        <is>
          <t>Quinone (CID 4650)</t>
        </is>
      </c>
      <c r="I1027" s="2" t="inlineStr">
        <is>
          <t>Oxidant for benzimidazole formation from an aldehyde and a diamine</t>
        </is>
      </c>
      <c r="J1027" s="2" t="inlineStr">
        <is>
          <t>named and classified by a chemist agent; reviewed by an independent agent</t>
        </is>
      </c>
    </row>
    <row r="1028">
      <c r="A1028" s="3" t="inlineStr">
        <is>
          <t>CCCCCCCCCCCCOS(=O)(=O)[O-]</t>
        </is>
      </c>
      <c r="B1028" s="2" t="inlineStr">
        <is>
          <t>dodecyl sulfate</t>
        </is>
      </c>
      <c r="C1028" s="2" t="inlineStr">
        <is>
          <t>SDS</t>
        </is>
      </c>
      <c r="D1028" s="2" t="inlineStr">
        <is>
          <t>additive</t>
        </is>
      </c>
      <c r="E1028" s="2" t="inlineStr"/>
      <c r="F1028" s="2" t="n"/>
      <c r="G1028" s="2" t="n">
        <v>29</v>
      </c>
      <c r="H1028" s="2" t="inlineStr"/>
      <c r="I1028" s="2" t="inlineStr">
        <is>
          <t>Surfactant (from sodium dodecyl sulfate); unclear role here</t>
        </is>
      </c>
      <c r="J1028" s="2" t="inlineStr">
        <is>
          <t>named and classified by a chemist agent; reviewed by an independent agent; PubChem's title for this SMILES was wrong (Npc315034 (CID 4329331)): PubChem title is a database code (Npc315034).</t>
        </is>
      </c>
    </row>
    <row r="1029">
      <c r="A1029" s="3" t="inlineStr">
        <is>
          <t>CNCCN(C)C</t>
        </is>
      </c>
      <c r="B1029" s="2" t="inlineStr">
        <is>
          <t>N,N,N'-trimethylethylenediamine</t>
        </is>
      </c>
      <c r="C1029" s="2" t="inlineStr"/>
      <c r="D1029" s="2" t="inlineStr">
        <is>
          <t>ligand</t>
        </is>
      </c>
      <c r="E1029" s="2" t="inlineStr"/>
      <c r="F1029" s="2" t="n"/>
      <c r="G1029" s="2" t="n">
        <v>29</v>
      </c>
      <c r="H1029" s="2" t="inlineStr">
        <is>
          <t>1,2-Ethanediamine, N1,N1,N2-trimethyl- (CID 67338)</t>
        </is>
      </c>
      <c r="I1029" s="2" t="inlineStr">
        <is>
          <t>Chelating diamine additive for directed lithiation with n-BuLi</t>
        </is>
      </c>
      <c r="J1029" s="2" t="inlineStr">
        <is>
          <t>named and classified by a chemist agent; reviewed by an independent agent</t>
        </is>
      </c>
    </row>
    <row r="1030">
      <c r="A1030" s="3" t="inlineStr">
        <is>
          <t>[C-]#[C-]</t>
        </is>
      </c>
      <c r="B1030" s="2" t="inlineStr">
        <is>
          <t>acetylide (dicarbide)</t>
        </is>
      </c>
      <c r="C1030" s="2" t="inlineStr"/>
      <c r="D1030" s="2" t="inlineStr">
        <is>
          <t>other</t>
        </is>
      </c>
      <c r="E1030" s="2" t="inlineStr"/>
      <c r="F1030" s="2" t="n"/>
      <c r="G1030" s="2" t="n">
        <v>29</v>
      </c>
      <c r="H1030" s="2" t="inlineStr"/>
      <c r="I1030" s="2" t="inlineStr">
        <is>
          <t>Parsing artefact (copper acetylide) in Cu-catalyzed alkyne carboxylation</t>
        </is>
      </c>
      <c r="J1030" s="2" t="inlineStr">
        <is>
          <t>named and classified by a chemist agent; reviewed by an independent agent</t>
        </is>
      </c>
    </row>
    <row r="1031">
      <c r="A1031" s="3" t="inlineStr">
        <is>
          <t>S=C(Cl)Cl</t>
        </is>
      </c>
      <c r="B1031" s="2" t="inlineStr">
        <is>
          <t>thiophosgene</t>
        </is>
      </c>
      <c r="C1031" s="2" t="inlineStr">
        <is>
          <t>CSCl2</t>
        </is>
      </c>
      <c r="D1031" s="2" t="inlineStr">
        <is>
          <t>electrophile / alkylating agent</t>
        </is>
      </c>
      <c r="E1031" s="2" t="inlineStr"/>
      <c r="F1031" s="2" t="n"/>
      <c r="G1031" s="2" t="n">
        <v>29</v>
      </c>
      <c r="H1031" s="2" t="inlineStr">
        <is>
          <t>Thiophosgene (CID 10040)</t>
        </is>
      </c>
      <c r="I1031" s="2" t="inlineStr">
        <is>
          <t>Thiocarbonyl electrophile, probably an alternative to phosgene here</t>
        </is>
      </c>
      <c r="J1031" s="2" t="inlineStr">
        <is>
          <t>named and classified by a chemist agent; reviewed by an independent agent</t>
        </is>
      </c>
    </row>
    <row r="1032">
      <c r="A1032" s="3" t="inlineStr">
        <is>
          <t>CC(C)NC1CCCCC1</t>
        </is>
      </c>
      <c r="B1032" s="2" t="inlineStr">
        <is>
          <t>N-isopropylcyclohexylamine</t>
        </is>
      </c>
      <c r="C1032" s="2" t="inlineStr"/>
      <c r="D1032" s="2" t="inlineStr">
        <is>
          <t>base</t>
        </is>
      </c>
      <c r="E1032" s="2" t="inlineStr"/>
      <c r="F1032" s="2" t="n">
        <v>11</v>
      </c>
      <c r="G1032" s="2" t="n">
        <v>29</v>
      </c>
      <c r="H1032" s="2" t="inlineStr">
        <is>
          <t>Cyclohexylisopropylamine (CID 62386)</t>
        </is>
      </c>
      <c r="I1032" s="2" t="inlineStr">
        <is>
          <t>With n-BuLi forms LICA for ester enolate generation</t>
        </is>
      </c>
      <c r="J1032" s="2" t="inlineStr">
        <is>
          <t>named and classified by a chemist agent; reviewed by an independent agent; corrected pka_conjugate_acid (The SMILES is the neutral secondary amine, so its conjugate acid is the ammonium ion, pKa about 11 in water. The value 36 is the N-H acidity of the amine, which)</t>
        </is>
      </c>
    </row>
    <row r="1033">
      <c r="A1033" s="3" t="inlineStr">
        <is>
          <t>[CH3][Zn+]</t>
        </is>
      </c>
      <c r="B1033" s="2" t="inlineStr">
        <is>
          <t>methylzinc cation (from MeZnCl)</t>
        </is>
      </c>
      <c r="C1033" s="2" t="inlineStr">
        <is>
          <t>MeZnCl</t>
        </is>
      </c>
      <c r="D1033" s="2" t="inlineStr">
        <is>
          <t>organometallic reagent</t>
        </is>
      </c>
      <c r="E1033" s="2" t="inlineStr"/>
      <c r="F1033" s="2" t="n"/>
      <c r="G1033" s="2" t="n">
        <v>29</v>
      </c>
      <c r="H1033" s="2" t="inlineStr">
        <is>
          <t>ZINC carbanide (CID 22253433)</t>
        </is>
      </c>
      <c r="I1033" s="2" t="inlineStr">
        <is>
          <t>Negishi methylating agent for the chloropyridine</t>
        </is>
      </c>
      <c r="J1033" s="2" t="inlineStr">
        <is>
          <t>named and classified by a chemist agent; reviewed by an independent agent</t>
        </is>
      </c>
    </row>
    <row r="1034">
      <c r="A1034" s="3" t="inlineStr">
        <is>
          <t>C=[CH][Mg][Br]</t>
        </is>
      </c>
      <c r="B1034" s="2" t="inlineStr">
        <is>
          <t>vinylmagnesium bromide</t>
        </is>
      </c>
      <c r="C1034" s="2" t="inlineStr"/>
      <c r="D1034" s="2" t="inlineStr">
        <is>
          <t>organometallic reagent</t>
        </is>
      </c>
      <c r="E1034" s="2" t="inlineStr">
        <is>
          <t>nucleophile</t>
        </is>
      </c>
      <c r="F1034" s="2" t="n"/>
      <c r="G1034" s="2" t="n">
        <v>29</v>
      </c>
      <c r="H1034" s="2" t="inlineStr">
        <is>
          <t>Magnesium, bromoethenyl- (CID 74584)</t>
        </is>
      </c>
      <c r="I1034" s="2" t="inlineStr">
        <is>
          <t>Vinyl Grignard reagent that adds to C=O</t>
        </is>
      </c>
      <c r="J1034" s="2" t="inlineStr">
        <is>
          <t>named and classified by a chemist agent; reviewed by an independent agent</t>
        </is>
      </c>
    </row>
    <row r="1035">
      <c r="A1035" s="3" t="inlineStr">
        <is>
          <t>O=C([O-])CC(=O)[O-]</t>
        </is>
      </c>
      <c r="B1035" s="2" t="inlineStr">
        <is>
          <t>malonate</t>
        </is>
      </c>
      <c r="C1035" s="2" t="inlineStr"/>
      <c r="D1035" s="2" t="inlineStr">
        <is>
          <t>other</t>
        </is>
      </c>
      <c r="E1035" s="2" t="inlineStr"/>
      <c r="F1035" s="2" t="n"/>
      <c r="G1035" s="2" t="n">
        <v>28</v>
      </c>
      <c r="H1035" s="2" t="inlineStr">
        <is>
          <t>Malonate Ion (CID 9084)</t>
        </is>
      </c>
      <c r="I1035" s="2" t="inlineStr">
        <is>
          <t>Unclear role in this NaOH ester hydrolysis; probably mis-recorded</t>
        </is>
      </c>
      <c r="J1035" s="2" t="inlineStr">
        <is>
          <t>named and classified by a chemist agent; reviewed by an independent agent</t>
        </is>
      </c>
    </row>
    <row r="1036">
      <c r="A1036" s="3" t="inlineStr">
        <is>
          <t>CC(C)(C)OC(=O)CN</t>
        </is>
      </c>
      <c r="B1036" s="2" t="inlineStr">
        <is>
          <t>glycine tert-butyl ester</t>
        </is>
      </c>
      <c r="C1036" s="2" t="inlineStr">
        <is>
          <t>H-Gly-OtBu</t>
        </is>
      </c>
      <c r="D1036" s="2" t="inlineStr">
        <is>
          <t>other</t>
        </is>
      </c>
      <c r="E1036" s="2" t="inlineStr"/>
      <c r="F1036" s="2" t="n"/>
      <c r="G1036" s="2" t="n">
        <v>28</v>
      </c>
      <c r="H1036" s="2" t="inlineStr">
        <is>
          <t>Glycine tert-butyl ester (CID 151417)</t>
        </is>
      </c>
      <c r="I1036" s="2" t="inlineStr">
        <is>
          <t>Mis-recorded related compound (analog of a reactant/product), not a functional agent</t>
        </is>
      </c>
      <c r="J1036" s="2" t="inlineStr">
        <is>
          <t>named and classified by a chemist agent; reviewed by an independent agent</t>
        </is>
      </c>
    </row>
    <row r="1037">
      <c r="A1037" s="3" t="inlineStr">
        <is>
          <t>Cc1cc(C)c(Br)c(C)c1</t>
        </is>
      </c>
      <c r="B1037" s="2" t="inlineStr">
        <is>
          <t>2-bromomesitylene (2-bromo-1,3,5-trimethylbenzene)</t>
        </is>
      </c>
      <c r="C1037" s="2" t="inlineStr"/>
      <c r="D1037" s="2" t="inlineStr">
        <is>
          <t>other</t>
        </is>
      </c>
      <c r="E1037" s="2" t="inlineStr"/>
      <c r="F1037" s="2" t="n"/>
      <c r="G1037" s="2" t="n">
        <v>28</v>
      </c>
      <c r="H1037" s="2" t="inlineStr">
        <is>
          <t>2-Bromomesitylene (CID 68473)</t>
        </is>
      </c>
      <c r="I1037" s="2" t="inlineStr">
        <is>
          <t>Precursor of the mesityl unit from an earlier step</t>
        </is>
      </c>
      <c r="J1037" s="2" t="inlineStr">
        <is>
          <t>named and classified by a chemist agent; reviewed by an independent agent</t>
        </is>
      </c>
    </row>
    <row r="1038">
      <c r="A1038" s="3" t="inlineStr">
        <is>
          <t>CC(C)C(=O)Cl</t>
        </is>
      </c>
      <c r="B1038" s="2" t="inlineStr">
        <is>
          <t>isobutyryl chloride</t>
        </is>
      </c>
      <c r="C1038" s="2" t="inlineStr"/>
      <c r="D1038" s="2" t="inlineStr">
        <is>
          <t>electrophile / alkylating agent</t>
        </is>
      </c>
      <c r="E1038" s="2" t="inlineStr"/>
      <c r="F1038" s="2" t="n"/>
      <c r="G1038" s="2" t="n">
        <v>28</v>
      </c>
      <c r="H1038" s="2" t="inlineStr">
        <is>
          <t>Isobutyryl chloride (CID 62325)</t>
        </is>
      </c>
      <c r="I1038" s="2" t="inlineStr">
        <is>
          <t>Acylating agent that forms the amide</t>
        </is>
      </c>
      <c r="J1038" s="2" t="inlineStr">
        <is>
          <t>named and classified by a chemist agent; reviewed by an independent agent</t>
        </is>
      </c>
    </row>
    <row r="1039">
      <c r="A1039" s="3" t="inlineStr">
        <is>
          <t>CCCCBr</t>
        </is>
      </c>
      <c r="B1039" s="2" t="inlineStr">
        <is>
          <t>1-bromobutane</t>
        </is>
      </c>
      <c r="C1039" s="2" t="inlineStr">
        <is>
          <t>n-BuBr</t>
        </is>
      </c>
      <c r="D1039" s="2" t="inlineStr">
        <is>
          <t>electrophile / alkylating agent</t>
        </is>
      </c>
      <c r="E1039" s="2" t="inlineStr"/>
      <c r="F1039" s="2" t="n"/>
      <c r="G1039" s="2" t="n">
        <v>28</v>
      </c>
      <c r="H1039" s="2" t="inlineStr">
        <is>
          <t>Butyl bromide (CID 8002)</t>
        </is>
      </c>
      <c r="I1039" s="2" t="inlineStr">
        <is>
          <t>Alkylating agent from an earlier step of the record</t>
        </is>
      </c>
      <c r="J1039" s="2" t="inlineStr">
        <is>
          <t>named and classified by a chemist agent; reviewed by an independent agent</t>
        </is>
      </c>
    </row>
    <row r="1040">
      <c r="A1040" s="3" t="inlineStr">
        <is>
          <t>N[C@@H]1c2ccccc2C[C@@H]1O</t>
        </is>
      </c>
      <c r="B1040" s="2" t="inlineStr">
        <is>
          <t>(1R,2S)-1-amino-2-indanol</t>
        </is>
      </c>
      <c r="C1040" s="2" t="inlineStr"/>
      <c r="D1040" s="2" t="inlineStr">
        <is>
          <t>ligand</t>
        </is>
      </c>
      <c r="E1040" s="2" t="inlineStr"/>
      <c r="F1040" s="2" t="n"/>
      <c r="G1040" s="2" t="n">
        <v>28</v>
      </c>
      <c r="H1040" s="2" t="inlineStr">
        <is>
          <t>(1R,2S)-(+)-cis-1-Amino-2-indanol (CID 2725045)</t>
        </is>
      </c>
      <c r="I1040" s="2" t="inlineStr">
        <is>
          <t>Chiral amino alcohol that forms an oxazaborolidine for asymmetric ketone reduction</t>
        </is>
      </c>
      <c r="J1040" s="2" t="inlineStr">
        <is>
          <t>named and classified by a chemist agent; reviewed by an independent agent</t>
        </is>
      </c>
    </row>
    <row r="1041">
      <c r="A1041" s="3" t="inlineStr">
        <is>
          <t>CC(Cl)(Cl)Cl</t>
        </is>
      </c>
      <c r="B1041" s="2" t="inlineStr">
        <is>
          <t>1,1,1-trichloroethane</t>
        </is>
      </c>
      <c r="C1041" s="2" t="inlineStr"/>
      <c r="D1041" s="2" t="inlineStr">
        <is>
          <t>solvent</t>
        </is>
      </c>
      <c r="E1041" s="2" t="inlineStr"/>
      <c r="F1041" s="2" t="n"/>
      <c r="G1041" s="2" t="n">
        <v>28</v>
      </c>
      <c r="H1041" s="2" t="inlineStr">
        <is>
          <t>1,1,1-Trichloroethane (CID 6278)</t>
        </is>
      </c>
      <c r="I1041" s="2" t="inlineStr">
        <is>
          <t>Solvent for NBS/AIBN benzylic bromination</t>
        </is>
      </c>
      <c r="J1041" s="2" t="inlineStr">
        <is>
          <t>named and classified by a chemist agent; reviewed by an independent agent</t>
        </is>
      </c>
    </row>
    <row r="1042">
      <c r="A1042" s="3" t="inlineStr">
        <is>
          <t>CCCc1cc(CCC)c(-c2ccccc2P(C2CCCCC2)C2CCCCC2)c(CCC)c1</t>
        </is>
      </c>
      <c r="B1042" s="2" t="inlineStr">
        <is>
          <t>2-dicyclohexylphosphino-2',4',6'-tripropylbiphenyl</t>
        </is>
      </c>
      <c r="C1042" s="2" t="inlineStr"/>
      <c r="D1042" s="2" t="inlineStr">
        <is>
          <t>ligand</t>
        </is>
      </c>
      <c r="E1042" s="2" t="inlineStr"/>
      <c r="F1042" s="2" t="n"/>
      <c r="G1042" s="2" t="n">
        <v>28</v>
      </c>
      <c r="H1042" s="2" t="inlineStr">
        <is>
          <t>Dicyclohexyl(2',4',6'-tripropyl-[1,1'-biphenyl]-2-yl)phosphine (CID 21081571)</t>
        </is>
      </c>
      <c r="I1042" s="2" t="inlineStr">
        <is>
          <t>Biaryl phosphine ligand for Pd-catalyzed Suzuki coupling; probably mis-drawn XPhos</t>
        </is>
      </c>
      <c r="J1042" s="2" t="inlineStr">
        <is>
          <t>named and classified by a chemist agent; reviewed by an independent agent; corrected abbreviation (This is not a recognised abbreviation. XPhos has 2',4',6'-triisopropyl groups, while this SMILES has tri-n-propyl groups. Labelling it 'XPhos' says it is XPhos )</t>
        </is>
      </c>
    </row>
    <row r="1043">
      <c r="A1043" s="3" t="inlineStr">
        <is>
          <t>Cc1ccccc1S(=O)(=O)Cl</t>
        </is>
      </c>
      <c r="B1043" s="2" t="inlineStr">
        <is>
          <t>2-toluenesulfonyl chloride</t>
        </is>
      </c>
      <c r="C1043" s="2" t="inlineStr"/>
      <c r="D1043" s="2" t="inlineStr">
        <is>
          <t>acid</t>
        </is>
      </c>
      <c r="E1043" s="2" t="inlineStr"/>
      <c r="F1043" s="2" t="n"/>
      <c r="G1043" s="2" t="n">
        <v>28</v>
      </c>
      <c r="H1043" s="2" t="inlineStr">
        <is>
          <t>o-Toluenesulfonyl chloride (CID 8623)</t>
        </is>
      </c>
      <c r="I1043" s="2" t="inlineStr">
        <is>
          <t>Hydrolyzes to sulfonic acid/HCl, the acid catalyst for ketal hydrolysis</t>
        </is>
      </c>
      <c r="J1043" s="2" t="inlineStr">
        <is>
          <t>named and classified by a chemist agent; reviewed by an independent agent</t>
        </is>
      </c>
    </row>
    <row r="1044">
      <c r="A1044" s="3" t="inlineStr">
        <is>
          <t>CC(C)(C)P(c1ccc[cH-]1)C(C)(C)C</t>
        </is>
      </c>
      <c r="B1044" s="2" t="inlineStr">
        <is>
          <t>di-tert-butylphosphinocyclopentadienide (dtbpf half)</t>
        </is>
      </c>
      <c r="C1044" s="2" t="inlineStr">
        <is>
          <t>dtbpf</t>
        </is>
      </c>
      <c r="D1044" s="2" t="inlineStr">
        <is>
          <t>ligand</t>
        </is>
      </c>
      <c r="E1044" s="2" t="inlineStr"/>
      <c r="F1044" s="2" t="n"/>
      <c r="G1044" s="2" t="n">
        <v>28</v>
      </c>
      <c r="H1044" s="2" t="inlineStr"/>
      <c r="I1044" s="2" t="inlineStr">
        <is>
          <t>Half of the dtbpf ligand of Pd(dtbpf)Cl2 used for Suzuki coupling</t>
        </is>
      </c>
      <c r="J1044" s="2" t="inlineStr">
        <is>
          <t>named and classified by a chemist agent; reviewed by an independent agent; PubChem's title for this SMILES was wrong (Ditert-butyl(cyclopenta-1,3-dien-1-yl)phosphane (CID 11984908)): SMILES is the aromatic C5H4- anion; PubChem returned the neutral cyclopentadienylphosphane.</t>
        </is>
      </c>
    </row>
    <row r="1045">
      <c r="A1045" s="3" t="inlineStr">
        <is>
          <t>C=CC=O</t>
        </is>
      </c>
      <c r="B1045" s="2" t="inlineStr">
        <is>
          <t>acrolein</t>
        </is>
      </c>
      <c r="C1045" s="2" t="inlineStr"/>
      <c r="D1045" s="2" t="inlineStr">
        <is>
          <t>other</t>
        </is>
      </c>
      <c r="E1045" s="2" t="inlineStr"/>
      <c r="F1045" s="2" t="n"/>
      <c r="G1045" s="2" t="n">
        <v>28</v>
      </c>
      <c r="H1045" s="2" t="inlineStr">
        <is>
          <t>Acrolein (CID 7847)</t>
        </is>
      </c>
      <c r="I1045" s="2" t="inlineStr">
        <is>
          <t>Unclear role in this TBAF detosylation; probably mis-recorded</t>
        </is>
      </c>
      <c r="J1045" s="2" t="inlineStr">
        <is>
          <t>named and classified by a chemist agent; reviewed by an independent agent</t>
        </is>
      </c>
    </row>
    <row r="1046">
      <c r="A1046" s="3" t="inlineStr">
        <is>
          <t>[N-]=O</t>
        </is>
      </c>
      <c r="B1046" s="2" t="inlineStr">
        <is>
          <t>nitroxyl anion</t>
        </is>
      </c>
      <c r="C1046" s="2" t="inlineStr">
        <is>
          <t>NO-</t>
        </is>
      </c>
      <c r="D1046" s="2" t="inlineStr">
        <is>
          <t>oxidant</t>
        </is>
      </c>
      <c r="E1046" s="2" t="inlineStr"/>
      <c r="F1046" s="2" t="n"/>
      <c r="G1046" s="2" t="n">
        <v>28</v>
      </c>
      <c r="H1046" s="2" t="inlineStr">
        <is>
          <t>Nitrate(1-), oxo- (CID 3001380)</t>
        </is>
      </c>
      <c r="I1046" s="2" t="inlineStr">
        <is>
          <t>Probably a fragment of a nitroxyl radical oxidant (TEMPO-type) for alcohol-to-ketone oxidation</t>
        </is>
      </c>
      <c r="J1046" s="2" t="inlineStr">
        <is>
          <t>named and classified by a chemist agent; reviewed by an independent agent</t>
        </is>
      </c>
    </row>
    <row r="1047">
      <c r="A1047" s="3" t="inlineStr">
        <is>
          <t>CC(C)(C)N=P(N1CCCC1)(N1CCCC1)N1CCCC1</t>
        </is>
      </c>
      <c r="B1047" s="2" t="inlineStr">
        <is>
          <t>tert-butylimino-tri(pyrrolidino)phosphorane</t>
        </is>
      </c>
      <c r="C1047" s="2" t="inlineStr">
        <is>
          <t>BTPP</t>
        </is>
      </c>
      <c r="D1047" s="2" t="inlineStr">
        <is>
          <t>base</t>
        </is>
      </c>
      <c r="E1047" s="2" t="inlineStr"/>
      <c r="F1047" s="2" t="n">
        <v>28.4</v>
      </c>
      <c r="G1047" s="2" t="n">
        <v>28</v>
      </c>
      <c r="H1047" s="2" t="inlineStr">
        <is>
          <t>tert-Butylimino-tri(pyrrolidino)phosphorane (CID 3856267)</t>
        </is>
      </c>
      <c r="I1047" s="2" t="inlineStr">
        <is>
          <t>Phosphazene superbase (pKa in MeCN)</t>
        </is>
      </c>
      <c r="J1047" s="2" t="inlineStr">
        <is>
          <t>named and classified by a chemist agent; reviewed by an independent agent</t>
        </is>
      </c>
    </row>
    <row r="1048">
      <c r="A1048" s="3" t="inlineStr">
        <is>
          <t>CC[Si](Cl)(CC)CC</t>
        </is>
      </c>
      <c r="B1048" s="2" t="inlineStr">
        <is>
          <t>chlorotriethylsilane</t>
        </is>
      </c>
      <c r="C1048" s="2" t="inlineStr">
        <is>
          <t>TESCl</t>
        </is>
      </c>
      <c r="D1048" s="2" t="inlineStr">
        <is>
          <t>protecting-group reagent</t>
        </is>
      </c>
      <c r="E1048" s="2" t="inlineStr"/>
      <c r="F1048" s="2" t="n"/>
      <c r="G1048" s="2" t="n">
        <v>28</v>
      </c>
      <c r="H1048" s="2" t="inlineStr">
        <is>
          <t>Chlorotriethylsilane (CID 13819)</t>
        </is>
      </c>
      <c r="I1048" s="2" t="inlineStr">
        <is>
          <t>Silylates the hydroxyl (TES protection)</t>
        </is>
      </c>
      <c r="J1048" s="2" t="inlineStr">
        <is>
          <t>named and classified by a chemist agent; reviewed by an independent agent</t>
        </is>
      </c>
    </row>
    <row r="1049">
      <c r="A1049" s="3" t="inlineStr">
        <is>
          <t>[O]N(S(=O)(=O)[O-])S(=O)(=O)[O-]</t>
        </is>
      </c>
      <c r="B1049" s="2" t="inlineStr">
        <is>
          <t>nitrosodisulfonate (Fremy's salt)</t>
        </is>
      </c>
      <c r="C1049" s="2" t="inlineStr"/>
      <c r="D1049" s="2" t="inlineStr">
        <is>
          <t>oxidant</t>
        </is>
      </c>
      <c r="E1049" s="2" t="inlineStr"/>
      <c r="F1049" s="2" t="n"/>
      <c r="G1049" s="2" t="n">
        <v>28</v>
      </c>
      <c r="H1049" s="2" t="inlineStr"/>
      <c r="I1049" s="2" t="inlineStr">
        <is>
          <t>Radical oxidant that dehydrogenates the amine to the imine</t>
        </is>
      </c>
      <c r="J1049" s="2" t="inlineStr">
        <is>
          <t>named and classified by a chemist agent; reviewed by an independent agent; PubChem's title for this SMILES was wrong (N-hydroxy-N-sulfonatosulfamate (CID 102048685)): SMILES has an N-O radical; PubChem title is the N-hydroxy (closed-shell) species.</t>
        </is>
      </c>
    </row>
    <row r="1050">
      <c r="A1050" s="3" t="inlineStr">
        <is>
          <t>N[C@H]1CCC[C@@H]1Nc1nc2ccc(F)cc2s1</t>
        </is>
      </c>
      <c r="B1050" s="2" t="inlineStr">
        <is>
          <t>(1S,2S)-N1-(6-fluorobenzothiazol-2-yl)cyclopentane-1,2-diamine</t>
        </is>
      </c>
      <c r="C1050" s="2" t="inlineStr"/>
      <c r="D1050" s="2" t="inlineStr">
        <is>
          <t>other</t>
        </is>
      </c>
      <c r="E1050" s="2" t="inlineStr"/>
      <c r="F1050" s="2" t="n"/>
      <c r="G1050" s="2" t="n">
        <v>28</v>
      </c>
      <c r="H1050" s="2" t="inlineStr">
        <is>
          <t>trans-(1S,2S)-1-N-(6-fluoro-1,3-benzothiazol-2-yl)cyclopentane-1,2-diamine (CID 118024704)</t>
        </is>
      </c>
      <c r="I1050" s="2" t="inlineStr">
        <is>
          <t>Mis-recorded related compound (analog of a reactant/product), not a functional agent</t>
        </is>
      </c>
      <c r="J1050" s="2" t="inlineStr">
        <is>
          <t>named and classified by a chemist agent; reviewed by an independent agent</t>
        </is>
      </c>
    </row>
    <row r="1051">
      <c r="A1051" s="3" t="inlineStr">
        <is>
          <t>[Br][Ni][Br]</t>
        </is>
      </c>
      <c r="B1051" s="2" t="inlineStr">
        <is>
          <t>nickel(II) bromide</t>
        </is>
      </c>
      <c r="C1051" s="2" t="inlineStr">
        <is>
          <t>NiBr2</t>
        </is>
      </c>
      <c r="D1051" s="2" t="inlineStr">
        <is>
          <t>catalyst (metal)</t>
        </is>
      </c>
      <c r="E1051" s="2" t="inlineStr"/>
      <c r="F1051" s="2" t="n"/>
      <c r="G1051" s="2" t="n">
        <v>27</v>
      </c>
      <c r="H1051" s="2" t="inlineStr">
        <is>
          <t>Nickel(II) bromide (CID 278492)</t>
        </is>
      </c>
      <c r="I1051" s="2" t="inlineStr">
        <is>
          <t>With NaBH4 forms nickel boride for nitro reduction</t>
        </is>
      </c>
      <c r="J1051" s="2" t="inlineStr">
        <is>
          <t>named and classified by a chemist agent; reviewed by an independent agent</t>
        </is>
      </c>
    </row>
    <row r="1052">
      <c r="A1052" s="3" t="inlineStr">
        <is>
          <t>O=C(O)c1ccc([N+](=O)[O-])cc1</t>
        </is>
      </c>
      <c r="B1052" s="2" t="inlineStr">
        <is>
          <t>4-nitrobenzoic acid</t>
        </is>
      </c>
      <c r="C1052" s="2" t="inlineStr"/>
      <c r="D1052" s="2" t="inlineStr">
        <is>
          <t>other</t>
        </is>
      </c>
      <c r="E1052" s="2" t="inlineStr"/>
      <c r="F1052" s="2" t="n"/>
      <c r="G1052" s="2" t="n">
        <v>27</v>
      </c>
      <c r="H1052" s="2" t="inlineStr">
        <is>
          <t>4-Nitrobenzoic Acid (CID 6108)</t>
        </is>
      </c>
      <c r="I1052" s="2" t="inlineStr">
        <is>
          <t>Carried-over acid precursor of the amide; not active in this SnCl2 nitro reduction.</t>
        </is>
      </c>
      <c r="J1052" s="2" t="inlineStr">
        <is>
          <t>named and classified by a chemist agent; reviewed by an independent agent</t>
        </is>
      </c>
    </row>
    <row r="1053">
      <c r="A1053" s="3" t="inlineStr">
        <is>
          <t>O=S(=O)([O-])S(=O)(=O)[O-]</t>
        </is>
      </c>
      <c r="B1053" s="2" t="inlineStr">
        <is>
          <t>dithionate ion</t>
        </is>
      </c>
      <c r="C1053" s="2" t="inlineStr"/>
      <c r="D1053" s="2" t="inlineStr">
        <is>
          <t>reductant</t>
        </is>
      </c>
      <c r="E1053" s="2" t="inlineStr"/>
      <c r="F1053" s="2" t="n"/>
      <c r="G1053" s="2" t="n">
        <v>27</v>
      </c>
      <c r="H1053" s="2" t="inlineStr">
        <is>
          <t>Dithionate (CID 3082075)</t>
        </is>
      </c>
      <c r="I1053" s="2" t="inlineStr">
        <is>
          <t>S2O6(2-) is not reducing; almost certainly a mis-entry for dithionite S2O4(2-) (Na2S2O4), the actual nitro reductant here.</t>
        </is>
      </c>
      <c r="J1053" s="2" t="inlineStr">
        <is>
          <t>named and classified by a chemist agent; reviewed by an independent agent</t>
        </is>
      </c>
    </row>
    <row r="1054">
      <c r="A1054" s="3" t="inlineStr">
        <is>
          <t>Cc1ccc2c(c1)-c1cccc(c1)-c1nc3cc(C)c([C@H](OC(C)(C)C)C(=O)O)c(n3c1Cl)N1CCC(C)(CC1)OCCCC[C@H](C)O2</t>
        </is>
      </c>
      <c r="B1054" s="2" t="inlineStr">
        <is>
          <t>(2S)-2-(tert-butoxy)-2-[(22S)-8-chloro-4,17,22,28-tetramethyl-21,27-dioxa-1,7,34-triazahexacyclo[26.2.2.1^6,9.1^10,14.0^2,7.0^15,20]tetratriaconta-2,4,6(34),8,10(33),11,13,15(20),16,18-decaen-3-yl]acetic acid</t>
        </is>
      </c>
      <c r="C1054" s="2" t="inlineStr"/>
      <c r="D1054" s="2" t="inlineStr">
        <is>
          <t>other</t>
        </is>
      </c>
      <c r="E1054" s="2" t="inlineStr"/>
      <c r="F1054" s="2" t="n"/>
      <c r="G1054" s="2" t="n">
        <v>27</v>
      </c>
      <c r="H1054" s="2" t="inlineStr">
        <is>
          <t>(2S)-2-(tert-Butoxy)-2-[(22S)-8-chloro-4,17,22,28-tetramethyl-21,27-dioxa-1,7,34-triazahexacyclo[26.2.2.16,9.110,14.02,7.015,20]tetratriaconta-2,4,6(34),8,10(33),11,13,15(20),16,18-decaen-3-yl]acetic acid (CID 118332041)</t>
        </is>
      </c>
      <c r="I1054" s="2" t="inlineStr">
        <is>
          <t>Close analog/precursor of the substrate or product recorded among the agents (patent data artifact); no reagent role.</t>
        </is>
      </c>
      <c r="J1054" s="2" t="inlineStr">
        <is>
          <t>named and classified by a chemist agent; reviewed by an independent agent; name corrected after comparing with PubChem (was: macrocyclic tert-butoxy acetic acid (product analog))</t>
        </is>
      </c>
    </row>
    <row r="1055">
      <c r="A1055" s="3" t="inlineStr">
        <is>
          <t>BrC1CC1</t>
        </is>
      </c>
      <c r="B1055" s="2" t="inlineStr">
        <is>
          <t>bromocyclopropane</t>
        </is>
      </c>
      <c r="C1055" s="2" t="inlineStr">
        <is>
          <t>cPrBr</t>
        </is>
      </c>
      <c r="D1055" s="2" t="inlineStr">
        <is>
          <t>electrophile / alkylating agent</t>
        </is>
      </c>
      <c r="E1055" s="2" t="inlineStr"/>
      <c r="F1055" s="2" t="n"/>
      <c r="G1055" s="2" t="n">
        <v>27</v>
      </c>
      <c r="H1055" s="2" t="inlineStr">
        <is>
          <t>Bromocyclopropane (CID 78037)</t>
        </is>
      </c>
      <c r="I1055" s="2" t="inlineStr">
        <is>
          <t>Alkylating agent from the preceding O-cyclopropylation (K2CO3/KI/DMF); not needed for the ester hydrolysis.</t>
        </is>
      </c>
      <c r="J1055" s="2" t="inlineStr">
        <is>
          <t>named and classified by a chemist agent; reviewed by an independent agent</t>
        </is>
      </c>
    </row>
    <row r="1056">
      <c r="A1056" s="3" t="inlineStr">
        <is>
          <t>ClBr</t>
        </is>
      </c>
      <c r="B1056" s="2" t="inlineStr">
        <is>
          <t>bromine monochloride</t>
        </is>
      </c>
      <c r="C1056" s="2" t="inlineStr">
        <is>
          <t>BrCl</t>
        </is>
      </c>
      <c r="D1056" s="2" t="inlineStr">
        <is>
          <t>halogenating agent</t>
        </is>
      </c>
      <c r="E1056" s="2" t="inlineStr"/>
      <c r="F1056" s="2" t="n"/>
      <c r="G1056" s="2" t="n">
        <v>27</v>
      </c>
      <c r="H1056" s="2" t="inlineStr">
        <is>
          <t>BROMINE CHLORIDE (BrCl) (CID 61697)</t>
        </is>
      </c>
      <c r="I1056" s="2" t="inlineStr">
        <is>
          <t>Interhalogen electrophilic brominating agent; no role in this TFA Boc removal, likely a parsing artifact.</t>
        </is>
      </c>
      <c r="J1056" s="2" t="inlineStr">
        <is>
          <t>named and classified by a chemist agent; reviewed by an independent agent</t>
        </is>
      </c>
    </row>
    <row r="1057">
      <c r="A1057" s="3" t="inlineStr">
        <is>
          <t>CN(C)Cc1cc(CN(C)C)c(O)c(CN(C)C)c1</t>
        </is>
      </c>
      <c r="B1057" s="2" t="inlineStr">
        <is>
          <t>2,4,6-tris(dimethylaminomethyl)phenol</t>
        </is>
      </c>
      <c r="C1057" s="2" t="inlineStr">
        <is>
          <t>DMP-30</t>
        </is>
      </c>
      <c r="D1057" s="2" t="inlineStr">
        <is>
          <t>base</t>
        </is>
      </c>
      <c r="E1057" s="2" t="inlineStr"/>
      <c r="F1057" s="2" t="n">
        <v>9.5</v>
      </c>
      <c r="G1057" s="2" t="n">
        <v>27</v>
      </c>
      <c r="H1057" s="2" t="inlineStr">
        <is>
          <t>2,4,6-Tris((dimethylamino)methyl)phenol (CID 7026)</t>
        </is>
      </c>
      <c r="I1057" s="2" t="inlineStr">
        <is>
          <t>Tertiary amine base/scavenger (e.g. for excess alkyl bromide) alongside Cs2CO3 in phenol O-alkylation.</t>
        </is>
      </c>
      <c r="J1057" s="2" t="inlineStr">
        <is>
          <t>named and classified by a chemist agent; reviewed by an independent agent</t>
        </is>
      </c>
    </row>
    <row r="1058">
      <c r="A1058" s="3" t="inlineStr">
        <is>
          <t>On1nnc2ccc(Cl)cc21</t>
        </is>
      </c>
      <c r="B1058" s="2" t="inlineStr">
        <is>
          <t>6-chloro-1-hydroxybenzotriazole</t>
        </is>
      </c>
      <c r="C1058" s="2" t="inlineStr">
        <is>
          <t>6-Cl-HOBt</t>
        </is>
      </c>
      <c r="D1058" s="2" t="inlineStr">
        <is>
          <t>additive</t>
        </is>
      </c>
      <c r="E1058" s="2" t="inlineStr">
        <is>
          <t>coupling reagent (activates an acid)</t>
        </is>
      </c>
      <c r="F1058" s="2" t="n"/>
      <c r="G1058" s="2" t="n">
        <v>27</v>
      </c>
      <c r="H1058" s="2" t="inlineStr">
        <is>
          <t>6-Chloro-1-hydroxy-1H-benzotriazole (CID 232711)</t>
        </is>
      </c>
      <c r="I1058" s="2" t="inlineStr">
        <is>
          <t>Coupling additive with DIC: forms an active ester and suppresses racemization.</t>
        </is>
      </c>
      <c r="J1058" s="2" t="inlineStr">
        <is>
          <t>named and classified by a chemist agent; reviewed by an independent agent</t>
        </is>
      </c>
    </row>
    <row r="1059">
      <c r="A1059" s="3" t="inlineStr">
        <is>
          <t>CCOC(=O)C(C)(C)Sc1cnc(N)s1</t>
        </is>
      </c>
      <c r="B1059" s="2" t="inlineStr">
        <is>
          <t>ethyl 2-[(2-aminothiazol-5-yl)thio]-2-methylpropanoate</t>
        </is>
      </c>
      <c r="C1059" s="2" t="inlineStr"/>
      <c r="D1059" s="2" t="inlineStr">
        <is>
          <t>other</t>
        </is>
      </c>
      <c r="E1059" s="2" t="inlineStr"/>
      <c r="F1059" s="2" t="n"/>
      <c r="G1059" s="2" t="n">
        <v>27</v>
      </c>
      <c r="H1059" s="2" t="inlineStr">
        <is>
          <t>Ethyl 2-[(2-amino-1,3-thiazol-5-yl)sulfanyl]-2-methylpropanoate (CID 57481427)</t>
        </is>
      </c>
      <c r="I1059" s="2" t="inlineStr">
        <is>
          <t>Close analog/precursor of the substrate or product recorded among the agents (patent data artifact); no reagent role.</t>
        </is>
      </c>
      <c r="J1059" s="2" t="inlineStr">
        <is>
          <t>named and classified by a chemist agent; reviewed by an independent agent</t>
        </is>
      </c>
    </row>
    <row r="1060">
      <c r="A1060" s="3" t="inlineStr">
        <is>
          <t>O=C=NS(=O)(=O)Cl</t>
        </is>
      </c>
      <c r="B1060" s="2" t="inlineStr">
        <is>
          <t>chlorosulfonyl isocyanate</t>
        </is>
      </c>
      <c r="C1060" s="2" t="inlineStr">
        <is>
          <t>CSI</t>
        </is>
      </c>
      <c r="D1060" s="2" t="inlineStr">
        <is>
          <t>electrophile / alkylating agent</t>
        </is>
      </c>
      <c r="E1060" s="2" t="inlineStr"/>
      <c r="F1060" s="2" t="n"/>
      <c r="G1060" s="2" t="n">
        <v>27</v>
      </c>
      <c r="H1060" s="2" t="inlineStr">
        <is>
          <t>Chlorosulfonyl isocyanate (CID 70918)</t>
        </is>
      </c>
      <c r="I1060" s="2" t="inlineStr">
        <is>
          <t>Very reactive isocyanate (carbamates, beta-lactams, RCHO to RCN with DMF); no evident role in this TBS removal.</t>
        </is>
      </c>
      <c r="J1060" s="2" t="inlineStr">
        <is>
          <t>named and classified by a chemist agent; reviewed by an independent agent</t>
        </is>
      </c>
    </row>
    <row r="1061">
      <c r="A1061" s="3" t="inlineStr">
        <is>
          <t>O=B[O-]</t>
        </is>
      </c>
      <c r="B1061" s="2" t="inlineStr">
        <is>
          <t>metaborate ion</t>
        </is>
      </c>
      <c r="C1061" s="2" t="inlineStr"/>
      <c r="D1061" s="2" t="inlineStr">
        <is>
          <t>base</t>
        </is>
      </c>
      <c r="E1061" s="2" t="inlineStr"/>
      <c r="F1061" s="2" t="n">
        <v>9.199999999999999</v>
      </c>
      <c r="G1061" s="2" t="n">
        <v>27</v>
      </c>
      <c r="H1061" s="2" t="inlineStr">
        <is>
          <t>Borate (BO21-) (CID 3014963)</t>
        </is>
      </c>
      <c r="I1061" s="2" t="inlineStr">
        <is>
          <t>From sodium metaborate (NaBO2), a mild base that activates the boronic acid in Suzuki coupling.</t>
        </is>
      </c>
      <c r="J1061" s="2" t="inlineStr">
        <is>
          <t>named and classified by a chemist agent; reviewed by an independent agent</t>
        </is>
      </c>
    </row>
    <row r="1062">
      <c r="A1062" s="3" t="inlineStr">
        <is>
          <t>O=C1CCC(=O)N1</t>
        </is>
      </c>
      <c r="B1062" s="2" t="inlineStr">
        <is>
          <t>succinimide</t>
        </is>
      </c>
      <c r="C1062" s="2" t="inlineStr"/>
      <c r="D1062" s="2" t="inlineStr">
        <is>
          <t>other</t>
        </is>
      </c>
      <c r="E1062" s="2" t="inlineStr">
        <is>
          <t>additive</t>
        </is>
      </c>
      <c r="F1062" s="2" t="n"/>
      <c r="G1062" s="2" t="n">
        <v>27</v>
      </c>
      <c r="H1062" s="2" t="inlineStr">
        <is>
          <t>Succinimide (CID 11439)</t>
        </is>
      </c>
      <c r="I1062" s="2" t="inlineStr">
        <is>
          <t>Probably a mis-entry for N-hydroxysuccinimide (NHS active-ester additive) or the by-product of NHS-ester aminolysis.</t>
        </is>
      </c>
      <c r="J1062" s="2" t="inlineStr">
        <is>
          <t>named and classified by a chemist agent; reviewed by an independent agent</t>
        </is>
      </c>
    </row>
    <row r="1063">
      <c r="A1063" s="3" t="inlineStr">
        <is>
          <t>Cc1cccnc1</t>
        </is>
      </c>
      <c r="B1063" s="2" t="inlineStr">
        <is>
          <t>3-methylpyridine</t>
        </is>
      </c>
      <c r="C1063" s="2" t="inlineStr">
        <is>
          <t>3-picoline</t>
        </is>
      </c>
      <c r="D1063" s="2" t="inlineStr">
        <is>
          <t>solvent</t>
        </is>
      </c>
      <c r="E1063" s="2" t="inlineStr">
        <is>
          <t>base</t>
        </is>
      </c>
      <c r="F1063" s="2" t="n">
        <v>5.7</v>
      </c>
      <c r="G1063" s="2" t="n">
        <v>27</v>
      </c>
      <c r="H1063" s="2" t="inlineStr">
        <is>
          <t>3-Methylpyridine (CID 7970)</t>
        </is>
      </c>
      <c r="I1063" s="2" t="inlineStr">
        <is>
          <t>High-boiling basic solvent for SNAr amination; also scavenges the HCl formed.</t>
        </is>
      </c>
      <c r="J1063" s="2" t="inlineStr">
        <is>
          <t>named and classified by a chemist agent; reviewed by an independent agent</t>
        </is>
      </c>
    </row>
    <row r="1064">
      <c r="A1064" s="3" t="inlineStr">
        <is>
          <t>COP(=O)(OC)OC</t>
        </is>
      </c>
      <c r="B1064" s="2" t="inlineStr">
        <is>
          <t>trimethyl phosphate</t>
        </is>
      </c>
      <c r="C1064" s="2" t="inlineStr">
        <is>
          <t>TMP</t>
        </is>
      </c>
      <c r="D1064" s="2" t="inlineStr">
        <is>
          <t>solvent</t>
        </is>
      </c>
      <c r="E1064" s="2" t="inlineStr"/>
      <c r="F1064" s="2" t="n"/>
      <c r="G1064" s="2" t="n">
        <v>27</v>
      </c>
      <c r="H1064" s="2" t="inlineStr">
        <is>
          <t>Trimethyl Phosphate (CID 10541)</t>
        </is>
      </c>
      <c r="I1064" s="2" t="inlineStr">
        <is>
          <t>Polar aprotic solvent for electrophilic aromatic bromination with Br2.</t>
        </is>
      </c>
      <c r="J1064" s="2" t="inlineStr">
        <is>
          <t>named and classified by a chemist agent; reviewed by an independent agent</t>
        </is>
      </c>
    </row>
    <row r="1065">
      <c r="A1065" s="3" t="inlineStr">
        <is>
          <t>CC(=O)N[Si](C)(C)C</t>
        </is>
      </c>
      <c r="B1065" s="2" t="inlineStr">
        <is>
          <t>N-(trimethylsilyl)acetamide</t>
        </is>
      </c>
      <c r="C1065" s="2" t="inlineStr">
        <is>
          <t>MSA</t>
        </is>
      </c>
      <c r="D1065" s="2" t="inlineStr">
        <is>
          <t>protecting-group reagent</t>
        </is>
      </c>
      <c r="E1065" s="2" t="inlineStr"/>
      <c r="F1065" s="2" t="n"/>
      <c r="G1065" s="2" t="n">
        <v>27</v>
      </c>
      <c r="H1065" s="2" t="inlineStr">
        <is>
          <t>Acetamide, N-(trimethylsilyl)- (CID 25989)</t>
        </is>
      </c>
      <c r="I1065" s="2" t="inlineStr">
        <is>
          <t>Transiently silylates the cephem amine/acid in situ to solubilize and protect it during acylation.</t>
        </is>
      </c>
      <c r="J1065" s="2" t="inlineStr">
        <is>
          <t>named and classified by a chemist agent; reviewed by an independent agent</t>
        </is>
      </c>
    </row>
    <row r="1066">
      <c r="A1066" s="3" t="inlineStr">
        <is>
          <t>N#C[S-]</t>
        </is>
      </c>
      <c r="B1066" s="2" t="inlineStr">
        <is>
          <t>thiocyanate ion</t>
        </is>
      </c>
      <c r="C1066" s="2" t="inlineStr">
        <is>
          <t>SCN-</t>
        </is>
      </c>
      <c r="D1066" s="2" t="inlineStr">
        <is>
          <t>nucleophile</t>
        </is>
      </c>
      <c r="E1066" s="2" t="inlineStr"/>
      <c r="F1066" s="2" t="n"/>
      <c r="G1066" s="2" t="n">
        <v>27</v>
      </c>
      <c r="H1066" s="2" t="inlineStr">
        <is>
          <t>Thiocyanate (CID 9322)</t>
        </is>
      </c>
      <c r="I1066" s="2" t="inlineStr">
        <is>
          <t>From NH4SCN; reacts with benzoyl chloride to give benzoyl isothiocyanate, then thiourea with the amine.</t>
        </is>
      </c>
      <c r="J1066" s="2" t="inlineStr">
        <is>
          <t>named and classified by a chemist agent; reviewed by an independent agent</t>
        </is>
      </c>
    </row>
    <row r="1067">
      <c r="A1067" s="3" t="inlineStr">
        <is>
          <t>N[C@H]1CCCC[C@@H]1N</t>
        </is>
      </c>
      <c r="B1067" s="2" t="inlineStr">
        <is>
          <t>(1S,2S)-cyclohexane-1,2-diamine</t>
        </is>
      </c>
      <c r="C1067" s="2" t="inlineStr">
        <is>
          <t>DACH</t>
        </is>
      </c>
      <c r="D1067" s="2" t="inlineStr">
        <is>
          <t>ligand</t>
        </is>
      </c>
      <c r="E1067" s="2" t="inlineStr"/>
      <c r="F1067" s="2" t="n"/>
      <c r="G1067" s="2" t="n">
        <v>27</v>
      </c>
      <c r="H1067" s="2" t="inlineStr">
        <is>
          <t>1,2-Diaminocyclohexane, (+)- (CID 479307)</t>
        </is>
      </c>
      <c r="I1067" s="2" t="inlineStr">
        <is>
          <t>Diamine ligand for CuI-catalyzed Ullmann-Goldberg N-arylation of pyrazole.</t>
        </is>
      </c>
      <c r="J1067" s="2" t="inlineStr">
        <is>
          <t>named and classified by a chemist agent; reviewed by an independent agent</t>
        </is>
      </c>
    </row>
    <row r="1068">
      <c r="A1068" s="3" t="inlineStr">
        <is>
          <t>Cc1noc2cc3c(cc12)C1(CO3)C(=O)Nc2ccccc21</t>
        </is>
      </c>
      <c r="B1068" s="2" t="inlineStr">
        <is>
          <t>3-methylspiro[furo[3,2-f][1,2]benzisoxazole-5,3'-indol]-2'(1H)-one</t>
        </is>
      </c>
      <c r="C1068" s="2" t="inlineStr"/>
      <c r="D1068" s="2" t="inlineStr">
        <is>
          <t>other</t>
        </is>
      </c>
      <c r="E1068" s="2" t="inlineStr"/>
      <c r="F1068" s="2" t="n"/>
      <c r="G1068" s="2" t="n">
        <v>27</v>
      </c>
      <c r="H1068" s="2" t="inlineStr">
        <is>
          <t>3-methylspiro[furo[3,2-f][1,2]benzisoxazole-5,3'-indol]-2'(1H)-one (CID 59352453)</t>
        </is>
      </c>
      <c r="I1068" s="2" t="inlineStr">
        <is>
          <t>Close analog/precursor of the substrate or product recorded among the agents (patent data artifact); no reagent role.</t>
        </is>
      </c>
      <c r="J1068" s="2" t="inlineStr">
        <is>
          <t>named and classified by a chemist agent; reviewed by an independent agent; name corrected after comparing with PubChem (was: methylisoxazole-fused spiro-oxindole)</t>
        </is>
      </c>
    </row>
    <row r="1069">
      <c r="A1069" s="3" t="inlineStr">
        <is>
          <t>[Cl][Ni]([Cl])([P](c1ccccc1)(c1ccccc1)c1ccccc1)[P](c1ccccc1)(c1ccccc1)c1ccccc1</t>
        </is>
      </c>
      <c r="B1069" s="2" t="inlineStr">
        <is>
          <t>dichlorobis(triphenylphosphine)nickel(II)</t>
        </is>
      </c>
      <c r="C1069" s="2" t="inlineStr">
        <is>
          <t>NiCl2(PPh3)2</t>
        </is>
      </c>
      <c r="D1069" s="2" t="inlineStr">
        <is>
          <t>catalyst (metal)</t>
        </is>
      </c>
      <c r="E1069" s="2" t="inlineStr"/>
      <c r="F1069" s="2" t="n"/>
      <c r="G1069" s="2" t="n">
        <v>27</v>
      </c>
      <c r="H1069" s="2" t="inlineStr">
        <is>
          <t>Bis(triphenylphosphine)nickel dichloride (CID 6332751)</t>
        </is>
      </c>
      <c r="I1069" s="2" t="inlineStr">
        <is>
          <t>Ni(II) precatalyst for Kumada coupling of the aryl Grignard with the aryl bromide.</t>
        </is>
      </c>
      <c r="J1069" s="2" t="inlineStr">
        <is>
          <t>named and classified by a chemist agent; reviewed by an independent agent</t>
        </is>
      </c>
    </row>
    <row r="1070">
      <c r="A1070" s="3" t="inlineStr">
        <is>
          <t>[O]=[Os]</t>
        </is>
      </c>
      <c r="B1070" s="2" t="inlineStr">
        <is>
          <t>osmium oxide (stands for OsO4)</t>
        </is>
      </c>
      <c r="C1070" s="2" t="inlineStr">
        <is>
          <t>OsO4</t>
        </is>
      </c>
      <c r="D1070" s="2" t="inlineStr">
        <is>
          <t>oxidizing catalyst</t>
        </is>
      </c>
      <c r="E1070" s="2" t="inlineStr"/>
      <c r="F1070" s="2" t="n"/>
      <c r="G1070" s="2" t="n">
        <v>27</v>
      </c>
      <c r="H1070" s="2" t="inlineStr">
        <is>
          <t>Oxoosmium (CID 142273)</t>
        </is>
      </c>
      <c r="I1070" s="2" t="inlineStr">
        <is>
          <t>Catalytic OsO4 with NaIO4 (Lemieux-Johnson) cleaves the vinyl group to an aldehyde.</t>
        </is>
      </c>
      <c r="J1070" s="2" t="inlineStr">
        <is>
          <t>named and classified by a chemist agent; reviewed by an independent agent</t>
        </is>
      </c>
    </row>
    <row r="1071">
      <c r="A1071" s="3" t="inlineStr">
        <is>
          <t>CC(C)c1cc(C(C)C)c(S(=O)(=O)Cl)c(C(C)C)c1</t>
        </is>
      </c>
      <c r="B1071" s="2" t="inlineStr">
        <is>
          <t>2,4,6-triisopropylbenzenesulfonyl chloride</t>
        </is>
      </c>
      <c r="C1071" s="2" t="inlineStr">
        <is>
          <t>TPSCl</t>
        </is>
      </c>
      <c r="D1071" s="2" t="inlineStr">
        <is>
          <t>dehydrating / activating agent</t>
        </is>
      </c>
      <c r="E1071" s="2" t="inlineStr"/>
      <c r="F1071" s="2" t="n"/>
      <c r="G1071" s="2" t="n">
        <v>27</v>
      </c>
      <c r="H1071" s="2" t="inlineStr">
        <is>
          <t>2,4,6-Tris(1-methylethyl)benzenesulfonyl chloride (CID 81042)</t>
        </is>
      </c>
      <c r="I1071" s="2" t="inlineStr">
        <is>
          <t>Selectively sulfonylates the primary OH; base then closes the epoxide.</t>
        </is>
      </c>
      <c r="J1071" s="2" t="inlineStr">
        <is>
          <t>named and classified by a chemist agent; reviewed by an independent agent</t>
        </is>
      </c>
    </row>
    <row r="1072">
      <c r="A1072" s="3" t="inlineStr">
        <is>
          <t>C=C[B-](F)(F)F</t>
        </is>
      </c>
      <c r="B1072" s="2" t="inlineStr">
        <is>
          <t>vinyltrifluoroborate ion</t>
        </is>
      </c>
      <c r="C1072" s="2" t="inlineStr"/>
      <c r="D1072" s="2" t="inlineStr">
        <is>
          <t>organometallic reagent</t>
        </is>
      </c>
      <c r="E1072" s="2" t="inlineStr">
        <is>
          <t>nucleophile</t>
        </is>
      </c>
      <c r="F1072" s="2" t="n"/>
      <c r="G1072" s="2" t="n">
        <v>27</v>
      </c>
      <c r="H1072" s="2" t="inlineStr">
        <is>
          <t>Vinyltrifluoroborate (CID 11073469)</t>
        </is>
      </c>
      <c r="I1072" s="2" t="inlineStr">
        <is>
          <t>From potassium vinyltrifluoroborate; vinyl donor in Pd(dppf)-catalyzed Suzuki-Molander coupling.</t>
        </is>
      </c>
      <c r="J1072" s="2" t="inlineStr">
        <is>
          <t>named and classified by a chemist agent; reviewed by an independent agent</t>
        </is>
      </c>
    </row>
    <row r="1073">
      <c r="A1073" s="3" t="inlineStr">
        <is>
          <t>O=C(O)c1cccc(N2Cc3cccc(Cl)c3C2=O)c1</t>
        </is>
      </c>
      <c r="B1073" s="2" t="inlineStr">
        <is>
          <t>3-(7-chloro-1-oxoisoindolin-2-yl)benzoic acid</t>
        </is>
      </c>
      <c r="C1073" s="2" t="inlineStr"/>
      <c r="D1073" s="2" t="inlineStr">
        <is>
          <t>other</t>
        </is>
      </c>
      <c r="E1073" s="2" t="inlineStr"/>
      <c r="F1073" s="2" t="n"/>
      <c r="G1073" s="2" t="n">
        <v>27</v>
      </c>
      <c r="H1073" s="2" t="inlineStr">
        <is>
          <t>3-(7-Chloro-1-oxoisoindolin-2-yl)benzoic acid (CID 58808200)</t>
        </is>
      </c>
      <c r="I1073" s="2" t="inlineStr">
        <is>
          <t>Close analog/precursor of the substrate or product recorded among the agents (patent data artifact); no reagent role.</t>
        </is>
      </c>
      <c r="J1073" s="2" t="inlineStr">
        <is>
          <t>named and classified by a chemist agent; reviewed by an independent agent; corrected name (The Cl-bearing carbon is bonded to C7a, the ring-fusion carbon that carries the C1 carbonyl. That makes it C7. C4 would be next to C3a, the carbon that carries )</t>
        </is>
      </c>
    </row>
    <row r="1074">
      <c r="A1074" s="3" t="inlineStr">
        <is>
          <t>CC(C)(C)c1ccnc(-c2cc(C(C)(C)C)ccn2)c1</t>
        </is>
      </c>
      <c r="B1074" s="2" t="inlineStr">
        <is>
          <t>4,4'-di-tert-butyl-2,2'-bipyridine</t>
        </is>
      </c>
      <c r="C1074" s="2" t="inlineStr">
        <is>
          <t>dtbbpy</t>
        </is>
      </c>
      <c r="D1074" s="2" t="inlineStr">
        <is>
          <t>ligand</t>
        </is>
      </c>
      <c r="E1074" s="2" t="inlineStr"/>
      <c r="F1074" s="2" t="n"/>
      <c r="G1074" s="2" t="n">
        <v>27</v>
      </c>
      <c r="H1074" s="2" t="inlineStr">
        <is>
          <t>4,4'-Di-tert-butyl-2,2'-bipyridyl (CID 4249187)</t>
        </is>
      </c>
      <c r="I1074" s="2" t="inlineStr">
        <is>
          <t>Ligand on nickel in Ni/Ir photoredox decarboxylative arylation.</t>
        </is>
      </c>
      <c r="J1074" s="2" t="inlineStr">
        <is>
          <t>named and classified by a chemist agent; reviewed by an independent agent</t>
        </is>
      </c>
    </row>
    <row r="1075">
      <c r="A1075" s="3" t="inlineStr">
        <is>
          <t>CC(C)C(=O)O</t>
        </is>
      </c>
      <c r="B1075" s="2" t="inlineStr">
        <is>
          <t>isobutyric acid</t>
        </is>
      </c>
      <c r="C1075" s="2" t="inlineStr"/>
      <c r="D1075" s="2" t="inlineStr">
        <is>
          <t>other</t>
        </is>
      </c>
      <c r="E1075" s="2" t="inlineStr">
        <is>
          <t>acid</t>
        </is>
      </c>
      <c r="F1075" s="2" t="n"/>
      <c r="G1075" s="2" t="n">
        <v>26</v>
      </c>
      <c r="H1075" s="2" t="inlineStr">
        <is>
          <t>Isobutyric Acid (CID 6590)</t>
        </is>
      </c>
      <c r="I1075" s="2" t="inlineStr">
        <is>
          <t>Leftover from the benzimidazole-forming condensation with the diamine; not part of the Pd nitro reduction.</t>
        </is>
      </c>
      <c r="J1075" s="2" t="inlineStr">
        <is>
          <t>named and classified by a chemist agent; reviewed by an independent agent</t>
        </is>
      </c>
    </row>
    <row r="1076">
      <c r="A1076" s="3" t="inlineStr">
        <is>
          <t>C1=CCCC=C1</t>
        </is>
      </c>
      <c r="B1076" s="2" t="inlineStr">
        <is>
          <t>1,3-cyclohexadiene</t>
        </is>
      </c>
      <c r="C1076" s="2" t="inlineStr"/>
      <c r="D1076" s="2" t="inlineStr">
        <is>
          <t>reductant</t>
        </is>
      </c>
      <c r="E1076" s="2" t="inlineStr"/>
      <c r="F1076" s="2" t="n"/>
      <c r="G1076" s="2" t="n">
        <v>26</v>
      </c>
      <c r="H1076" s="2" t="inlineStr">
        <is>
          <t>1,3-Cyclohexadiene (CID 11605)</t>
        </is>
      </c>
      <c r="I1076" s="2" t="inlineStr">
        <is>
          <t>Hydrogen donor for Pd-catalyzed transfer hydrogenation of the nitro group (aromatizes to benzene).</t>
        </is>
      </c>
      <c r="J1076" s="2" t="inlineStr">
        <is>
          <t>named and classified by a chemist agent; reviewed by an independent agent</t>
        </is>
      </c>
    </row>
    <row r="1077">
      <c r="A1077" s="3" t="inlineStr">
        <is>
          <t>CC(C)(C)OC(=O)N1CCC(=O)CC1</t>
        </is>
      </c>
      <c r="B1077" s="2" t="inlineStr">
        <is>
          <t>tert-butyl 4-oxopiperidine-1-carboxylate</t>
        </is>
      </c>
      <c r="C1077" s="2" t="inlineStr">
        <is>
          <t>N-Boc-4-piperidone</t>
        </is>
      </c>
      <c r="D1077" s="2" t="inlineStr">
        <is>
          <t>other</t>
        </is>
      </c>
      <c r="E1077" s="2" t="inlineStr"/>
      <c r="F1077" s="2" t="n"/>
      <c r="G1077" s="2" t="n">
        <v>26</v>
      </c>
      <c r="H1077" s="2" t="inlineStr">
        <is>
          <t>tert-Butyl 4-oxopiperidine-1-carboxylate (CID 735900)</t>
        </is>
      </c>
      <c r="I1077" s="2" t="inlineStr">
        <is>
          <t>Building block from an earlier step of the ring synthesis; not a reagent here.</t>
        </is>
      </c>
      <c r="J1077" s="2" t="inlineStr">
        <is>
          <t>named and classified by a chemist agent; reviewed by an independent agent</t>
        </is>
      </c>
    </row>
    <row r="1078">
      <c r="A1078" s="3" t="inlineStr">
        <is>
          <t>BrCCCCBr</t>
        </is>
      </c>
      <c r="B1078" s="2" t="inlineStr">
        <is>
          <t>1,4-dibromobutane</t>
        </is>
      </c>
      <c r="C1078" s="2" t="inlineStr"/>
      <c r="D1078" s="2" t="inlineStr">
        <is>
          <t>electrophile / alkylating agent</t>
        </is>
      </c>
      <c r="E1078" s="2" t="inlineStr"/>
      <c r="F1078" s="2" t="n"/>
      <c r="G1078" s="2" t="n">
        <v>26</v>
      </c>
      <c r="H1078" s="2" t="inlineStr">
        <is>
          <t>1,4-Dibromobutane (CID 8056)</t>
        </is>
      </c>
      <c r="I1078" s="2" t="inlineStr">
        <is>
          <t>Bis-electrophile used upstream to make the bromobutyl sulfoxide alkylating agent.</t>
        </is>
      </c>
      <c r="J1078" s="2" t="inlineStr">
        <is>
          <t>named and classified by a chemist agent; reviewed by an independent agent</t>
        </is>
      </c>
    </row>
    <row r="1079">
      <c r="A1079" s="3" t="inlineStr">
        <is>
          <t>CNc1cc[c]([Pd][Cl])c(C(C)(C)C)c1C(C)(C)C</t>
        </is>
      </c>
      <c r="B1079" s="2" t="inlineStr">
        <is>
          <t>chloro[2,3-di-tert-butyl-4-(methylamino)phenyl]palladium(II)</t>
        </is>
      </c>
      <c r="C1079" s="2" t="inlineStr"/>
      <c r="D1079" s="2" t="inlineStr">
        <is>
          <t>catalyst (metal)</t>
        </is>
      </c>
      <c r="E1079" s="2" t="inlineStr"/>
      <c r="F1079" s="2" t="n"/>
      <c r="G1079" s="2" t="n">
        <v>26</v>
      </c>
      <c r="H1079" s="2" t="inlineStr">
        <is>
          <t>(di-t-butyl-p-methylaminophenyl]palladium(II) chloride (CID 86658492)</t>
        </is>
      </c>
      <c r="I1079" s="2" t="inlineStr">
        <is>
          <t>Garbled fragment of a Buchwald-type palladacycle Pd(II) precatalyst for the Suzuki coupling (K3PO4).</t>
        </is>
      </c>
      <c r="J1079" s="2" t="inlineStr">
        <is>
          <t>named and classified by a chemist agent; reviewed by an independent agent; name corrected after comparing with PubChem (was: aminoaryl palladium chloride fragment (palladacycle precatalyst))</t>
        </is>
      </c>
    </row>
    <row r="1080">
      <c r="A1080" s="3" t="inlineStr">
        <is>
          <t>CNC1(NC)C=CN=CC1</t>
        </is>
      </c>
      <c r="B1080" s="2" t="inlineStr">
        <is>
          <t>N4,N4'-dimethyl-3,4-dihydropyridine-4,4-diamine (4,4-bis(methylamino)-3,4-dihydropyridine)</t>
        </is>
      </c>
      <c r="C1080" s="2" t="inlineStr">
        <is>
          <t>DMAP</t>
        </is>
      </c>
      <c r="D1080" s="2" t="inlineStr">
        <is>
          <t>base</t>
        </is>
      </c>
      <c r="E1080" s="2" t="inlineStr">
        <is>
          <t>additive</t>
        </is>
      </c>
      <c r="F1080" s="2" t="n">
        <v>9.6</v>
      </c>
      <c r="G1080" s="2" t="n">
        <v>26</v>
      </c>
      <c r="H1080" s="2" t="inlineStr"/>
      <c r="I1080" s="2" t="inlineStr">
        <is>
          <t>Malformed SMILES, almost certainly DMAP: nucleophilic acylation catalyst with Et3N.</t>
        </is>
      </c>
      <c r="J1080" s="2" t="inlineStr">
        <is>
          <t>named and classified by a chemist agent; reviewed by an independent agent; name corrected after comparing with PubChem (was: 4,4-bis(methylamino)-1,4-dihydropyridine (malformed DMAP)); PubChem's title for this SMILES was wrong (4,4-Dimethylaminopyridine (CID 86589049)): Ring has N1=C2 and C5=C6 with sp3 C3/C4, so 3,4-dihydro, not 1,4-dihydro (no N-H); PubChem title is a garbled DMAP name.</t>
        </is>
      </c>
    </row>
    <row r="1081">
      <c r="A1081" s="3" t="inlineStr">
        <is>
          <t>ClC(N1CCCC1)=[N+]1CCCC1</t>
        </is>
      </c>
      <c r="B1081" s="2" t="inlineStr">
        <is>
          <t>chlorodipyrrolidinocarbenium ion</t>
        </is>
      </c>
      <c r="C1081" s="2" t="inlineStr">
        <is>
          <t>PyClU</t>
        </is>
      </c>
      <c r="D1081" s="2" t="inlineStr">
        <is>
          <t>coupling reagent (activates an acid)</t>
        </is>
      </c>
      <c r="E1081" s="2" t="inlineStr"/>
      <c r="F1081" s="2" t="n"/>
      <c r="G1081" s="2" t="n">
        <v>26</v>
      </c>
      <c r="H1081" s="2" t="inlineStr">
        <is>
          <t>1-[Chloro(pyrrolidin-1-ium-1-ylidene)methyl]pyrrolidine (CID 2736653)</t>
        </is>
      </c>
      <c r="I1081" s="2" t="inlineStr">
        <is>
          <t>Cation of PyClU (PF6 salt); activates the acid for amide formation with DIPEA.</t>
        </is>
      </c>
      <c r="J1081" s="2" t="inlineStr">
        <is>
          <t>named and classified by a chemist agent; reviewed by an independent agent</t>
        </is>
      </c>
    </row>
    <row r="1082">
      <c r="A1082" s="3" t="inlineStr">
        <is>
          <t>CC(C)(C)OC(=O)CBr</t>
        </is>
      </c>
      <c r="B1082" s="2" t="inlineStr">
        <is>
          <t>tert-butyl bromoacetate</t>
        </is>
      </c>
      <c r="C1082" s="2" t="inlineStr"/>
      <c r="D1082" s="2" t="inlineStr">
        <is>
          <t>electrophile / alkylating agent</t>
        </is>
      </c>
      <c r="E1082" s="2" t="inlineStr"/>
      <c r="F1082" s="2" t="n"/>
      <c r="G1082" s="2" t="n">
        <v>26</v>
      </c>
      <c r="H1082" s="2" t="inlineStr">
        <is>
          <t>tert-Butyl bromoacetate (CID 79177)</t>
        </is>
      </c>
      <c r="I1082" s="2" t="inlineStr">
        <is>
          <t>Alkylating agent from an earlier step; not involved in the azide hydrogenation.</t>
        </is>
      </c>
      <c r="J1082" s="2" t="inlineStr">
        <is>
          <t>named and classified by a chemist agent; reviewed by an independent agent</t>
        </is>
      </c>
    </row>
    <row r="1083">
      <c r="A1083" s="3" t="inlineStr">
        <is>
          <t>c1ccc(P(c2ccccc2)c2cc[cH-]c2)cc1</t>
        </is>
      </c>
      <c r="B1083" s="2" t="inlineStr">
        <is>
          <t>(diphenylphosphino)cyclopentadienide</t>
        </is>
      </c>
      <c r="C1083" s="2" t="inlineStr">
        <is>
          <t>dppf (half)</t>
        </is>
      </c>
      <c r="D1083" s="2" t="inlineStr">
        <is>
          <t>ligand</t>
        </is>
      </c>
      <c r="E1083" s="2" t="inlineStr"/>
      <c r="F1083" s="2" t="n"/>
      <c r="G1083" s="2" t="n">
        <v>26</v>
      </c>
      <c r="H1083" s="2" t="inlineStr"/>
      <c r="I1083" s="2" t="inlineStr">
        <is>
          <t>Half of the dppf ligand from PdCl2(dppf) split into ions (Fe2+ listed separately).</t>
        </is>
      </c>
      <c r="J1083" s="2" t="inlineStr">
        <is>
          <t>named and classified by a chemist agent; reviewed by an independent agent</t>
        </is>
      </c>
    </row>
    <row r="1084">
      <c r="A1084" s="3" t="inlineStr">
        <is>
          <t>CCCS(=O)(=O)c1ccc(F)c(C#C[Si](C)(C)C)c1</t>
        </is>
      </c>
      <c r="B1084" s="2" t="inlineStr">
        <is>
          <t>trimethyl{[2-fluoro-5-(propylsulfonyl)phenyl]ethynyl}silane</t>
        </is>
      </c>
      <c r="C1084" s="2" t="inlineStr"/>
      <c r="D1084" s="2" t="inlineStr">
        <is>
          <t>other</t>
        </is>
      </c>
      <c r="E1084" s="2" t="inlineStr"/>
      <c r="F1084" s="2" t="n"/>
      <c r="G1084" s="2" t="n">
        <v>26</v>
      </c>
      <c r="H1084" s="2" t="inlineStr">
        <is>
          <t>{[2-Fluoro-5-(propylsulfonyl)phenyl]ethynyl}trimethyl silane (CID 58521874)</t>
        </is>
      </c>
      <c r="I1084" s="2" t="inlineStr">
        <is>
          <t>Close analog/precursor of the substrate or product recorded among the agents (patent data artifact); no reagent role.</t>
        </is>
      </c>
      <c r="J1084" s="2" t="inlineStr">
        <is>
          <t>named and classified by a chemist agent; reviewed by an independent agent; name corrected after comparing with PubChem (was: TMS-protected fluoroaryl propyl sulfone alkyne)</t>
        </is>
      </c>
    </row>
    <row r="1085">
      <c r="A1085" s="3" t="inlineStr">
        <is>
          <t>CN(C)c1ccc(N=Nc2ccc(S(=O)(=O)O)cc2)cc1</t>
        </is>
      </c>
      <c r="B1085" s="2" t="inlineStr">
        <is>
          <t>methyl orange (acid form)</t>
        </is>
      </c>
      <c r="C1085" s="2" t="inlineStr"/>
      <c r="D1085" s="2" t="inlineStr">
        <is>
          <t>additive</t>
        </is>
      </c>
      <c r="E1085" s="2" t="inlineStr"/>
      <c r="F1085" s="2" t="n"/>
      <c r="G1085" s="2" t="n">
        <v>26</v>
      </c>
      <c r="H1085" s="2" t="inlineStr">
        <is>
          <t>Benzenesulfonic acid, 4-(2-(4-(dimethylamino)phenyl)diazenyl)- (CID 11037)</t>
        </is>
      </c>
      <c r="I1085" s="2" t="inlineStr">
        <is>
          <t>pH indicator used to hold the pH about 4 during NaBH3CN reduction with HCl.</t>
        </is>
      </c>
      <c r="J1085" s="2" t="inlineStr">
        <is>
          <t>named and classified by a chemist agent; reviewed by an independent agent</t>
        </is>
      </c>
    </row>
    <row r="1086">
      <c r="A1086" s="3" t="inlineStr">
        <is>
          <t>CCCCCl</t>
        </is>
      </c>
      <c r="B1086" s="2" t="inlineStr">
        <is>
          <t>1-chlorobutane</t>
        </is>
      </c>
      <c r="C1086" s="2" t="inlineStr">
        <is>
          <t>n-BuCl</t>
        </is>
      </c>
      <c r="D1086" s="2" t="inlineStr">
        <is>
          <t>solvent</t>
        </is>
      </c>
      <c r="E1086" s="2" t="inlineStr"/>
      <c r="F1086" s="2" t="n"/>
      <c r="G1086" s="2" t="n">
        <v>26</v>
      </c>
      <c r="H1086" s="2" t="inlineStr">
        <is>
          <t>Butyl Chloride (CID 8005)</t>
        </is>
      </c>
      <c r="I1086" s="2" t="inlineStr">
        <is>
          <t>Inert chlorinated solvent for the acetylation with Ac2O.</t>
        </is>
      </c>
      <c r="J1086" s="2" t="inlineStr">
        <is>
          <t>named and classified by a chemist agent; reviewed by an independent agent</t>
        </is>
      </c>
    </row>
    <row r="1087">
      <c r="A1087" s="3" t="inlineStr">
        <is>
          <t>[N-]=[N+]=NP(=O)(Oc1ccccc1)Oc1ccccc1</t>
        </is>
      </c>
      <c r="B1087" s="2" t="inlineStr">
        <is>
          <t>diphenylphosphoryl azide</t>
        </is>
      </c>
      <c r="C1087" s="2" t="inlineStr">
        <is>
          <t>DPPA</t>
        </is>
      </c>
      <c r="D1087" s="2" t="inlineStr">
        <is>
          <t>coupling reagent (activates an acid)</t>
        </is>
      </c>
      <c r="E1087" s="2" t="inlineStr"/>
      <c r="F1087" s="2" t="n"/>
      <c r="G1087" s="2" t="n">
        <v>26</v>
      </c>
      <c r="H1087" s="2" t="inlineStr">
        <is>
          <t>Diphenylphosphoryl azide (CID 123414)</t>
        </is>
      </c>
      <c r="I1087" s="2" t="inlineStr">
        <is>
          <t>Forms the acyl azide or mixed anhydride for peptide coupling with Et3N.</t>
        </is>
      </c>
      <c r="J1087" s="2" t="inlineStr">
        <is>
          <t>named and classified by a chemist agent; reviewed by an independent agent</t>
        </is>
      </c>
    </row>
    <row r="1088">
      <c r="A1088" s="3" t="inlineStr">
        <is>
          <t>[Cr+3]</t>
        </is>
      </c>
      <c r="B1088" s="2" t="inlineStr">
        <is>
          <t>chromium(III) ion (probably a mis-entry for CrO3, which is Cr(VI))</t>
        </is>
      </c>
      <c r="C1088" s="2" t="inlineStr">
        <is>
          <t>CrO3</t>
        </is>
      </c>
      <c r="D1088" s="2" t="inlineStr">
        <is>
          <t>oxidant</t>
        </is>
      </c>
      <c r="E1088" s="2" t="inlineStr"/>
      <c r="F1088" s="2" t="n"/>
      <c r="G1088" s="2" t="n">
        <v>26</v>
      </c>
      <c r="H1088" s="2" t="inlineStr">
        <is>
          <t>Chromic Cation (CID 27668)</t>
        </is>
      </c>
      <c r="I1088" s="2" t="inlineStr">
        <is>
          <t>CrO3 split into ions; with pyridine forms Collins reagent, oxidizing the secondary alcohol to a ketone.</t>
        </is>
      </c>
      <c r="J1088" s="2" t="inlineStr">
        <is>
          <t>named and classified by a chemist agent; reviewed by an independent agent; corrected name (Wrong oxidation state: CrO3 contains Cr(VI). Splitting it into ions would not give Cr3+. Cr(III) is not an alcohol oxidant, so 'from CrO3' states something chem)</t>
        </is>
      </c>
    </row>
    <row r="1089">
      <c r="A1089" s="3" t="inlineStr">
        <is>
          <t>O=Cc1ccc(F)cc1</t>
        </is>
      </c>
      <c r="B1089" s="2" t="inlineStr">
        <is>
          <t>4-fluorobenzaldehyde</t>
        </is>
      </c>
      <c r="C1089" s="2" t="inlineStr"/>
      <c r="D1089" s="2" t="inlineStr">
        <is>
          <t>other</t>
        </is>
      </c>
      <c r="E1089" s="2" t="inlineStr"/>
      <c r="F1089" s="2" t="n"/>
      <c r="G1089" s="2" t="n">
        <v>26</v>
      </c>
      <c r="H1089" s="2" t="inlineStr">
        <is>
          <t>4-Fluorobenzaldehyde (CID 68023)</t>
        </is>
      </c>
      <c r="I1089" s="2" t="inlineStr">
        <is>
          <t>Precursor of the aryl-oxazole from an upstream step; not a reagent in the O-alkylation.</t>
        </is>
      </c>
      <c r="J1089" s="2" t="inlineStr">
        <is>
          <t>named and classified by a chemist agent; reviewed by an independent agent</t>
        </is>
      </c>
    </row>
    <row r="1090">
      <c r="A1090" s="3" t="inlineStr">
        <is>
          <t>CS(=O)(=O)Nc1ccc(-c2nc(NCC(c3ccccc3)c3ccccn3)c3ccccc3n2)cc1</t>
        </is>
      </c>
      <c r="B1090" s="2" t="inlineStr">
        <is>
          <t>N-(4-{4-[(2-phenyl-2-(pyridin-2-yl)ethyl)amino]quinazolin-2-yl}phenyl)methanesulfonamide</t>
        </is>
      </c>
      <c r="C1090" s="2" t="inlineStr"/>
      <c r="D1090" s="2" t="inlineStr">
        <is>
          <t>other</t>
        </is>
      </c>
      <c r="E1090" s="2" t="inlineStr"/>
      <c r="F1090" s="2" t="n"/>
      <c r="G1090" s="2" t="n">
        <v>26</v>
      </c>
      <c r="H1090" s="2" t="inlineStr"/>
      <c r="I1090" s="2" t="inlineStr">
        <is>
          <t>Close analog/precursor of the substrate or product recorded among the agents (patent data artifact); no reagent role.</t>
        </is>
      </c>
      <c r="J1090" s="2" t="inlineStr">
        <is>
          <t>named and classified by a chemist agent; reviewed by an independent agent; name corrected after comparing with PubChem (was: methanesulfonamidophenyl quinazoline); PubChem's title for this SMILES was wrong (US10087148, Example 2 (CID 121378073)): Agent name is vague; PubChem title is a patent example label.</t>
        </is>
      </c>
    </row>
    <row r="1091">
      <c r="A1091" s="3" t="inlineStr">
        <is>
          <t>O[C@H](CS)[C@@H](O)CS</t>
        </is>
      </c>
      <c r="B1091" s="2" t="inlineStr">
        <is>
          <t>dithioerythritol</t>
        </is>
      </c>
      <c r="C1091" s="2" t="inlineStr">
        <is>
          <t>DTE</t>
        </is>
      </c>
      <c r="D1091" s="2" t="inlineStr">
        <is>
          <t>reductant</t>
        </is>
      </c>
      <c r="E1091" s="2" t="inlineStr"/>
      <c r="F1091" s="2" t="n"/>
      <c r="G1091" s="2" t="n">
        <v>26</v>
      </c>
      <c r="H1091" s="2" t="inlineStr">
        <is>
          <t>Dithioerythritol (CID 439352)</t>
        </is>
      </c>
      <c r="I1091" s="2" t="inlineStr">
        <is>
          <t>meso isomer of DTT (likely meant as DTT); keeps the new thiol reduced during thioacetate cleavage.</t>
        </is>
      </c>
      <c r="J1091" s="2" t="inlineStr">
        <is>
          <t>named and classified by a chemist agent; reviewed by an independent agent</t>
        </is>
      </c>
    </row>
    <row r="1092">
      <c r="A1092" s="3" t="inlineStr">
        <is>
          <t>Cc1cnc2c(ccc3c(C)c(C)cnc32)c1C</t>
        </is>
      </c>
      <c r="B1092" s="2" t="inlineStr">
        <is>
          <t>3,4,7,8-tetramethyl-1,10-phenanthroline</t>
        </is>
      </c>
      <c r="C1092" s="2" t="inlineStr">
        <is>
          <t>Me4phen</t>
        </is>
      </c>
      <c r="D1092" s="2" t="inlineStr">
        <is>
          <t>ligand</t>
        </is>
      </c>
      <c r="E1092" s="2" t="inlineStr"/>
      <c r="F1092" s="2" t="n"/>
      <c r="G1092" s="2" t="n">
        <v>26</v>
      </c>
      <c r="H1092" s="2" t="inlineStr">
        <is>
          <t>3,4,7,8-Tetramethyl-1,10-phenanthroline (CID 74265)</t>
        </is>
      </c>
      <c r="I1092" s="2" t="inlineStr">
        <is>
          <t>Ligand for CuI-catalyzed Ullmann diaryl ether formation with Cs2CO3.</t>
        </is>
      </c>
      <c r="J1092" s="2" t="inlineStr">
        <is>
          <t>named and classified by a chemist agent; reviewed by an independent agent</t>
        </is>
      </c>
    </row>
    <row r="1093">
      <c r="A1093" s="3" t="inlineStr">
        <is>
          <t>O=C1Nc2ccccc2C12COc1cc3c(cc12)CCO3</t>
        </is>
      </c>
      <c r="B1093" s="2" t="inlineStr">
        <is>
          <t>5,6-dihydro-2H-spiro[benzofuro[6,5-b]furan-3,3'-indolin]-2'-one</t>
        </is>
      </c>
      <c r="C1093" s="2" t="inlineStr"/>
      <c r="D1093" s="2" t="inlineStr">
        <is>
          <t>other</t>
        </is>
      </c>
      <c r="E1093" s="2" t="inlineStr"/>
      <c r="F1093" s="2" t="n"/>
      <c r="G1093" s="2" t="n">
        <v>26</v>
      </c>
      <c r="H1093" s="2" t="inlineStr">
        <is>
          <t>5,6-dihydro-2H-spiro[benzofuro[6,5-b]furan-3,3'-indolin]-2'-one (CID 59263354)</t>
        </is>
      </c>
      <c r="I1093" s="2" t="inlineStr">
        <is>
          <t>Close analog/precursor of the substrate or product recorded among the agents (patent data artifact); no reagent role.</t>
        </is>
      </c>
      <c r="J1093" s="2" t="inlineStr">
        <is>
          <t>named and classified by a chemist agent; reviewed by an independent agent; name corrected after comparing with PubChem (was: dihydrobenzofuran-fused spiro-oxindole)</t>
        </is>
      </c>
    </row>
    <row r="1094">
      <c r="A1094" s="3" t="inlineStr">
        <is>
          <t>CC(C)c1cccc(C(C)C)c1-n1ccn(-c2c(C(C)C)cccc2C(C)C)[c]1=[Pd-3]([Cl])([Cl])[c]1ncccc1Cl</t>
        </is>
      </c>
      <c r="B1094" s="2" t="inlineStr">
        <is>
          <t>[IPr]PdCl2(3-chloropyridine)</t>
        </is>
      </c>
      <c r="C1094" s="2" t="inlineStr">
        <is>
          <t>PEPPSI-IPr</t>
        </is>
      </c>
      <c r="D1094" s="2" t="inlineStr">
        <is>
          <t>catalyst (metal)</t>
        </is>
      </c>
      <c r="E1094" s="2" t="inlineStr"/>
      <c r="F1094" s="2" t="n"/>
      <c r="G1094" s="2" t="n">
        <v>26</v>
      </c>
      <c r="H1094" s="2" t="inlineStr"/>
      <c r="I1094" s="2" t="inlineStr">
        <is>
          <t>Air-stable NHC-Pd(II) precatalyst for the Suzuki coupling; charge shown is an artifact.</t>
        </is>
      </c>
      <c r="J1094" s="2" t="inlineStr">
        <is>
          <t>named and classified by a chemist agent; reviewed by an independent agent</t>
        </is>
      </c>
    </row>
    <row r="1095">
      <c r="A1095" s="3" t="inlineStr">
        <is>
          <t>Cc1cc(C)[n+](F)c(C)c1</t>
        </is>
      </c>
      <c r="B1095" s="2" t="inlineStr">
        <is>
          <t>N-fluoro-2,4,6-trimethylpyridinium ion</t>
        </is>
      </c>
      <c r="C1095" s="2" t="inlineStr"/>
      <c r="D1095" s="2" t="inlineStr">
        <is>
          <t>halogenating agent</t>
        </is>
      </c>
      <c r="E1095" s="2" t="inlineStr"/>
      <c r="F1095" s="2" t="n"/>
      <c r="G1095" s="2" t="n">
        <v>26</v>
      </c>
      <c r="H1095" s="2" t="inlineStr">
        <is>
          <t>1-Fluoro-2,4,6-trimethyl-pyridin-1-ium (CID 676391)</t>
        </is>
      </c>
      <c r="I1095" s="2" t="inlineStr">
        <is>
          <t>Electrophilic F+ source (BF4 salt) for aromatic fluorination ortho to the amine.</t>
        </is>
      </c>
      <c r="J1095" s="2" t="inlineStr">
        <is>
          <t>named and classified by a chemist agent; reviewed by an independent agent</t>
        </is>
      </c>
    </row>
    <row r="1096">
      <c r="A1096" s="3" t="inlineStr">
        <is>
          <t>[NH-]O</t>
        </is>
      </c>
      <c r="B1096" s="2" t="inlineStr">
        <is>
          <t>hydroxylamide ion (H2NO-)</t>
        </is>
      </c>
      <c r="C1096" s="2" t="inlineStr"/>
      <c r="D1096" s="2" t="inlineStr">
        <is>
          <t>other</t>
        </is>
      </c>
      <c r="E1096" s="2" t="inlineStr"/>
      <c r="F1096" s="2" t="n"/>
      <c r="G1096" s="2" t="n">
        <v>26</v>
      </c>
      <c r="H1096" s="2" t="inlineStr"/>
      <c r="I1096" s="2" t="inlineStr">
        <is>
          <t>Garbled entry (listed with NO-); no sensible reagent form for this alcohol-to-ketone oxidation.</t>
        </is>
      </c>
      <c r="J1096" s="2" t="inlineStr">
        <is>
          <t>named and classified by a chemist agent; reviewed by an independent agent; PubChem's title for this SMILES was wrong (Aminooxidanide (CID 160955)): Charge is on N; 'aminooxidanide' is the O-anion H2N-O-.</t>
        </is>
      </c>
    </row>
    <row r="1097">
      <c r="A1097" s="3" t="inlineStr">
        <is>
          <t>CC(C)(C)c1nc(Cl)c2nnn(Cc3ccccc3Cl)c2n1</t>
        </is>
      </c>
      <c r="B1097" s="2" t="inlineStr">
        <is>
          <t>5-tert-butyl-7-chloro-3-(2-chlorobenzyl)-3H-[1,2,3]triazolo[4,5-d]pyrimidine (substrate analog)</t>
        </is>
      </c>
      <c r="C1097" s="2" t="inlineStr"/>
      <c r="D1097" s="2" t="inlineStr">
        <is>
          <t>other</t>
        </is>
      </c>
      <c r="E1097" s="2" t="inlineStr"/>
      <c r="F1097" s="2" t="n"/>
      <c r="G1097" s="2" t="n">
        <v>26</v>
      </c>
      <c r="H1097" s="2" t="inlineStr">
        <is>
          <t>5-tert-butyl-7-chloro-3-(2-chlorobenzyl)-3H-[1,2,3]triazolo[4,5-d]pyrimidine (CID 86683284)</t>
        </is>
      </c>
      <c r="I1097" s="2" t="inlineStr">
        <is>
          <t>Close analog/precursor of the substrate or product recorded among the agents (patent data artifact); no reagent role.</t>
        </is>
      </c>
      <c r="J1097" s="2" t="inlineStr">
        <is>
          <t>named and classified by a chemist agent; reviewed by an independent agent; corrected name (In triazolo[4,5-d]pyrimidine, position 6 is a ring nitrogen. The tert-butyl is on C5 (between N4 and N6) and the Cl is on C7.)</t>
        </is>
      </c>
    </row>
    <row r="1098">
      <c r="A1098" s="3" t="inlineStr">
        <is>
          <t>COc1cc(F)ccc1N1CCNCC1</t>
        </is>
      </c>
      <c r="B1098" s="2" t="inlineStr">
        <is>
          <t>1-(4-fluoro-2-methoxyphenyl)piperazine</t>
        </is>
      </c>
      <c r="C1098" s="2" t="inlineStr"/>
      <c r="D1098" s="2" t="inlineStr">
        <is>
          <t>other</t>
        </is>
      </c>
      <c r="E1098" s="2" t="inlineStr"/>
      <c r="F1098" s="2" t="n"/>
      <c r="G1098" s="2" t="n">
        <v>26</v>
      </c>
      <c r="H1098" s="2" t="inlineStr">
        <is>
          <t>1-(4-Fluoro-2-methoxyphenyl)piperazine (CID 10488654)</t>
        </is>
      </c>
      <c r="I1098" s="2" t="inlineStr">
        <is>
          <t>Close analog/precursor of the substrate or product recorded among the agents (patent data artifact); no reagent role.</t>
        </is>
      </c>
      <c r="J1098" s="2" t="inlineStr">
        <is>
          <t>named and classified by a chemist agent; reviewed by an independent agent</t>
        </is>
      </c>
    </row>
    <row r="1099">
      <c r="A1099" s="3" t="inlineStr">
        <is>
          <t>c1ccc2c(c1)C[C@@H]1OC(C3(C4=N[C@@H]5c6ccccc6C[C@@H]5O4)CC3)=N[C@H]21</t>
        </is>
      </c>
      <c r="B1099" s="2" t="inlineStr">
        <is>
          <t>cyclopropylidene bis(indanyl-oxazoline)</t>
        </is>
      </c>
      <c r="C1099" s="2" t="inlineStr">
        <is>
          <t>IndaBOX</t>
        </is>
      </c>
      <c r="D1099" s="2" t="inlineStr">
        <is>
          <t>ligand</t>
        </is>
      </c>
      <c r="E1099" s="2" t="inlineStr"/>
      <c r="F1099" s="2" t="n"/>
      <c r="G1099" s="2" t="n">
        <v>26</v>
      </c>
      <c r="H1099" s="2" t="inlineStr">
        <is>
          <t>(3aR,3a'R,8aS,8a'S)-2,2'-(Cyclopropane-1,1-diyl)bis(8,8a-dihydro-3aH-indeno[1,2-d]oxazole) (CID 11245230)</t>
        </is>
      </c>
      <c r="I1099" s="2" t="inlineStr">
        <is>
          <t>Chiral bis(oxazoline) ligand for Ni-catalyzed enantioselective reductive cross-coupling.</t>
        </is>
      </c>
      <c r="J1099" s="2" t="inlineStr">
        <is>
          <t>named and classified by a chemist agent; reviewed by an independent agent</t>
        </is>
      </c>
    </row>
    <row r="1100">
      <c r="A1100" s="3" t="inlineStr">
        <is>
          <t>C=CCI</t>
        </is>
      </c>
      <c r="B1100" s="2" t="inlineStr">
        <is>
          <t>allyl iodide</t>
        </is>
      </c>
      <c r="C1100" s="2" t="inlineStr"/>
      <c r="D1100" s="2" t="inlineStr">
        <is>
          <t>electrophile / alkylating agent</t>
        </is>
      </c>
      <c r="E1100" s="2" t="inlineStr"/>
      <c r="F1100" s="2" t="n"/>
      <c r="G1100" s="2" t="n">
        <v>26</v>
      </c>
      <c r="H1100" s="2" t="inlineStr">
        <is>
          <t>Allyl iodide (CID 11166)</t>
        </is>
      </c>
      <c r="I1100" s="2" t="inlineStr">
        <is>
          <t>Alkylates the ester enolate formed with LDA (made in situ from n-BuLi and iPr2NH).</t>
        </is>
      </c>
      <c r="J1100" s="2" t="inlineStr">
        <is>
          <t>named and classified by a chemist agent; reviewed by an independent agent</t>
        </is>
      </c>
    </row>
    <row r="1101">
      <c r="A1101" s="3" t="inlineStr">
        <is>
          <t>CNCCO</t>
        </is>
      </c>
      <c r="B1101" s="2" t="inlineStr">
        <is>
          <t>2-(methylamino)ethanol</t>
        </is>
      </c>
      <c r="C1101" s="2" t="inlineStr"/>
      <c r="D1101" s="2" t="inlineStr">
        <is>
          <t>nucleophile</t>
        </is>
      </c>
      <c r="E1101" s="2" t="inlineStr"/>
      <c r="F1101" s="2" t="n"/>
      <c r="G1101" s="2" t="n">
        <v>25</v>
      </c>
      <c r="H1101" s="2" t="inlineStr">
        <is>
          <t>2-(Methylamino)ethanol (CID 8016)</t>
        </is>
      </c>
      <c r="I1101" s="2" t="inlineStr">
        <is>
          <t>Amine from the upstream reductive amination of the piperidone; not part of the nitro reduction.</t>
        </is>
      </c>
      <c r="J1101" s="2" t="inlineStr">
        <is>
          <t>named and classified by a chemist agent; reviewed by an independent agent</t>
        </is>
      </c>
    </row>
    <row r="1102">
      <c r="A1102" s="3" t="inlineStr">
        <is>
          <t>COC(=O)[C@H](C(C)C)N1Cc2ccc(-c3ccc(N)cc3)cc2C1=O</t>
        </is>
      </c>
      <c r="B1102" s="2" t="inlineStr">
        <is>
          <t>methyl (2S)-2-[6-(4-aminophenyl)-1-oxoisoindolin-2-yl]-3-methylbutanoate</t>
        </is>
      </c>
      <c r="C1102" s="2" t="inlineStr"/>
      <c r="D1102" s="2" t="inlineStr">
        <is>
          <t>other</t>
        </is>
      </c>
      <c r="E1102" s="2" t="inlineStr"/>
      <c r="F1102" s="2" t="n"/>
      <c r="G1102" s="2" t="n">
        <v>25</v>
      </c>
      <c r="H1102" s="2" t="inlineStr">
        <is>
          <t>(S)-Methyl 2-(6-(4-aminophenyl)-1-oxoisoindolin-2-yl)-3-methylbutanoate (CID 131731441)</t>
        </is>
      </c>
      <c r="I1102" s="2" t="inlineStr">
        <is>
          <t>Close analog/precursor of the substrate or product recorded among the agents (patent data artifact); no reagent role.</t>
        </is>
      </c>
      <c r="J1102" s="2" t="inlineStr">
        <is>
          <t>named and classified by a chemist agent; reviewed by an independent agent; name corrected after comparing with PubChem (was: methyl (S)-2-[aminophenyl-isoindolinone]-3-methylbutanoate)</t>
        </is>
      </c>
    </row>
    <row r="1103">
      <c r="A1103" s="3" t="inlineStr">
        <is>
          <t>O=C(O)c1cc(-c2cc(F)cc(Cl)c2)n(-c2ccc(F)c(Cl)c2)n1</t>
        </is>
      </c>
      <c r="B1103" s="2" t="inlineStr">
        <is>
          <t>1-(3-chloro-4-fluorophenyl)-5-(3-chloro-5-fluorophenyl)-1H-pyrazole-3-carboxylic acid</t>
        </is>
      </c>
      <c r="C1103" s="2" t="inlineStr"/>
      <c r="D1103" s="2" t="inlineStr">
        <is>
          <t>other</t>
        </is>
      </c>
      <c r="E1103" s="2" t="inlineStr"/>
      <c r="F1103" s="2" t="n"/>
      <c r="G1103" s="2" t="n">
        <v>25</v>
      </c>
      <c r="H1103" s="2" t="inlineStr">
        <is>
          <t>1-(3-Chloro-4-fluorophenyl)-5-(3-chloro-5-fluorophenyl)-1H-pyrazole-3-carboxylic acid (CID 58277326)</t>
        </is>
      </c>
      <c r="I1103" s="2" t="inlineStr">
        <is>
          <t>Close analog/precursor of the substrate or product recorded among the agents (patent data artifact); no reagent role.</t>
        </is>
      </c>
      <c r="J1103" s="2" t="inlineStr">
        <is>
          <t>named and classified by a chemist agent; reviewed by an independent agent; name corrected after comparing with PubChem (was: 1,5-diaryl-pyrazole-3-carboxylic acid (product analog))</t>
        </is>
      </c>
    </row>
    <row r="1104">
      <c r="A1104" s="3" t="inlineStr">
        <is>
          <t>CCCC=CCCCCCC</t>
        </is>
      </c>
      <c r="B1104" s="2" t="inlineStr">
        <is>
          <t>undec-4-ene</t>
        </is>
      </c>
      <c r="C1104" s="2" t="inlineStr"/>
      <c r="D1104" s="2" t="inlineStr">
        <is>
          <t>other</t>
        </is>
      </c>
      <c r="E1104" s="2" t="inlineStr"/>
      <c r="F1104" s="2" t="n"/>
      <c r="G1104" s="2" t="n">
        <v>25</v>
      </c>
      <c r="H1104" s="2" t="inlineStr">
        <is>
          <t>Undec-4-ene (CID 136496)</t>
        </is>
      </c>
      <c r="I1104" s="2" t="inlineStr">
        <is>
          <t>Hydrocarbon with no evident role; probably an impurity or data artifact.</t>
        </is>
      </c>
      <c r="J1104" s="2" t="inlineStr">
        <is>
          <t>named and classified by a chemist agent; reviewed by an independent agent</t>
        </is>
      </c>
    </row>
    <row r="1105">
      <c r="A1105" s="3" t="inlineStr">
        <is>
          <t>BrCCCBr</t>
        </is>
      </c>
      <c r="B1105" s="2" t="inlineStr">
        <is>
          <t>1,3-dibromopropane</t>
        </is>
      </c>
      <c r="C1105" s="2" t="inlineStr"/>
      <c r="D1105" s="2" t="inlineStr">
        <is>
          <t>electrophile / alkylating agent</t>
        </is>
      </c>
      <c r="E1105" s="2" t="inlineStr"/>
      <c r="F1105" s="2" t="n"/>
      <c r="G1105" s="2" t="n">
        <v>25</v>
      </c>
      <c r="H1105" s="2" t="inlineStr">
        <is>
          <t>1,3-Dibromopropane (CID 8001)</t>
        </is>
      </c>
      <c r="I1105" s="2" t="inlineStr">
        <is>
          <t>Bis-electrophile used upstream to build the bromopropyl ether alkylating agent.</t>
        </is>
      </c>
      <c r="J1105" s="2" t="inlineStr">
        <is>
          <t>named and classified by a chemist agent; reviewed by an independent agent</t>
        </is>
      </c>
    </row>
    <row r="1106">
      <c r="A1106" s="3" t="inlineStr">
        <is>
          <t>SCCCS</t>
        </is>
      </c>
      <c r="B1106" s="2" t="inlineStr">
        <is>
          <t>1,3-propanedithiol</t>
        </is>
      </c>
      <c r="C1106" s="2" t="inlineStr"/>
      <c r="D1106" s="2" t="inlineStr">
        <is>
          <t>nucleophile</t>
        </is>
      </c>
      <c r="E1106" s="2" t="inlineStr">
        <is>
          <t>deprotecting agent</t>
        </is>
      </c>
      <c r="F1106" s="2" t="n"/>
      <c r="G1106" s="2" t="n">
        <v>25</v>
      </c>
      <c r="H1106" s="2" t="inlineStr">
        <is>
          <t>1,3-Propanedithiol (CID 8013)</t>
        </is>
      </c>
      <c r="I1106" s="2" t="inlineStr">
        <is>
          <t>Soft nucleophile/cation scavenger with BF3.OEt2 for O-debenzylation.</t>
        </is>
      </c>
      <c r="J1106" s="2" t="inlineStr">
        <is>
          <t>named and classified by a chemist agent; reviewed by an independent agent</t>
        </is>
      </c>
    </row>
    <row r="1107">
      <c r="A1107" s="3" t="inlineStr">
        <is>
          <t>O=[N+]([O-])c1ccc(O)cc1</t>
        </is>
      </c>
      <c r="B1107" s="2" t="inlineStr">
        <is>
          <t>4-nitrophenol</t>
        </is>
      </c>
      <c r="C1107" s="2" t="inlineStr"/>
      <c r="D1107" s="2" t="inlineStr">
        <is>
          <t>additive</t>
        </is>
      </c>
      <c r="E1107" s="2" t="inlineStr">
        <is>
          <t>coupling reagent (activates an acid)</t>
        </is>
      </c>
      <c r="F1107" s="2" t="n"/>
      <c r="G1107" s="2" t="n">
        <v>25</v>
      </c>
      <c r="H1107" s="2" t="inlineStr">
        <is>
          <t>4-Nitrophenol (CID 980)</t>
        </is>
      </c>
      <c r="I1107" s="2" t="inlineStr">
        <is>
          <t>Forms a p-nitrophenyl active ester of the acid for aminolysis.</t>
        </is>
      </c>
      <c r="J1107" s="2" t="inlineStr">
        <is>
          <t>named and classified by a chemist agent; reviewed by an independent agent</t>
        </is>
      </c>
    </row>
    <row r="1108">
      <c r="A1108" s="3" t="inlineStr">
        <is>
          <t>Nc1ccncc1</t>
        </is>
      </c>
      <c r="B1108" s="2" t="inlineStr">
        <is>
          <t>4-aminopyridine</t>
        </is>
      </c>
      <c r="C1108" s="2" t="inlineStr">
        <is>
          <t>4-AP</t>
        </is>
      </c>
      <c r="D1108" s="2" t="inlineStr">
        <is>
          <t>base</t>
        </is>
      </c>
      <c r="E1108" s="2" t="inlineStr">
        <is>
          <t>additive</t>
        </is>
      </c>
      <c r="F1108" s="2" t="n">
        <v>9.199999999999999</v>
      </c>
      <c r="G1108" s="2" t="n">
        <v>25</v>
      </c>
      <c r="H1108" s="2" t="inlineStr">
        <is>
          <t>4-Aminopyridine (CID 1727)</t>
        </is>
      </c>
      <c r="I1108" s="2" t="inlineStr">
        <is>
          <t>Basic acylation catalyst with EDC; possibly a mis-entry for DMAP.</t>
        </is>
      </c>
      <c r="J1108" s="2" t="inlineStr">
        <is>
          <t>named and classified by a chemist agent; reviewed by an independent agent</t>
        </is>
      </c>
    </row>
    <row r="1109">
      <c r="A1109" s="3" t="inlineStr">
        <is>
          <t>ClCCCBr</t>
        </is>
      </c>
      <c r="B1109" s="2" t="inlineStr">
        <is>
          <t>1-bromo-3-chloropropane</t>
        </is>
      </c>
      <c r="C1109" s="2" t="inlineStr"/>
      <c r="D1109" s="2" t="inlineStr">
        <is>
          <t>electrophile / alkylating agent</t>
        </is>
      </c>
      <c r="E1109" s="2" t="inlineStr"/>
      <c r="F1109" s="2" t="n"/>
      <c r="G1109" s="2" t="n">
        <v>25</v>
      </c>
      <c r="H1109" s="2" t="inlineStr">
        <is>
          <t>1-Bromo-3-chloropropane (CID 8006)</t>
        </is>
      </c>
      <c r="I1109" s="2" t="inlineStr">
        <is>
          <t>Bifunctional alkylating agent; the bromide reacts first to install a 3-chloropropyl chain.</t>
        </is>
      </c>
      <c r="J1109" s="2" t="inlineStr">
        <is>
          <t>named and classified by a chemist agent; reviewed by an independent agent</t>
        </is>
      </c>
    </row>
    <row r="1110">
      <c r="A1110" s="3" t="inlineStr">
        <is>
          <t>NC(=O)C1=CN([C@@H]2O[C@H](COP(=O)(O)OP(=O)(O)OC[C@H]3O[C@@H](n4cnc5c(N)ncnc54)[C@H](O)[C@@H]3O)[C@@H](O)[C@H]2O)C=CC1</t>
        </is>
      </c>
      <c r="B1110" s="2" t="inlineStr">
        <is>
          <t>nicotinamide adenine dinucleotide, reduced</t>
        </is>
      </c>
      <c r="C1110" s="2" t="inlineStr">
        <is>
          <t>NADH</t>
        </is>
      </c>
      <c r="D1110" s="2" t="inlineStr">
        <is>
          <t>reductant</t>
        </is>
      </c>
      <c r="E1110" s="2" t="inlineStr"/>
      <c r="F1110" s="2" t="n"/>
      <c r="G1110" s="2" t="n">
        <v>25</v>
      </c>
      <c r="H1110" s="2" t="inlineStr">
        <is>
          <t>Nadh (CID 439153)</t>
        </is>
      </c>
      <c r="I1110" s="2" t="inlineStr">
        <is>
          <t>Hydride cofactor for ketoreductase reduction; recycled by isopropanol.</t>
        </is>
      </c>
      <c r="J1110" s="2" t="inlineStr">
        <is>
          <t>named and classified by a chemist agent; reviewed by an independent agent</t>
        </is>
      </c>
    </row>
    <row r="1111">
      <c r="A1111" s="3" t="inlineStr">
        <is>
          <t>BrCC1CO1</t>
        </is>
      </c>
      <c r="B1111" s="2" t="inlineStr">
        <is>
          <t>epibromohydrin</t>
        </is>
      </c>
      <c r="C1111" s="2" t="inlineStr"/>
      <c r="D1111" s="2" t="inlineStr">
        <is>
          <t>electrophile / alkylating agent</t>
        </is>
      </c>
      <c r="E1111" s="2" t="inlineStr"/>
      <c r="F1111" s="2" t="n"/>
      <c r="G1111" s="2" t="n">
        <v>25</v>
      </c>
      <c r="H1111" s="2" t="inlineStr">
        <is>
          <t>Epibromohydrin (CID 18430)</t>
        </is>
      </c>
      <c r="I1111" s="2" t="inlineStr">
        <is>
          <t>Puts a glycidyl ether on the phenol; the epoxide is then opened by isopropylamine.</t>
        </is>
      </c>
      <c r="J1111" s="2" t="inlineStr">
        <is>
          <t>named and classified by a chemist agent; reviewed by an independent agent</t>
        </is>
      </c>
    </row>
    <row r="1112">
      <c r="A1112" s="3" t="inlineStr">
        <is>
          <t>[O]=[Cr]([O-])[O-]</t>
        </is>
      </c>
      <c r="B1112" s="2" t="inlineStr">
        <is>
          <t>chromite ion (from copper chromite)</t>
        </is>
      </c>
      <c r="C1112" s="2" t="inlineStr"/>
      <c r="D1112" s="2" t="inlineStr">
        <is>
          <t>catalyst (metal)</t>
        </is>
      </c>
      <c r="E1112" s="2" t="inlineStr"/>
      <c r="F1112" s="2" t="n"/>
      <c r="G1112" s="2" t="n">
        <v>25</v>
      </c>
      <c r="H1112" s="2" t="inlineStr"/>
      <c r="I1112" s="2" t="inlineStr">
        <is>
          <t>Part of copper chromite (Adkins catalyst) for hydrogenating the aldehyde to an alcohol with H2.</t>
        </is>
      </c>
      <c r="J1112" s="2" t="inlineStr">
        <is>
          <t>named and classified by a chemist agent; reviewed by an independent agent</t>
        </is>
      </c>
    </row>
    <row r="1113">
      <c r="A1113" s="3" t="inlineStr">
        <is>
          <t>COC(=O)[C@H]1[C@H]2C[C@@H]3c4[nH]c5cc(OC)ccc5c4CCN3C[C@H]2C[C@@H](OC(=O)c2cc(OC)c(OC)c(OC)c2)[C@@H]1OC</t>
        </is>
      </c>
      <c r="B1113" s="2" t="inlineStr">
        <is>
          <t>reserpine</t>
        </is>
      </c>
      <c r="C1113" s="2" t="inlineStr"/>
      <c r="D1113" s="2" t="inlineStr">
        <is>
          <t>other</t>
        </is>
      </c>
      <c r="E1113" s="2" t="inlineStr"/>
      <c r="F1113" s="2" t="n"/>
      <c r="G1113" s="2" t="n">
        <v>25</v>
      </c>
      <c r="H1113" s="2" t="inlineStr">
        <is>
          <t>Reserpine (CID 5770)</t>
        </is>
      </c>
      <c r="I1113" s="2" t="inlineStr">
        <is>
          <t>Natural product with no role in this EDC amide coupling; data artifact.</t>
        </is>
      </c>
      <c r="J1113" s="2" t="inlineStr">
        <is>
          <t>named and classified by a chemist agent; reviewed by an independent agent</t>
        </is>
      </c>
    </row>
    <row r="1114">
      <c r="A1114" s="3" t="inlineStr">
        <is>
          <t>C=COC(C)=O</t>
        </is>
      </c>
      <c r="B1114" s="2" t="inlineStr">
        <is>
          <t>vinyl acetate</t>
        </is>
      </c>
      <c r="C1114" s="2" t="inlineStr"/>
      <c r="D1114" s="2" t="inlineStr">
        <is>
          <t>electrophile / alkylating agent</t>
        </is>
      </c>
      <c r="E1114" s="2" t="inlineStr"/>
      <c r="F1114" s="2" t="n"/>
      <c r="G1114" s="2" t="n">
        <v>25</v>
      </c>
      <c r="H1114" s="2" t="inlineStr">
        <is>
          <t>Vinyl Acetate (CID 7904)</t>
        </is>
      </c>
      <c r="I1114" s="2" t="inlineStr">
        <is>
          <t>Irreversible acyl donor for lipase desymmetrization of the 1,3-diol (vinyl alcohol becomes acetaldehyde).</t>
        </is>
      </c>
      <c r="J1114" s="2" t="inlineStr">
        <is>
          <t>named and classified by a chemist agent; reviewed by an independent agent</t>
        </is>
      </c>
    </row>
    <row r="1115">
      <c r="A1115" s="3" t="inlineStr">
        <is>
          <t>NNc1ncc(-c2ccccc2)nn1</t>
        </is>
      </c>
      <c r="B1115" s="2" t="inlineStr">
        <is>
          <t>3-hydrazinyl-6-phenyl-1,2,4-triazine</t>
        </is>
      </c>
      <c r="C1115" s="2" t="inlineStr"/>
      <c r="D1115" s="2" t="inlineStr">
        <is>
          <t>other</t>
        </is>
      </c>
      <c r="E1115" s="2" t="inlineStr"/>
      <c r="F1115" s="2" t="n"/>
      <c r="G1115" s="2" t="n">
        <v>25</v>
      </c>
      <c r="H1115" s="2" t="inlineStr">
        <is>
          <t>3-Hydrazino-6-phenyl-1,2,4-triazine (CID 6405160)</t>
        </is>
      </c>
      <c r="I1115" s="2" t="inlineStr">
        <is>
          <t>Close analog/precursor of the substrate or product recorded among the agents (patent data artifact); no reagent role.</t>
        </is>
      </c>
      <c r="J1115" s="2" t="inlineStr">
        <is>
          <t>named and classified by a chemist agent; reviewed by an independent agent</t>
        </is>
      </c>
    </row>
    <row r="1116">
      <c r="A1116" s="3" t="inlineStr">
        <is>
          <t>O=C(O)Cc1ccc2ncccc2c1</t>
        </is>
      </c>
      <c r="B1116" s="2" t="inlineStr">
        <is>
          <t>2-(quinolin-6-yl)acetic acid</t>
        </is>
      </c>
      <c r="C1116" s="2" t="inlineStr"/>
      <c r="D1116" s="2" t="inlineStr">
        <is>
          <t>other</t>
        </is>
      </c>
      <c r="E1116" s="2" t="inlineStr"/>
      <c r="F1116" s="2" t="n"/>
      <c r="G1116" s="2" t="n">
        <v>25</v>
      </c>
      <c r="H1116" s="2" t="inlineStr">
        <is>
          <t>2-(Quinolin-6-yl)acetic acid (CID 11788709)</t>
        </is>
      </c>
      <c r="I1116" s="2" t="inlineStr">
        <is>
          <t>Close analog/precursor of the substrate or product recorded among the agents (patent data artifact); no reagent role.</t>
        </is>
      </c>
      <c r="J1116" s="2" t="inlineStr">
        <is>
          <t>named and classified by a chemist agent; reviewed by an independent agent</t>
        </is>
      </c>
    </row>
    <row r="1117">
      <c r="A1117" s="3" t="inlineStr">
        <is>
          <t>CCCCCON=O</t>
        </is>
      </c>
      <c r="B1117" s="2" t="inlineStr">
        <is>
          <t>pentyl nitrite</t>
        </is>
      </c>
      <c r="C1117" s="2" t="inlineStr">
        <is>
          <t>amyl nitrite</t>
        </is>
      </c>
      <c r="D1117" s="2" t="inlineStr">
        <is>
          <t>electrophile / alkylating agent</t>
        </is>
      </c>
      <c r="E1117" s="2" t="inlineStr">
        <is>
          <t>oxidant</t>
        </is>
      </c>
      <c r="F1117" s="2" t="n"/>
      <c r="G1117" s="2" t="n">
        <v>25</v>
      </c>
      <c r="H1117" s="2" t="inlineStr">
        <is>
          <t>Pentyl nitrite (CID 10026)</t>
        </is>
      </c>
      <c r="I1117" s="2" t="inlineStr">
        <is>
          <t>NO+ source that diazotizes the aniline; in THF the aryl radical takes an H atom (hydrodeamination).</t>
        </is>
      </c>
      <c r="J1117" s="2" t="inlineStr">
        <is>
          <t>named and classified by a chemist agent; reviewed by an independent agent</t>
        </is>
      </c>
    </row>
    <row r="1118">
      <c r="A1118" s="3" t="inlineStr">
        <is>
          <t>BrCc1ccccn1</t>
        </is>
      </c>
      <c r="B1118" s="2" t="inlineStr">
        <is>
          <t>2-(bromomethyl)pyridine</t>
        </is>
      </c>
      <c r="C1118" s="2" t="inlineStr"/>
      <c r="D1118" s="2" t="inlineStr">
        <is>
          <t>electrophile / alkylating agent</t>
        </is>
      </c>
      <c r="E1118" s="2" t="inlineStr"/>
      <c r="F1118" s="2" t="n"/>
      <c r="G1118" s="2" t="n">
        <v>25</v>
      </c>
      <c r="H1118" s="2" t="inlineStr">
        <is>
          <t>2-(Bromomethyl)pyridine (CID 564209)</t>
        </is>
      </c>
      <c r="I1118" s="2" t="inlineStr">
        <is>
          <t>Picolyl alkylating agent (HBr salt) for the O-alkylation.</t>
        </is>
      </c>
      <c r="J1118" s="2" t="inlineStr">
        <is>
          <t>named and classified by a chemist agent; reviewed by an independent agent</t>
        </is>
      </c>
    </row>
    <row r="1119">
      <c r="A1119" s="3" t="inlineStr">
        <is>
          <t>Cc1cc(C)c(N2CCN(c3c(C)cc(C)cc3C)[C]2=[Ru]([Cl])([Cl])=[CH]c2ccccc2OC(C)C)c(C)c1</t>
        </is>
      </c>
      <c r="B1119" s="2" t="inlineStr">
        <is>
          <t>Hoveyda-Grubbs 2nd-generation catalyst</t>
        </is>
      </c>
      <c r="C1119" s="2" t="inlineStr">
        <is>
          <t>HG-II</t>
        </is>
      </c>
      <c r="D1119" s="2" t="inlineStr">
        <is>
          <t>catalyst (metal)</t>
        </is>
      </c>
      <c r="E1119" s="2" t="inlineStr"/>
      <c r="F1119" s="2" t="n"/>
      <c r="G1119" s="2" t="n">
        <v>25</v>
      </c>
      <c r="H1119" s="2" t="inlineStr">
        <is>
          <t>(1,3-Bis(2,4,6-trimethylphenyl)imidazolidin-2-ylidene)(dichloro)((2-((propan-2-yl)oxy)phenyl)methylidene)ruthenium (CID 11763533)</t>
        </is>
      </c>
      <c r="I1119" s="2" t="inlineStr">
        <is>
          <t>Ru-NHC carbene; with NaBH4 it acts as a hydrogenation catalyst for the macrocyclic alkene.</t>
        </is>
      </c>
      <c r="J1119" s="2" t="inlineStr">
        <is>
          <t>named and classified by a chemist agent; reviewed by an independent agent</t>
        </is>
      </c>
    </row>
    <row r="1120">
      <c r="A1120" s="3" t="inlineStr">
        <is>
          <t>[Cd+2]</t>
        </is>
      </c>
      <c r="B1120" s="2" t="inlineStr">
        <is>
          <t>cadmium(II) ion</t>
        </is>
      </c>
      <c r="C1120" s="2" t="inlineStr">
        <is>
          <t>CdCl2</t>
        </is>
      </c>
      <c r="D1120" s="2" t="inlineStr">
        <is>
          <t>reactant (inorganic)</t>
        </is>
      </c>
      <c r="E1120" s="2" t="inlineStr">
        <is>
          <t>organometallic reagent</t>
        </is>
      </c>
      <c r="F1120" s="2" t="n"/>
      <c r="G1120" s="2" t="n">
        <v>25</v>
      </c>
      <c r="H1120" s="2" t="inlineStr">
        <is>
          <t>Cadmium cation (CID 31193)</t>
        </is>
      </c>
      <c r="I1120" s="2" t="inlineStr">
        <is>
          <t>CdCl2 transmetalates the Grignard to a diarylcadmium, which acylates cleanly to a ketone.</t>
        </is>
      </c>
      <c r="J1120" s="2" t="inlineStr">
        <is>
          <t>named and classified by a chemist agent; reviewed by an independent agent</t>
        </is>
      </c>
    </row>
    <row r="1121">
      <c r="A1121" s="3" t="inlineStr">
        <is>
          <t>C[SiH](Cl)Cl</t>
        </is>
      </c>
      <c r="B1121" s="2" t="inlineStr">
        <is>
          <t>dichloro(methyl)silane</t>
        </is>
      </c>
      <c r="C1121" s="2" t="inlineStr">
        <is>
          <t>MeSiHCl2</t>
        </is>
      </c>
      <c r="D1121" s="2" t="inlineStr">
        <is>
          <t>reductant</t>
        </is>
      </c>
      <c r="E1121" s="2" t="inlineStr"/>
      <c r="F1121" s="2" t="n"/>
      <c r="G1121" s="2" t="n">
        <v>25</v>
      </c>
      <c r="H1121" s="2" t="inlineStr">
        <is>
          <t>Methyldichlorosilane (CID 6376)</t>
        </is>
      </c>
      <c r="I1121" s="2" t="inlineStr">
        <is>
          <t>Hydride donor in Si-H/Si-Cl redistribution (R3SiCl to R3SiH), catalyzed by Bu4P+Cl-.</t>
        </is>
      </c>
      <c r="J1121" s="2" t="inlineStr">
        <is>
          <t>named and classified by a chemist agent; reviewed by an independent agent</t>
        </is>
      </c>
    </row>
    <row r="1122">
      <c r="A1122" s="3" t="inlineStr">
        <is>
          <t>O=C(O)CCl</t>
        </is>
      </c>
      <c r="B1122" s="2" t="inlineStr">
        <is>
          <t>chloroacetic acid</t>
        </is>
      </c>
      <c r="C1122" s="2" t="inlineStr"/>
      <c r="D1122" s="2" t="inlineStr">
        <is>
          <t>electrophile / alkylating agent</t>
        </is>
      </c>
      <c r="E1122" s="2" t="inlineStr">
        <is>
          <t>acid</t>
        </is>
      </c>
      <c r="F1122" s="2" t="n"/>
      <c r="G1122" s="2" t="n">
        <v>25</v>
      </c>
      <c r="H1122" s="2" t="inlineStr">
        <is>
          <t>Chloroacetic Acid (CID 300)</t>
        </is>
      </c>
      <c r="I1122" s="2" t="inlineStr">
        <is>
          <t>Chloroacetyl source / hydrolysis product of chloroacetyl chloride in triazole ring closure.</t>
        </is>
      </c>
      <c r="J1122" s="2" t="inlineStr">
        <is>
          <t>named and classified by a chemist agent; reviewed by an independent agent</t>
        </is>
      </c>
    </row>
    <row r="1123">
      <c r="A1123" s="3" t="inlineStr">
        <is>
          <t>C=CCN</t>
        </is>
      </c>
      <c r="B1123" s="2" t="inlineStr">
        <is>
          <t>allylamine</t>
        </is>
      </c>
      <c r="C1123" s="2" t="inlineStr"/>
      <c r="D1123" s="2" t="inlineStr">
        <is>
          <t>nucleophile</t>
        </is>
      </c>
      <c r="E1123" s="2" t="inlineStr"/>
      <c r="F1123" s="2" t="n"/>
      <c r="G1123" s="2" t="n">
        <v>25</v>
      </c>
      <c r="H1123" s="2" t="inlineStr">
        <is>
          <t>Allylamine (CID 7853)</t>
        </is>
      </c>
      <c r="I1123" s="2" t="inlineStr">
        <is>
          <t>Amine nucleophile in Cu-catalyzed amination (CuSO4 with citric acid).</t>
        </is>
      </c>
      <c r="J1123" s="2" t="inlineStr">
        <is>
          <t>named and classified by a chemist agent; reviewed by an independent agent</t>
        </is>
      </c>
    </row>
    <row r="1124">
      <c r="A1124" s="3" t="inlineStr">
        <is>
          <t>C1=CCC=C1</t>
        </is>
      </c>
      <c r="B1124" s="2" t="inlineStr">
        <is>
          <t>cyclopentadiene</t>
        </is>
      </c>
      <c r="C1124" s="2" t="inlineStr"/>
      <c r="D1124" s="2" t="inlineStr">
        <is>
          <t>ligand</t>
        </is>
      </c>
      <c r="E1124" s="2" t="inlineStr"/>
      <c r="F1124" s="2" t="n"/>
      <c r="G1124" s="2" t="n">
        <v>25</v>
      </c>
      <c r="H1124" s="2" t="inlineStr">
        <is>
          <t>Cyclopentadiene (CID 7612)</t>
        </is>
      </c>
      <c r="I1124" s="2" t="inlineStr">
        <is>
          <t>Probably a fragment of dichloro(dicyclopentadiene)platinum(II), a hydrosilylation catalyst.</t>
        </is>
      </c>
      <c r="J1124" s="2" t="inlineStr">
        <is>
          <t>named and classified by a chemist agent; reviewed by an independent agent</t>
        </is>
      </c>
    </row>
    <row r="1125">
      <c r="A1125" s="3" t="inlineStr">
        <is>
          <t>CCCCCCCCS</t>
        </is>
      </c>
      <c r="B1125" s="2" t="inlineStr">
        <is>
          <t>1-octanethiol</t>
        </is>
      </c>
      <c r="C1125" s="2" t="inlineStr"/>
      <c r="D1125" s="2" t="inlineStr">
        <is>
          <t>nucleophile</t>
        </is>
      </c>
      <c r="E1125" s="2" t="inlineStr">
        <is>
          <t>deprotecting agent</t>
        </is>
      </c>
      <c r="F1125" s="2" t="n"/>
      <c r="G1125" s="2" t="n">
        <v>24</v>
      </c>
      <c r="H1125" s="2" t="inlineStr">
        <is>
          <t>1-Octanethiol (CID 8144)</t>
        </is>
      </c>
      <c r="I1125" s="2" t="inlineStr">
        <is>
          <t>Deprotonated by n-BuLi in HMPA; the thiolate cleaves the methyl ester by SN2.</t>
        </is>
      </c>
      <c r="J1125" s="2" t="inlineStr">
        <is>
          <t>named and classified by a chemist agent; reviewed by an independent agent</t>
        </is>
      </c>
    </row>
    <row r="1126">
      <c r="A1126" s="3" t="inlineStr">
        <is>
          <t>C[Si](C)(C)[O][K]</t>
        </is>
      </c>
      <c r="B1126" s="2" t="inlineStr">
        <is>
          <t>potassium trimethylsilanolate</t>
        </is>
      </c>
      <c r="C1126" s="2" t="inlineStr">
        <is>
          <t>TMSOK</t>
        </is>
      </c>
      <c r="D1126" s="2" t="inlineStr">
        <is>
          <t>nucleophile</t>
        </is>
      </c>
      <c r="E1126" s="2" t="inlineStr">
        <is>
          <t>base</t>
        </is>
      </c>
      <c r="F1126" s="2" t="n">
        <v>11</v>
      </c>
      <c r="G1126" s="2" t="n">
        <v>24</v>
      </c>
      <c r="H1126" s="2" t="inlineStr">
        <is>
          <t>Potassium trimethylsilanolate (CID 23668039)</t>
        </is>
      </c>
      <c r="I1126" s="2" t="inlineStr">
        <is>
          <t>Anhydrous ester cleavage: silanolate attacks the ester to give the potassium carboxylate.</t>
        </is>
      </c>
      <c r="J1126" s="2" t="inlineStr">
        <is>
          <t>named and classified by a chemist agent; reviewed by an independent agent</t>
        </is>
      </c>
    </row>
    <row r="1127">
      <c r="A1127" s="3" t="inlineStr">
        <is>
          <t>CC(C)[C@@H](C(=O)O)N1Cc2ccc(-c3ccc(NC(=O)c4ccc(C(C)(C)C)cc4)cn3)cc2C1=O</t>
        </is>
      </c>
      <c r="B1127" s="2" t="inlineStr">
        <is>
          <t>(2S)-2-{6-[5-(4-tert-butylbenzamido)pyridin-2-yl]-1-oxoisoindolin-2-yl}-3-methylbutanoic acid</t>
        </is>
      </c>
      <c r="C1127" s="2" t="inlineStr"/>
      <c r="D1127" s="2" t="inlineStr">
        <is>
          <t>other</t>
        </is>
      </c>
      <c r="E1127" s="2" t="inlineStr"/>
      <c r="F1127" s="2" t="n"/>
      <c r="G1127" s="2" t="n">
        <v>24</v>
      </c>
      <c r="H1127" s="2" t="inlineStr">
        <is>
          <t>(S)-2-(6-(5-(4-tert-Butylbenzamido)pyridin-2-yl)-1-oxoisoindolin-2-yl)-3-methyl butanoic acid (CID 67306402)</t>
        </is>
      </c>
      <c r="I1127" s="2" t="inlineStr">
        <is>
          <t>Close analog/precursor of the substrate or product recorded among the agents (patent data artifact); no reagent role.</t>
        </is>
      </c>
      <c r="J1127" s="2" t="inlineStr">
        <is>
          <t>named and classified by a chemist agent; reviewed by an independent agent; name corrected after comparing with PubChem (was: isoindolinone valine acid (product analog))</t>
        </is>
      </c>
    </row>
    <row r="1128">
      <c r="A1128" s="3" t="inlineStr">
        <is>
          <t>O=c1[nH]c(C2CCNCC2)nc2c1oc1ccc(Br)cc12</t>
        </is>
      </c>
      <c r="B1128" s="2" t="inlineStr">
        <is>
          <t>8-bromo-2-(piperidin-4-yl)benzofuro[3,2-d]pyrimidin-4(3H)-one (product analog)</t>
        </is>
      </c>
      <c r="C1128" s="2" t="inlineStr"/>
      <c r="D1128" s="2" t="inlineStr">
        <is>
          <t>other</t>
        </is>
      </c>
      <c r="E1128" s="2" t="inlineStr"/>
      <c r="F1128" s="2" t="n"/>
      <c r="G1128" s="2" t="n">
        <v>24</v>
      </c>
      <c r="H1128" s="2" t="inlineStr">
        <is>
          <t>8-bromo-2-piperidin-4-yl[1]benzofuro[3,2-d]pyrimidin-4(3H)-one (CID 136189800)</t>
        </is>
      </c>
      <c r="I1128" s="2" t="inlineStr">
        <is>
          <t>Close analog/precursor of the substrate or product recorded among the agents (patent data artifact); no reagent role.</t>
        </is>
      </c>
      <c r="J1128" s="2" t="inlineStr">
        <is>
          <t>named and classified by a chemist agent; reviewed by an independent agent; corrected name (C4 is the carbonyl carbon. The piperidinyl sits on the carbon between the two ring nitrogens, which is C2. The 8-bromo substituent was also left out of the name)</t>
        </is>
      </c>
    </row>
    <row r="1129">
      <c r="A1129" s="3" t="inlineStr">
        <is>
          <t>CC(S)S</t>
        </is>
      </c>
      <c r="B1129" s="2" t="inlineStr">
        <is>
          <t>ethane-1,1-dithiol</t>
        </is>
      </c>
      <c r="C1129" s="2" t="inlineStr"/>
      <c r="D1129" s="2" t="inlineStr">
        <is>
          <t>nucleophile</t>
        </is>
      </c>
      <c r="E1129" s="2" t="inlineStr">
        <is>
          <t>deprotecting agent</t>
        </is>
      </c>
      <c r="F1129" s="2" t="n"/>
      <c r="G1129" s="2" t="n">
        <v>24</v>
      </c>
      <c r="H1129" s="2" t="inlineStr">
        <is>
          <t>1,1-Ethanedithiol (CID 33645)</t>
        </is>
      </c>
      <c r="I1129" s="2" t="inlineStr">
        <is>
          <t>AlCl3/thiol aryl methyl ether cleavage; probably a mis-entry for ethanethiol.</t>
        </is>
      </c>
      <c r="J1129" s="2" t="inlineStr">
        <is>
          <t>named and classified by a chemist agent; reviewed by an independent agent</t>
        </is>
      </c>
    </row>
    <row r="1130">
      <c r="A1130" s="3" t="inlineStr">
        <is>
          <t>FC(F)(F)c1ccc(CBr)cc1</t>
        </is>
      </c>
      <c r="B1130" s="2" t="inlineStr">
        <is>
          <t>4-(trifluoromethyl)benzyl bromide</t>
        </is>
      </c>
      <c r="C1130" s="2" t="inlineStr"/>
      <c r="D1130" s="2" t="inlineStr">
        <is>
          <t>electrophile / alkylating agent</t>
        </is>
      </c>
      <c r="E1130" s="2" t="inlineStr"/>
      <c r="F1130" s="2" t="n"/>
      <c r="G1130" s="2" t="n">
        <v>24</v>
      </c>
      <c r="H1130" s="2" t="inlineStr">
        <is>
          <t>1-(Bromomethyl)-4-(trifluoromethyl)benzene (CID 123062)</t>
        </is>
      </c>
      <c r="I1130" s="2" t="inlineStr">
        <is>
          <t>Benzylating agent for indole N-alkylation with NaH (upstream step).</t>
        </is>
      </c>
      <c r="J1130" s="2" t="inlineStr">
        <is>
          <t>named and classified by a chemist agent; reviewed by an independent agent</t>
        </is>
      </c>
    </row>
    <row r="1131">
      <c r="A1131" s="3" t="inlineStr">
        <is>
          <t>CCP(=O)(C#N)CC</t>
        </is>
      </c>
      <c r="B1131" s="2" t="inlineStr">
        <is>
          <t>diethylphosphinoyl cyanide (mis-drawn DEPC)</t>
        </is>
      </c>
      <c r="C1131" s="2" t="inlineStr">
        <is>
          <t>DEPC</t>
        </is>
      </c>
      <c r="D1131" s="2" t="inlineStr">
        <is>
          <t>coupling reagent (activates an acid)</t>
        </is>
      </c>
      <c r="E1131" s="2" t="inlineStr"/>
      <c r="F1131" s="2" t="n"/>
      <c r="G1131" s="2" t="n">
        <v>24</v>
      </c>
      <c r="H1131" s="2" t="inlineStr">
        <is>
          <t>Diethylphosphorylcyanide (CID 13586794)</t>
        </is>
      </c>
      <c r="I1131" s="2" t="inlineStr">
        <is>
          <t>Probably diethyl cyanophosphonate drawn without O; activates the acid for amidation with Et3N.</t>
        </is>
      </c>
      <c r="J1131" s="2" t="inlineStr">
        <is>
          <t>named and classified by a chemist agent; reviewed by an independent agent</t>
        </is>
      </c>
    </row>
    <row r="1132">
      <c r="A1132" s="3" t="inlineStr">
        <is>
          <t>O=PO</t>
        </is>
      </c>
      <c r="B1132" s="2" t="inlineStr">
        <is>
          <t>phosphenous acid (HOP=O)</t>
        </is>
      </c>
      <c r="C1132" s="2" t="inlineStr"/>
      <c r="D1132" s="2" t="inlineStr">
        <is>
          <t>other</t>
        </is>
      </c>
      <c r="E1132" s="2" t="inlineStr"/>
      <c r="F1132" s="2" t="n"/>
      <c r="G1132" s="2" t="n">
        <v>24</v>
      </c>
      <c r="H1132" s="2" t="inlineStr">
        <is>
          <t>phosphenous acid (CID 22497)</t>
        </is>
      </c>
      <c r="I1132" s="2" t="inlineStr">
        <is>
          <t>Garbled phosphorus fragment with no clear role in this EDC coupling.</t>
        </is>
      </c>
      <c r="J1132" s="2" t="inlineStr">
        <is>
          <t>named and classified by a chemist agent; reviewed by an independent agent</t>
        </is>
      </c>
    </row>
    <row r="1133">
      <c r="A1133" s="3" t="inlineStr">
        <is>
          <t>CN(C)C(=NC(C)(C)C)N(C)C</t>
        </is>
      </c>
      <c r="B1133" s="2" t="inlineStr">
        <is>
          <t>2-tert-butyl-1,1,3,3-tetramethylguanidine</t>
        </is>
      </c>
      <c r="C1133" s="2" t="inlineStr">
        <is>
          <t>BTMG</t>
        </is>
      </c>
      <c r="D1133" s="2" t="inlineStr">
        <is>
          <t>base</t>
        </is>
      </c>
      <c r="E1133" s="2" t="inlineStr"/>
      <c r="F1133" s="2" t="n">
        <v>14</v>
      </c>
      <c r="G1133" s="2" t="n">
        <v>24</v>
      </c>
      <c r="H1133" s="2" t="inlineStr">
        <is>
          <t>2-tert-Butyl-1,1,3,3-tetramethylguanidine (CID 3571581)</t>
        </is>
      </c>
      <c r="I1133" s="2" t="inlineStr">
        <is>
          <t>Strong non-nucleophilic guanidine base (Barton's base) for sulfonamide formation.</t>
        </is>
      </c>
      <c r="J1133" s="2" t="inlineStr">
        <is>
          <t>named and classified by a chemist agent; reviewed by an independent agent</t>
        </is>
      </c>
    </row>
    <row r="1134">
      <c r="A1134" s="3" t="inlineStr">
        <is>
          <t>CCOC(C)(OCC)OCC</t>
        </is>
      </c>
      <c r="B1134" s="2" t="inlineStr">
        <is>
          <t>triethyl orthoacetate</t>
        </is>
      </c>
      <c r="C1134" s="2" t="inlineStr"/>
      <c r="D1134" s="2" t="inlineStr">
        <is>
          <t>electrophile / alkylating agent</t>
        </is>
      </c>
      <c r="E1134" s="2" t="inlineStr"/>
      <c r="F1134" s="2" t="n"/>
      <c r="G1134" s="2" t="n">
        <v>24</v>
      </c>
      <c r="H1134" s="2" t="inlineStr">
        <is>
          <t>Triethyl orthoacetate (CID 66221)</t>
        </is>
      </c>
      <c r="I1134" s="2" t="inlineStr">
        <is>
          <t>Ethylates/esterifies carboxylic acids (or builds heterocycles) in an upstream step.</t>
        </is>
      </c>
      <c r="J1134" s="2" t="inlineStr">
        <is>
          <t>named and classified by a chemist agent; reviewed by an independent agent</t>
        </is>
      </c>
    </row>
    <row r="1135">
      <c r="A1135" s="3" t="inlineStr">
        <is>
          <t>c1ccc(P(c2ccccc2)c2ccc[cH-]2)cc1</t>
        </is>
      </c>
      <c r="B1135" s="2" t="inlineStr">
        <is>
          <t>(diphenylphosphino)cyclopentadienide</t>
        </is>
      </c>
      <c r="C1135" s="2" t="inlineStr">
        <is>
          <t>dppf (half)</t>
        </is>
      </c>
      <c r="D1135" s="2" t="inlineStr">
        <is>
          <t>ligand</t>
        </is>
      </c>
      <c r="E1135" s="2" t="inlineStr"/>
      <c r="F1135" s="2" t="n"/>
      <c r="G1135" s="2" t="n">
        <v>24</v>
      </c>
      <c r="H1135" s="2" t="inlineStr"/>
      <c r="I1135" s="2" t="inlineStr">
        <is>
          <t>Half of the dppf ligand (Fe2+ listed apart) for Pd-catalyzed Buchwald-Hartwig amination.</t>
        </is>
      </c>
      <c r="J1135" s="2" t="inlineStr">
        <is>
          <t>named and classified by a chemist agent; reviewed by an independent agent</t>
        </is>
      </c>
    </row>
    <row r="1136">
      <c r="A1136" s="3" t="inlineStr">
        <is>
          <t>[Bi+3]</t>
        </is>
      </c>
      <c r="B1136" s="2" t="inlineStr">
        <is>
          <t>bismuth(III) ion</t>
        </is>
      </c>
      <c r="C1136" s="2" t="inlineStr">
        <is>
          <t>Bi(OTf)3</t>
        </is>
      </c>
      <c r="D1136" s="2" t="inlineStr">
        <is>
          <t>Lewis acid</t>
        </is>
      </c>
      <c r="E1136" s="2" t="inlineStr"/>
      <c r="F1136" s="2" t="n"/>
      <c r="G1136" s="2" t="n">
        <v>24</v>
      </c>
      <c r="H1136" s="2" t="inlineStr">
        <is>
          <t>Bismuth Cation (CID 105143)</t>
        </is>
      </c>
      <c r="I1136" s="2" t="inlineStr">
        <is>
          <t>From Bi(OTf)3; mild Lewis acid that hydrolyzes the acetonide to the diol.</t>
        </is>
      </c>
      <c r="J1136" s="2" t="inlineStr">
        <is>
          <t>named and classified by a chemist agent; reviewed by an independent agent</t>
        </is>
      </c>
    </row>
    <row r="1137">
      <c r="A1137" s="3" t="inlineStr">
        <is>
          <t>CC1(C)OB(c2cn[nH]c2)OC1(C)C</t>
        </is>
      </c>
      <c r="B1137" s="2" t="inlineStr">
        <is>
          <t>4-(pinacolatoboryl)-1H-pyrazole</t>
        </is>
      </c>
      <c r="C1137" s="2" t="inlineStr">
        <is>
          <t>pyrazole-4-Bpin</t>
        </is>
      </c>
      <c r="D1137" s="2" t="inlineStr">
        <is>
          <t>other</t>
        </is>
      </c>
      <c r="E1137" s="2" t="inlineStr"/>
      <c r="F1137" s="2" t="n"/>
      <c r="G1137" s="2" t="n">
        <v>24</v>
      </c>
      <c r="H1137" s="2" t="inlineStr">
        <is>
          <t>4-(4,4,5,5-Tetramethyl-1,3,2-dioxaborolan-2-yl)-1H-pyrazole (CID 2774010)</t>
        </is>
      </c>
      <c r="I1137" s="2" t="inlineStr">
        <is>
          <t>Close analog/precursor of the substrate or product recorded among the agents (patent data artifact); no reagent role.</t>
        </is>
      </c>
      <c r="J1137" s="2" t="inlineStr">
        <is>
          <t>named and classified by a chemist agent; reviewed by an independent agent</t>
        </is>
      </c>
    </row>
    <row r="1138">
      <c r="A1138" s="3" t="inlineStr">
        <is>
          <t>C=C(C)C(=O)O</t>
        </is>
      </c>
      <c r="B1138" s="2" t="inlineStr">
        <is>
          <t>methacrylic acid</t>
        </is>
      </c>
      <c r="C1138" s="2" t="inlineStr"/>
      <c r="D1138" s="2" t="inlineStr">
        <is>
          <t>other</t>
        </is>
      </c>
      <c r="E1138" s="2" t="inlineStr"/>
      <c r="F1138" s="2" t="n"/>
      <c r="G1138" s="2" t="n">
        <v>24</v>
      </c>
      <c r="H1138" s="2" t="inlineStr">
        <is>
          <t>Methacrylic Acid (CID 4093)</t>
        </is>
      </c>
      <c r="I1138" s="2" t="inlineStr">
        <is>
          <t>Leftover methacrylate monomer (hydroquinone is the inhibitor); no reagent role in this esterification.</t>
        </is>
      </c>
      <c r="J1138" s="2" t="inlineStr">
        <is>
          <t>named and classified by a chemist agent; reviewed by an independent agent</t>
        </is>
      </c>
    </row>
    <row r="1139">
      <c r="A1139" s="3" t="inlineStr">
        <is>
          <t>[Li][N]1C(C)(C)CCCC1(C)C</t>
        </is>
      </c>
      <c r="B1139" s="2" t="inlineStr">
        <is>
          <t>lithium 2,2,6,6-tetramethylpiperidide</t>
        </is>
      </c>
      <c r="C1139" s="2" t="inlineStr">
        <is>
          <t>LiTMP</t>
        </is>
      </c>
      <c r="D1139" s="2" t="inlineStr">
        <is>
          <t>base</t>
        </is>
      </c>
      <c r="E1139" s="2" t="inlineStr"/>
      <c r="F1139" s="2" t="n">
        <v>37</v>
      </c>
      <c r="G1139" s="2" t="n">
        <v>24</v>
      </c>
      <c r="H1139" s="2" t="inlineStr">
        <is>
          <t>Lithium tetramethylpiperidide (CID 11051814)</t>
        </is>
      </c>
      <c r="I1139" s="2" t="inlineStr">
        <is>
          <t>Hindered amide base for directed lithiation; the aryllithium is then formylated by DMF.</t>
        </is>
      </c>
      <c r="J1139" s="2" t="inlineStr">
        <is>
          <t>named and classified by a chemist agent; reviewed by an independent agent</t>
        </is>
      </c>
    </row>
    <row r="1140">
      <c r="A1140" s="3" t="inlineStr">
        <is>
          <t>CN(C)c1ccc([PH](C(C)(C)C)(C(C)(C)C)[Pd]2([O]S(C)(=O)=O)[NH]c3ccccc3-c3cccc[c]32)cc1</t>
        </is>
      </c>
      <c r="B1140" s="2" t="inlineStr">
        <is>
          <t>Amphos Pd G3 precatalyst</t>
        </is>
      </c>
      <c r="C1140" s="2" t="inlineStr"/>
      <c r="D1140" s="2" t="inlineStr">
        <is>
          <t>catalyst (metal)</t>
        </is>
      </c>
      <c r="E1140" s="2" t="inlineStr"/>
      <c r="F1140" s="2" t="n"/>
      <c r="G1140" s="2" t="n">
        <v>24</v>
      </c>
      <c r="H1140" s="2" t="inlineStr">
        <is>
          <t>Amphos Pd G3 (CID 155981990)</t>
        </is>
      </c>
      <c r="I1140" s="2" t="inlineStr">
        <is>
          <t>Palladacycle (2-aminobiphenyl, OMs) with Amphos ligand; Suzuki coupling with a phosphazene base.</t>
        </is>
      </c>
      <c r="J1140" s="2" t="inlineStr">
        <is>
          <t>named and classified by a chemist agent; reviewed by an independent agent</t>
        </is>
      </c>
    </row>
    <row r="1141">
      <c r="A1141" s="3" t="inlineStr">
        <is>
          <t>C=CCCl</t>
        </is>
      </c>
      <c r="B1141" s="2" t="inlineStr">
        <is>
          <t>allyl chloride</t>
        </is>
      </c>
      <c r="C1141" s="2" t="inlineStr"/>
      <c r="D1141" s="2" t="inlineStr">
        <is>
          <t>electrophile / alkylating agent</t>
        </is>
      </c>
      <c r="E1141" s="2" t="inlineStr"/>
      <c r="F1141" s="2" t="n"/>
      <c r="G1141" s="2" t="n">
        <v>24</v>
      </c>
      <c r="H1141" s="2" t="inlineStr">
        <is>
          <t>Allyl chloride (CID 7850)</t>
        </is>
      </c>
      <c r="I1141" s="2" t="inlineStr">
        <is>
          <t>Allylating agent with DIPEA from the upstream O-allylation.</t>
        </is>
      </c>
      <c r="J1141" s="2" t="inlineStr">
        <is>
          <t>named and classified by a chemist agent; reviewed by an independent agent</t>
        </is>
      </c>
    </row>
    <row r="1142">
      <c r="A1142" s="3" t="inlineStr">
        <is>
          <t>[P+3]</t>
        </is>
      </c>
      <c r="B1142" s="2" t="inlineStr">
        <is>
          <t>phosphorus(III) ion (probably a mis-split of POCl3, which is P(V))</t>
        </is>
      </c>
      <c r="C1142" s="2" t="inlineStr">
        <is>
          <t>POCl3</t>
        </is>
      </c>
      <c r="D1142" s="2" t="inlineStr">
        <is>
          <t>dehydrating / activating agent</t>
        </is>
      </c>
      <c r="E1142" s="2" t="inlineStr"/>
      <c r="F1142" s="2" t="n"/>
      <c r="G1142" s="2" t="n">
        <v>24</v>
      </c>
      <c r="H1142" s="2" t="inlineStr"/>
      <c r="I1142" s="2" t="inlineStr">
        <is>
          <t>POCl3 split into ions; with DMF it forms the Vilsmeier reagent for C3 formylation of the indole.</t>
        </is>
      </c>
      <c r="J1142" s="2" t="inlineStr">
        <is>
          <t>named and classified by a chemist agent; reviewed by an independent agent; corrected name (Wrong oxidation state: phosphorus in POCl3 is +5. A P3+ fragment would fit PCl3 instead, so calling it a POCl3 fragment is inconsistent.)</t>
        </is>
      </c>
    </row>
    <row r="1143">
      <c r="A1143" s="3" t="inlineStr">
        <is>
          <t>C/C=C/C=O</t>
        </is>
      </c>
      <c r="B1143" s="2" t="inlineStr">
        <is>
          <t>(E)-crotonaldehyde</t>
        </is>
      </c>
      <c r="C1143" s="2" t="inlineStr"/>
      <c r="D1143" s="2" t="inlineStr">
        <is>
          <t>electrophile / alkylating agent</t>
        </is>
      </c>
      <c r="E1143" s="2" t="inlineStr"/>
      <c r="F1143" s="2" t="n"/>
      <c r="G1143" s="2" t="n">
        <v>24</v>
      </c>
      <c r="H1143" s="2" t="inlineStr">
        <is>
          <t>Crotonaldehyde (CID 447466)</t>
        </is>
      </c>
      <c r="I1143" s="2" t="inlineStr">
        <is>
          <t>Takes the sec-butyl Grignard by 1,2-addition upstream to give the allylic alcohol.</t>
        </is>
      </c>
      <c r="J1143" s="2" t="inlineStr">
        <is>
          <t>named and classified by a chemist agent; reviewed by an independent agent</t>
        </is>
      </c>
    </row>
    <row r="1144">
      <c r="A1144" s="3" t="inlineStr">
        <is>
          <t>CCOP(=O)(O)Cc1ccc(Nc2ncc(C(F)(F)F)c(Nc3ccc(-c4cnn(CCCO)c4)cc3C(=O)N(CC)CC)n2)c(OC)c1</t>
        </is>
      </c>
      <c r="B1144" s="2" t="inlineStr">
        <is>
          <t>ethyl hydrogen (4-{[4-({2-(diethylcarbamoyl)-4-[1-(3-hydroxypropyl)-1H-pyrazol-4-yl]phenyl}amino)-5-(trifluoromethyl)pyrimidin-2-yl]amino}-3-methoxybenzyl)phosphonate</t>
        </is>
      </c>
      <c r="C1144" s="2" t="inlineStr"/>
      <c r="D1144" s="2" t="inlineStr">
        <is>
          <t>other</t>
        </is>
      </c>
      <c r="E1144" s="2" t="inlineStr"/>
      <c r="F1144" s="2" t="n"/>
      <c r="G1144" s="2" t="n">
        <v>24</v>
      </c>
      <c r="H1144" s="2" t="inlineStr">
        <is>
          <t>Ethyl hydrogen (4-{[4-({2-(diethylcarbamoyl)-4-[1-(3-hydroxypropyl)-1H-pyrazol-4-yl]phenyl}amino)-5-(trifluoromethyl)pyrimidin-2-yl]amino}-3-methoxybenzyl)phosphonate (CID 86697678)</t>
        </is>
      </c>
      <c r="I1144" s="2" t="inlineStr">
        <is>
          <t>Close analog/precursor of the substrate or product recorded among the agents (patent data artifact); no reagent role.</t>
        </is>
      </c>
      <c r="J1144" s="2" t="inlineStr">
        <is>
          <t>named and classified by a chemist agent; reviewed by an independent agent; name corrected after comparing with PubChem (was: mono-ethyl phosphonic acid analog)</t>
        </is>
      </c>
    </row>
    <row r="1145">
      <c r="A1145" s="3" t="inlineStr">
        <is>
          <t>COC(=O)C(=CC(=O)[O-])Nc1ccc(Br)cc1OC</t>
        </is>
      </c>
      <c r="B1145" s="2" t="inlineStr">
        <is>
          <t>3-[(4-bromo-2-methoxyphenyl)amino]-4-methoxy-4-oxobut-2-enoate</t>
        </is>
      </c>
      <c r="C1145" s="2" t="inlineStr"/>
      <c r="D1145" s="2" t="inlineStr">
        <is>
          <t>other</t>
        </is>
      </c>
      <c r="E1145" s="2" t="inlineStr"/>
      <c r="F1145" s="2" t="n"/>
      <c r="G1145" s="2" t="n">
        <v>24</v>
      </c>
      <c r="H1145" s="2" t="inlineStr">
        <is>
          <t>Methyl 2-[(4-bromo-2-methoxyphenyl)amino]but-2-enedioate (CID 86607195)</t>
        </is>
      </c>
      <c r="I1145" s="2" t="inlineStr">
        <is>
          <t>Close analog/precursor of the substrate or product recorded among the agents (patent data artifact); no reagent role.</t>
        </is>
      </c>
      <c r="J1145" s="2" t="inlineStr">
        <is>
          <t>named and classified by a chemist agent; reviewed by an independent agent; name corrected after comparing with PubChem (was: enamino diester carboxylate analog)</t>
        </is>
      </c>
    </row>
    <row r="1146">
      <c r="A1146" s="3" t="inlineStr">
        <is>
          <t>CCC[CH2][Sn+]([CH2]CCC)[CH2]CCC</t>
        </is>
      </c>
      <c r="B1146" s="2" t="inlineStr">
        <is>
          <t>tributyltin ion (from Bu3SnOMe)</t>
        </is>
      </c>
      <c r="C1146" s="2" t="inlineStr">
        <is>
          <t>Bu3SnOMe</t>
        </is>
      </c>
      <c r="D1146" s="2" t="inlineStr">
        <is>
          <t>organometallic reagent</t>
        </is>
      </c>
      <c r="E1146" s="2" t="inlineStr"/>
      <c r="F1146" s="2" t="n"/>
      <c r="G1146" s="2" t="n">
        <v>24</v>
      </c>
      <c r="H1146" s="2" t="inlineStr">
        <is>
          <t>Tributylstannylium (CID 37499)</t>
        </is>
      </c>
      <c r="I1146" s="2" t="inlineStr">
        <is>
          <t>Bu3SnOMe with isopropenyl acetate makes a tin enolate for Pd-catalyzed arylation to the aryl acetone.</t>
        </is>
      </c>
      <c r="J1146" s="2" t="inlineStr">
        <is>
          <t>named and classified by a chemist agent; reviewed by an independent agent</t>
        </is>
      </c>
    </row>
    <row r="1147">
      <c r="A1147" s="3" t="inlineStr">
        <is>
          <t>CC1(C)OBOC1(C)C</t>
        </is>
      </c>
      <c r="B1147" s="2" t="inlineStr">
        <is>
          <t>pinacolborane</t>
        </is>
      </c>
      <c r="C1147" s="2" t="inlineStr">
        <is>
          <t>HBpin</t>
        </is>
      </c>
      <c r="D1147" s="2" t="inlineStr">
        <is>
          <t>organometallic reagent</t>
        </is>
      </c>
      <c r="E1147" s="2" t="inlineStr"/>
      <c r="F1147" s="2" t="n"/>
      <c r="G1147" s="2" t="n">
        <v>24</v>
      </c>
      <c r="H1147" s="2" t="inlineStr">
        <is>
          <t>4,4,5,5-Tetramethyl[1,3,2]dioxaborolane (CID 2734768)</t>
        </is>
      </c>
      <c r="I1147" s="2" t="inlineStr">
        <is>
          <t>Borylating agent (Pd/Et3N Masuda borylation) for one-pot borylation then Suzuki coupling.</t>
        </is>
      </c>
      <c r="J1147" s="2" t="inlineStr">
        <is>
          <t>named and classified by a chemist agent; reviewed by an independent agent; corrected role (In this batch, 'other' marks inactive artifacts. The notes describe HBpin as the active borylating agent in a Masuda borylation, so it needs a reagent role. Thi)</t>
        </is>
      </c>
    </row>
    <row r="1148">
      <c r="A1148" s="3" t="inlineStr">
        <is>
          <t>O=CCCl</t>
        </is>
      </c>
      <c r="B1148" s="2" t="inlineStr">
        <is>
          <t>chloroacetaldehyde</t>
        </is>
      </c>
      <c r="C1148" s="2" t="inlineStr"/>
      <c r="D1148" s="2" t="inlineStr">
        <is>
          <t>electrophile / alkylating agent</t>
        </is>
      </c>
      <c r="E1148" s="2" t="inlineStr"/>
      <c r="F1148" s="2" t="n"/>
      <c r="G1148" s="2" t="n">
        <v>24</v>
      </c>
      <c r="H1148" s="2" t="inlineStr">
        <is>
          <t>Chloroacetaldehyde (CID 33)</t>
        </is>
      </c>
      <c r="I1148" s="2" t="inlineStr">
        <is>
          <t>C2 bis-electrophile that closes the pyrrole ring onto the 6-aminopyrimidine (NaOAc).</t>
        </is>
      </c>
      <c r="J1148" s="2" t="inlineStr">
        <is>
          <t>named and classified by a chemist agent; reviewed by an independent agent</t>
        </is>
      </c>
    </row>
    <row r="1149">
      <c r="A1149" s="3" t="inlineStr">
        <is>
          <t>C#CC</t>
        </is>
      </c>
      <c r="B1149" s="2" t="inlineStr">
        <is>
          <t>propyne</t>
        </is>
      </c>
      <c r="C1149" s="2" t="inlineStr"/>
      <c r="D1149" s="2" t="inlineStr">
        <is>
          <t>nucleophile</t>
        </is>
      </c>
      <c r="E1149" s="2" t="inlineStr">
        <is>
          <t>gas</t>
        </is>
      </c>
      <c r="F1149" s="2" t="n"/>
      <c r="G1149" s="2" t="n">
        <v>24</v>
      </c>
      <c r="H1149" s="2" t="inlineStr">
        <is>
          <t>Propyne (CID 6335)</t>
        </is>
      </c>
      <c r="I1149" s="2" t="inlineStr">
        <is>
          <t>Terminal alkyne partner in Sonogashira coupling (Pd/CuI).</t>
        </is>
      </c>
      <c r="J1149" s="2" t="inlineStr">
        <is>
          <t>named and classified by a chemist agent; reviewed by an independent agent</t>
        </is>
      </c>
    </row>
    <row r="1150">
      <c r="A1150" s="3" t="inlineStr">
        <is>
          <t>[CH3][Sn+]([CH3])[CH3]</t>
        </is>
      </c>
      <c r="B1150" s="2" t="inlineStr">
        <is>
          <t>trimethyltin ion (from Me3SnOH)</t>
        </is>
      </c>
      <c r="C1150" s="2" t="inlineStr">
        <is>
          <t>Me3SnOH</t>
        </is>
      </c>
      <c r="D1150" s="2" t="inlineStr">
        <is>
          <t>deprotecting agent</t>
        </is>
      </c>
      <c r="E1150" s="2" t="inlineStr"/>
      <c r="F1150" s="2" t="n"/>
      <c r="G1150" s="2" t="n">
        <v>23</v>
      </c>
      <c r="H1150" s="2" t="inlineStr">
        <is>
          <t>Trimethyltin(1+) (CID 21162)</t>
        </is>
      </c>
      <c r="I1150" s="2" t="inlineStr">
        <is>
          <t>Me3SnOH gives mild, selective methyl ester hydrolysis in DCE (Nicolaou).</t>
        </is>
      </c>
      <c r="J1150" s="2" t="inlineStr">
        <is>
          <t>named and classified by a chemist agent; reviewed by an independent agent</t>
        </is>
      </c>
    </row>
    <row r="1151">
      <c r="A1151" s="3" t="inlineStr">
        <is>
          <t>COCCBr</t>
        </is>
      </c>
      <c r="B1151" s="2" t="inlineStr">
        <is>
          <t>2-bromoethyl methyl ether</t>
        </is>
      </c>
      <c r="C1151" s="2" t="inlineStr"/>
      <c r="D1151" s="2" t="inlineStr">
        <is>
          <t>electrophile / alkylating agent</t>
        </is>
      </c>
      <c r="E1151" s="2" t="inlineStr"/>
      <c r="F1151" s="2" t="n"/>
      <c r="G1151" s="2" t="n">
        <v>23</v>
      </c>
      <c r="H1151" s="2" t="inlineStr">
        <is>
          <t>2-Bromoethyl methyl ether (CID 80972)</t>
        </is>
      </c>
      <c r="I1151" s="2" t="inlineStr">
        <is>
          <t>Methoxyethylating agent for phenol O-alkylation with K2CO3.</t>
        </is>
      </c>
      <c r="J1151" s="2" t="inlineStr">
        <is>
          <t>named and classified by a chemist agent; reviewed by an independent agent</t>
        </is>
      </c>
    </row>
    <row r="1152">
      <c r="A1152" s="3" t="inlineStr">
        <is>
          <t>CN(C)C(Cl)=[N+](C)C</t>
        </is>
      </c>
      <c r="B1152" s="2" t="inlineStr">
        <is>
          <t>chloro-N,N,N',N'-tetramethylformamidinium ion</t>
        </is>
      </c>
      <c r="C1152" s="2" t="inlineStr">
        <is>
          <t>TCFH</t>
        </is>
      </c>
      <c r="D1152" s="2" t="inlineStr">
        <is>
          <t>coupling reagent (activates an acid)</t>
        </is>
      </c>
      <c r="E1152" s="2" t="inlineStr"/>
      <c r="F1152" s="2" t="n"/>
      <c r="G1152" s="2" t="n">
        <v>23</v>
      </c>
      <c r="H1152" s="2" t="inlineStr">
        <is>
          <t>Chloro(dimethylamino)-N,N-dimethylmethaniminium (CID 4455752)</t>
        </is>
      </c>
      <c r="I1152" s="2" t="inlineStr">
        <is>
          <t>TCFH (PF6 salt) with N-methylimidazole forms an acyl imidazolium for amidation.</t>
        </is>
      </c>
      <c r="J1152" s="2" t="inlineStr">
        <is>
          <t>named and classified by a chemist agent; reviewed by an independent agent</t>
        </is>
      </c>
    </row>
    <row r="1153">
      <c r="A1153" s="3" t="inlineStr">
        <is>
          <t>N[C@@H](CS)C(=O)O</t>
        </is>
      </c>
      <c r="B1153" s="2" t="inlineStr">
        <is>
          <t>L-cysteine</t>
        </is>
      </c>
      <c r="C1153" s="2" t="inlineStr">
        <is>
          <t>Cys</t>
        </is>
      </c>
      <c r="D1153" s="2" t="inlineStr">
        <is>
          <t>additive</t>
        </is>
      </c>
      <c r="E1153" s="2" t="inlineStr">
        <is>
          <t>nucleophile</t>
        </is>
      </c>
      <c r="F1153" s="2" t="n"/>
      <c r="G1153" s="2" t="n">
        <v>23</v>
      </c>
      <c r="H1153" s="2" t="inlineStr">
        <is>
          <t>L-(+)-Cysteine (CID 5862)</t>
        </is>
      </c>
      <c r="I1153" s="2" t="inlineStr">
        <is>
          <t>Thiol cation scavenger trapping tert-butyl cations during TFA ester cleavage.</t>
        </is>
      </c>
      <c r="J1153" s="2" t="inlineStr">
        <is>
          <t>named and classified by a chemist agent; reviewed by an independent agent</t>
        </is>
      </c>
    </row>
    <row r="1154">
      <c r="A1154" s="3" t="inlineStr">
        <is>
          <t>C1=c2ccccc2=C(c2cccc3ccccc23)C(P(c2ccccc2)c2ccccc2)(P(c2ccccc2)c2ccccc2)C1</t>
        </is>
      </c>
      <c r="B1154" s="2" t="inlineStr">
        <is>
          <t>2,2-bis(diphenylphosphino)-1-(1-naphthyl)-2,3-dihydronaphthalene</t>
        </is>
      </c>
      <c r="C1154" s="2" t="inlineStr">
        <is>
          <t>BINAP</t>
        </is>
      </c>
      <c r="D1154" s="2" t="inlineStr">
        <is>
          <t>ligand</t>
        </is>
      </c>
      <c r="E1154" s="2" t="inlineStr"/>
      <c r="F1154" s="2" t="n"/>
      <c r="G1154" s="2" t="n">
        <v>23</v>
      </c>
      <c r="H1154" s="2" t="inlineStr"/>
      <c r="I1154" s="2" t="inlineStr">
        <is>
          <t>Bisphosphine ligand for Pd-catalyzed Buchwald-Hartwig amination of the 2-chloropyridine.</t>
        </is>
      </c>
      <c r="J1154" s="2" t="inlineStr">
        <is>
          <t>named and classified by a chemist agent; reviewed by an independent agent; name corrected after comparing with PubChem (was: BINAP (malformed SMILES)); PubChem's title for this SMILES was wrong ((+/-)-2,2-Bis(diphenylphosphino)-1,1-binaphthyl (CID 86595863)): C44H34P2 (BINAP + 2H) with geminal PPh2 groups; not BINAP, and the PubChem title is a garbled BINAP name.</t>
        </is>
      </c>
    </row>
    <row r="1155">
      <c r="A1155" s="3" t="inlineStr">
        <is>
          <t>O=C(O)Cc1cccc2cnccc12</t>
        </is>
      </c>
      <c r="B1155" s="2" t="inlineStr">
        <is>
          <t>2-(isoquinolin-5-yl)acetic acid</t>
        </is>
      </c>
      <c r="C1155" s="2" t="inlineStr"/>
      <c r="D1155" s="2" t="inlineStr">
        <is>
          <t>other</t>
        </is>
      </c>
      <c r="E1155" s="2" t="inlineStr"/>
      <c r="F1155" s="2" t="n"/>
      <c r="G1155" s="2" t="n">
        <v>23</v>
      </c>
      <c r="H1155" s="2" t="inlineStr">
        <is>
          <t>2-(Isoquinolin-5-YL)acetic acid (CID 12018708)</t>
        </is>
      </c>
      <c r="I1155" s="2" t="inlineStr">
        <is>
          <t>Close analog/precursor of the substrate or product recorded among the agents (patent data artifact); no reagent role.</t>
        </is>
      </c>
      <c r="J1155" s="2" t="inlineStr">
        <is>
          <t>named and classified by a chemist agent; reviewed by an independent agent</t>
        </is>
      </c>
    </row>
    <row r="1156">
      <c r="A1156" s="3" t="inlineStr">
        <is>
          <t>CC(N)Cc1ccccc1</t>
        </is>
      </c>
      <c r="B1156" s="2" t="inlineStr">
        <is>
          <t>1-phenylpropan-2-amine</t>
        </is>
      </c>
      <c r="C1156" s="2" t="inlineStr">
        <is>
          <t>amphetamine</t>
        </is>
      </c>
      <c r="D1156" s="2" t="inlineStr">
        <is>
          <t>other</t>
        </is>
      </c>
      <c r="E1156" s="2" t="inlineStr"/>
      <c r="F1156" s="2" t="n"/>
      <c r="G1156" s="2" t="n">
        <v>23</v>
      </c>
      <c r="H1156" s="2" t="inlineStr">
        <is>
          <t>Amphetamine (CID 3007)</t>
        </is>
      </c>
      <c r="I1156" s="2" t="inlineStr">
        <is>
          <t>No evident role in this Suzuki coupling; probably a data artifact.</t>
        </is>
      </c>
      <c r="J1156" s="2" t="inlineStr">
        <is>
          <t>named and classified by a chemist agent; reviewed by an independent agent</t>
        </is>
      </c>
    </row>
    <row r="1157">
      <c r="A1157" s="3" t="inlineStr">
        <is>
          <t>CCCCCCCC(=O)C([NH3+])(C(=O)CCCCCCC)C(=O)CCCCCCC</t>
        </is>
      </c>
      <c r="B1157" s="2" t="inlineStr">
        <is>
          <t>methyltrioctylammonium (malformed SMILES)</t>
        </is>
      </c>
      <c r="C1157" s="2" t="inlineStr">
        <is>
          <t>Aliquat 336</t>
        </is>
      </c>
      <c r="D1157" s="2" t="inlineStr">
        <is>
          <t>phase-transfer catalyst</t>
        </is>
      </c>
      <c r="E1157" s="2" t="inlineStr"/>
      <c r="F1157" s="2" t="n"/>
      <c r="G1157" s="2" t="n">
        <v>23</v>
      </c>
      <c r="H1157" s="2" t="inlineStr"/>
      <c r="I1157" s="2" t="inlineStr">
        <is>
          <t>Garbled Aliquat 336 cation (chloride salt); phase-transfer catalyst for NaOH ester hydrolysis.</t>
        </is>
      </c>
      <c r="J1157" s="2" t="inlineStr">
        <is>
          <t>named and classified by a chemist agent; reviewed by an independent agent</t>
        </is>
      </c>
    </row>
    <row r="1158">
      <c r="A1158" s="3" t="inlineStr">
        <is>
          <t>O=C1C=CC(=O)N1</t>
        </is>
      </c>
      <c r="B1158" s="2" t="inlineStr">
        <is>
          <t>maleimide</t>
        </is>
      </c>
      <c r="C1158" s="2" t="inlineStr"/>
      <c r="D1158" s="2" t="inlineStr">
        <is>
          <t>other</t>
        </is>
      </c>
      <c r="E1158" s="2" t="inlineStr"/>
      <c r="F1158" s="2" t="n"/>
      <c r="G1158" s="2" t="n">
        <v>23</v>
      </c>
      <c r="H1158" s="2" t="inlineStr">
        <is>
          <t>Maleimide (CID 10935)</t>
        </is>
      </c>
      <c r="I1158" s="2" t="inlineStr">
        <is>
          <t>Fragment of the substrate's maleimide group; no reagent role in the Ac2O acetylation.</t>
        </is>
      </c>
      <c r="J1158" s="2" t="inlineStr">
        <is>
          <t>named and classified by a chemist agent; reviewed by an independent agent</t>
        </is>
      </c>
    </row>
    <row r="1159">
      <c r="A1159" s="3" t="inlineStr">
        <is>
          <t>C=CC(=O)[O-]</t>
        </is>
      </c>
      <c r="B1159" s="2" t="inlineStr">
        <is>
          <t>acrylate ion</t>
        </is>
      </c>
      <c r="C1159" s="2" t="inlineStr"/>
      <c r="D1159" s="2" t="inlineStr">
        <is>
          <t>other</t>
        </is>
      </c>
      <c r="E1159" s="2" t="inlineStr"/>
      <c r="F1159" s="2" t="n"/>
      <c r="G1159" s="2" t="n">
        <v>23</v>
      </c>
      <c r="H1159" s="2" t="inlineStr">
        <is>
          <t>Acrylate (CID 25188)</t>
        </is>
      </c>
      <c r="I1159" s="2" t="inlineStr">
        <is>
          <t>Sodium acrylate co-monomer from a polymerization recipe; no clear role in this reaction.</t>
        </is>
      </c>
      <c r="J1159" s="2" t="inlineStr">
        <is>
          <t>named and classified by a chemist agent; reviewed by an independent agent</t>
        </is>
      </c>
    </row>
    <row r="1160">
      <c r="A1160" s="3" t="inlineStr">
        <is>
          <t>NC(=O)c1ccc[n+]([C@@H]2O[C@H](COP(=O)(O)OP(=O)(O)OC[C@H]3O[C@@H](n4cnc5c(N)ncnc54)[C@H](OP(=O)(O)O)[C@@H]3O)[C@@H](O)[C@H]2O)c1</t>
        </is>
      </c>
      <c r="B1160" s="2" t="inlineStr">
        <is>
          <t>nicotinamide adenine dinucleotide phosphate, oxidized</t>
        </is>
      </c>
      <c r="C1160" s="2" t="inlineStr">
        <is>
          <t>NADP+</t>
        </is>
      </c>
      <c r="D1160" s="2" t="inlineStr">
        <is>
          <t>additive</t>
        </is>
      </c>
      <c r="E1160" s="2" t="inlineStr">
        <is>
          <t>reductant</t>
        </is>
      </c>
      <c r="F1160" s="2" t="n"/>
      <c r="G1160" s="2" t="n">
        <v>23</v>
      </c>
      <c r="H1160" s="2" t="inlineStr">
        <is>
          <t>NADP nicotinamide-adenine-dinucleotide phosphate (CID 5886)</t>
        </is>
      </c>
      <c r="I1160" s="2" t="inlineStr">
        <is>
          <t>Catalytic cofactor for ketoreductase reduction; isopropanol turns it into NADPH.</t>
        </is>
      </c>
      <c r="J1160" s="2" t="inlineStr">
        <is>
          <t>named and classified by a chemist agent; reviewed by an independent agent</t>
        </is>
      </c>
    </row>
    <row r="1161">
      <c r="A1161" s="3" t="inlineStr">
        <is>
          <t>Cc1cc(N2CCN(CCOc3ccccc3)C2=O)sc1C(=O)O</t>
        </is>
      </c>
      <c r="B1161" s="2" t="inlineStr">
        <is>
          <t>3-methyl-5-[2-oxo-3-(2-phenoxyethyl)imidazolidin-1-yl]thiophene-2-carboxylic acid</t>
        </is>
      </c>
      <c r="C1161" s="2" t="inlineStr"/>
      <c r="D1161" s="2" t="inlineStr">
        <is>
          <t>other</t>
        </is>
      </c>
      <c r="E1161" s="2" t="inlineStr"/>
      <c r="F1161" s="2" t="n"/>
      <c r="G1161" s="2" t="n">
        <v>23</v>
      </c>
      <c r="H1161" s="2" t="inlineStr">
        <is>
          <t>3-Methyl-5-(2-oxo-3-(2-phenoxyethyl)imidazolidin-1-yl)thiophene-2-carboxylic acid (CID 58031456)</t>
        </is>
      </c>
      <c r="I1161" s="2" t="inlineStr">
        <is>
          <t>Close analog/precursor of the substrate or product recorded among the agents (patent data artifact); no reagent role.</t>
        </is>
      </c>
      <c r="J1161" s="2" t="inlineStr">
        <is>
          <t>named and classified by a chemist agent; reviewed by an independent agent; name corrected after comparing with PubChem (was: thiophene carboxylic acid analog)</t>
        </is>
      </c>
    </row>
    <row r="1162">
      <c r="A1162" s="3" t="inlineStr">
        <is>
          <t>CN(C)c1ccc([PH](C(C)(C)C)(C(C)(C)C)[Pd]([Cl])([Cl])[PH](c2ccc(N(C)C)cc2)(C(C)(C)C)C(C)(C)C)cc1</t>
        </is>
      </c>
      <c r="B1162" s="2" t="inlineStr">
        <is>
          <t>dichlorobis[di-tert-butyl(4-dimethylaminophenyl)phosphine]palladium(II)</t>
        </is>
      </c>
      <c r="C1162" s="2" t="inlineStr">
        <is>
          <t>PdCl2(Amphos)2</t>
        </is>
      </c>
      <c r="D1162" s="2" t="inlineStr">
        <is>
          <t>catalyst (metal)</t>
        </is>
      </c>
      <c r="E1162" s="2" t="inlineStr"/>
      <c r="F1162" s="2" t="n"/>
      <c r="G1162" s="2" t="n">
        <v>23</v>
      </c>
      <c r="H1162" s="2" t="inlineStr"/>
      <c r="I1162" s="2" t="inlineStr">
        <is>
          <t>Air-stable Pd(II) precatalyst for Suzuki coupling with CsF.</t>
        </is>
      </c>
      <c r="J1162" s="2" t="inlineStr">
        <is>
          <t>named and classified by a chemist agent; reviewed by an independent agent; PubChem's title for this SMILES was wrong (CS-W011402 (CID 58567970)): PubChem title is a vendor catalogue code.</t>
        </is>
      </c>
    </row>
    <row r="1163">
      <c r="A1163" s="3" t="inlineStr">
        <is>
          <t>CN(C)[C+](On1nnc2ccccc21)N(C)C</t>
        </is>
      </c>
      <c r="B1163" s="2" t="inlineStr">
        <is>
          <t>O-(benzotriazol-1-yl)-N,N,N',N'-tetramethyluronium ion</t>
        </is>
      </c>
      <c r="C1163" s="2" t="inlineStr">
        <is>
          <t>TBTU</t>
        </is>
      </c>
      <c r="D1163" s="2" t="inlineStr">
        <is>
          <t>coupling reagent (activates an acid)</t>
        </is>
      </c>
      <c r="E1163" s="2" t="inlineStr"/>
      <c r="F1163" s="2" t="n"/>
      <c r="G1163" s="2" t="n">
        <v>23</v>
      </c>
      <c r="H1163" s="2" t="inlineStr">
        <is>
          <t>O-benzotriazol-1-yl-tetramethyluronium (CID 130500)</t>
        </is>
      </c>
      <c r="I1163" s="2" t="inlineStr">
        <is>
          <t>TBTU cation (BF4 salt); forms the OBt active ester for amidation with NMM.</t>
        </is>
      </c>
      <c r="J1163" s="2" t="inlineStr">
        <is>
          <t>named and classified by a chemist agent; reviewed by an independent agent</t>
        </is>
      </c>
    </row>
    <row r="1164">
      <c r="A1164" s="3" t="inlineStr">
        <is>
          <t>Cc1nn(C)c(C)c1S(=O)(=O)Cl</t>
        </is>
      </c>
      <c r="B1164" s="2" t="inlineStr">
        <is>
          <t>1,3,5-trimethylpyrazole-4-sulfonyl chloride</t>
        </is>
      </c>
      <c r="C1164" s="2" t="inlineStr"/>
      <c r="D1164" s="2" t="inlineStr">
        <is>
          <t>electrophile / alkylating agent</t>
        </is>
      </c>
      <c r="E1164" s="2" t="inlineStr"/>
      <c r="F1164" s="2" t="n"/>
      <c r="G1164" s="2" t="n">
        <v>23</v>
      </c>
      <c r="H1164" s="2" t="inlineStr">
        <is>
          <t>1,3,5-trimethyl-1H-pyrazole-4-sulfonyl chloride (CID 2737340)</t>
        </is>
      </c>
      <c r="I1164" s="2" t="inlineStr">
        <is>
          <t>Sulfonylating agent from the upstream sulfonamide formation.</t>
        </is>
      </c>
      <c r="J1164" s="2" t="inlineStr">
        <is>
          <t>named and classified by a chemist agent; reviewed by an independent agent</t>
        </is>
      </c>
    </row>
    <row r="1165">
      <c r="A1165" s="3" t="inlineStr">
        <is>
          <t>COc1ccc(CN2C(=O)SC[C@H]2[C@@]2(OC)C[C@H]3C[C@@H](CCCC=CCCC(C)=CC(=O)O3)O2)cc1</t>
        </is>
      </c>
      <c r="B1165" s="2" t="inlineStr">
        <is>
          <t>(4R)-4-[(1R,13R,15R)-15-methoxy-5-methyl-3-oxo-2,14-dioxabicyclo[11.3.1]heptadeca-4,8-dien-15-yl]-3-[(4-methoxyphenyl)methyl]-1,3-thiazolidin-2-one</t>
        </is>
      </c>
      <c r="C1165" s="2" t="inlineStr"/>
      <c r="D1165" s="2" t="inlineStr">
        <is>
          <t>other</t>
        </is>
      </c>
      <c r="E1165" s="2" t="inlineStr"/>
      <c r="F1165" s="2" t="n"/>
      <c r="G1165" s="2" t="n">
        <v>23</v>
      </c>
      <c r="H1165" s="2" t="inlineStr">
        <is>
          <t>(4R)-4-[(1R,13R,15R)-15-methoxy-5-methyl-3-oxo-2,14-dioxabicyclo[11.3.1]heptadeca-4,8-dien-15-yl]-3-[(4-methoxyphenyl)methyl]-1,3-thiazolidin-2-one (CID 67439198)</t>
        </is>
      </c>
      <c r="I1165" s="2" t="inlineStr">
        <is>
          <t>Close analog/precursor of the substrate or product recorded among the agents (patent data artifact); no reagent role.</t>
        </is>
      </c>
      <c r="J1165" s="2" t="inlineStr">
        <is>
          <t>named and classified by a chemist agent; reviewed by an independent agent; name corrected after comparing with PubChem (was: macrolactone analog (substrate analog))</t>
        </is>
      </c>
    </row>
    <row r="1166">
      <c r="A1166" s="3" t="inlineStr">
        <is>
          <t>Oc1ccc2ccccc2c1-c1c(O)ccc2ccccc12</t>
        </is>
      </c>
      <c r="B1166" s="2" t="inlineStr">
        <is>
          <t>1,1'-bi-2-naphthol</t>
        </is>
      </c>
      <c r="C1166" s="2" t="inlineStr">
        <is>
          <t>BINOL</t>
        </is>
      </c>
      <c r="D1166" s="2" t="inlineStr">
        <is>
          <t>other</t>
        </is>
      </c>
      <c r="E1166" s="2" t="inlineStr"/>
      <c r="F1166" s="2" t="n"/>
      <c r="G1166" s="2" t="n">
        <v>23</v>
      </c>
      <c r="H1166" s="2" t="inlineStr">
        <is>
          <t>Binol (CID 11762)</t>
        </is>
      </c>
      <c r="I1166" s="2" t="inlineStr">
        <is>
          <t>No evident role in this DBTDL-catalyzed urea formation; probably a data artifact.</t>
        </is>
      </c>
      <c r="J1166" s="2" t="inlineStr">
        <is>
          <t>named and classified by a chemist agent; reviewed by an independent agent</t>
        </is>
      </c>
    </row>
    <row r="1167">
      <c r="A1167" s="3" t="inlineStr">
        <is>
          <t>O=C(CCl)CCl</t>
        </is>
      </c>
      <c r="B1167" s="2" t="inlineStr">
        <is>
          <t>1,3-dichloroacetone</t>
        </is>
      </c>
      <c r="C1167" s="2" t="inlineStr"/>
      <c r="D1167" s="2" t="inlineStr">
        <is>
          <t>electrophile / alkylating agent</t>
        </is>
      </c>
      <c r="E1167" s="2" t="inlineStr"/>
      <c r="F1167" s="2" t="n"/>
      <c r="G1167" s="2" t="n">
        <v>23</v>
      </c>
      <c r="H1167" s="2" t="inlineStr">
        <is>
          <t>1,3-Dichloroacetone (CID 10793)</t>
        </is>
      </c>
      <c r="I1167" s="2" t="inlineStr">
        <is>
          <t>Alpha-haloketone for Hantzsch thiazole synthesis with the thioamide; gives the 4-chloromethylthiazole.</t>
        </is>
      </c>
      <c r="J1167" s="2" t="inlineStr">
        <is>
          <t>named and classified by a chemist agent; reviewed by an independent agent</t>
        </is>
      </c>
    </row>
    <row r="1168">
      <c r="A1168" s="3" t="inlineStr">
        <is>
          <t>Oc1ccc2c(c1)OCO2</t>
        </is>
      </c>
      <c r="B1168" s="2" t="inlineStr">
        <is>
          <t>sesamol</t>
        </is>
      </c>
      <c r="C1168" s="2" t="inlineStr"/>
      <c r="D1168" s="2" t="inlineStr">
        <is>
          <t>other</t>
        </is>
      </c>
      <c r="E1168" s="2" t="inlineStr"/>
      <c r="F1168" s="2" t="n"/>
      <c r="G1168" s="2" t="n">
        <v>23</v>
      </c>
      <c r="H1168" s="2" t="inlineStr">
        <is>
          <t>Sesamol (CID 68289)</t>
        </is>
      </c>
      <c r="I1168" s="2" t="inlineStr">
        <is>
          <t>Close analog/precursor of the substrate or product recorded among the agents (patent data artifact); no reagent role.</t>
        </is>
      </c>
      <c r="J1168" s="2" t="inlineStr">
        <is>
          <t>named and classified by a chemist agent; reviewed by an independent agent</t>
        </is>
      </c>
    </row>
    <row r="1169">
      <c r="A1169" s="3" t="inlineStr">
        <is>
          <t>[Cl][Ru]([Cl])(=[CH]c1ccccc1)([P](C1CCCCC1)(C1CCCCC1)C1CCCCC1)[P](C1CCCCC1)(C1CCCCC1)C1CCCCC1</t>
        </is>
      </c>
      <c r="B1169" s="2" t="inlineStr">
        <is>
          <t>Grubbs 1st-generation catalyst</t>
        </is>
      </c>
      <c r="C1169" s="2" t="inlineStr">
        <is>
          <t>Grubbs I</t>
        </is>
      </c>
      <c r="D1169" s="2" t="inlineStr">
        <is>
          <t>catalyst (metal)</t>
        </is>
      </c>
      <c r="E1169" s="2" t="inlineStr"/>
      <c r="F1169" s="2" t="n"/>
      <c r="G1169" s="2" t="n">
        <v>23</v>
      </c>
      <c r="H1169" s="2" t="inlineStr">
        <is>
          <t>Grubbs Catalyst (CID 6392641)</t>
        </is>
      </c>
      <c r="I1169" s="2" t="inlineStr">
        <is>
          <t>Ru alkylidene; here it isomerizes the N-allyl group to an enamine that hydrolyzes off (deallylation).</t>
        </is>
      </c>
      <c r="J1169" s="2" t="inlineStr">
        <is>
          <t>named and classified by a chemist agent; reviewed by an independent agent</t>
        </is>
      </c>
    </row>
    <row r="1170">
      <c r="A1170" s="3" t="inlineStr">
        <is>
          <t>O=C(O)c1cccc(C(=O)O)n1</t>
        </is>
      </c>
      <c r="B1170" s="2" t="inlineStr">
        <is>
          <t>pyridine-2,6-dicarboxylic acid</t>
        </is>
      </c>
      <c r="C1170" s="2" t="inlineStr">
        <is>
          <t>dipicolinic acid</t>
        </is>
      </c>
      <c r="D1170" s="2" t="inlineStr">
        <is>
          <t>ligand</t>
        </is>
      </c>
      <c r="E1170" s="2" t="inlineStr">
        <is>
          <t>additive</t>
        </is>
      </c>
      <c r="F1170" s="2" t="n"/>
      <c r="G1170" s="2" t="n">
        <v>23</v>
      </c>
      <c r="H1170" s="2" t="inlineStr">
        <is>
          <t>2,6-Pyridinedicarboxylic acid (CID 10367)</t>
        </is>
      </c>
      <c r="I1170" s="2" t="inlineStr">
        <is>
          <t>Ligand/additive moderating CAN (Ce(IV)) oxidation of the dimethoxyarene to the quinone.</t>
        </is>
      </c>
      <c r="J1170" s="2" t="inlineStr">
        <is>
          <t>named and classified by a chemist agent; reviewed by an independent agent</t>
        </is>
      </c>
    </row>
    <row r="1171">
      <c r="A1171" s="3" t="inlineStr">
        <is>
          <t>[Br][Au]([Br])[Br]</t>
        </is>
      </c>
      <c r="B1171" s="2" t="inlineStr">
        <is>
          <t>gold(III) bromide</t>
        </is>
      </c>
      <c r="C1171" s="2" t="inlineStr">
        <is>
          <t>AuBr3</t>
        </is>
      </c>
      <c r="D1171" s="2" t="inlineStr">
        <is>
          <t>catalyst (metal)</t>
        </is>
      </c>
      <c r="E1171" s="2" t="inlineStr"/>
      <c r="F1171" s="2" t="n"/>
      <c r="G1171" s="2" t="n">
        <v>23</v>
      </c>
      <c r="H1171" s="2" t="inlineStr">
        <is>
          <t>Gold tribromide (CID 82525)</t>
        </is>
      </c>
      <c r="I1171" s="2" t="inlineStr">
        <is>
          <t>Catalyzes A3 coupling (alkyne, formaldehyde, amine) to the propargylamine.</t>
        </is>
      </c>
      <c r="J1171" s="2" t="inlineStr">
        <is>
          <t>named and classified by a chemist agent; reviewed by an independent agent</t>
        </is>
      </c>
    </row>
    <row r="1172">
      <c r="A1172" s="3" t="inlineStr">
        <is>
          <t>O=CC(=O)O</t>
        </is>
      </c>
      <c r="B1172" s="2" t="inlineStr">
        <is>
          <t>glyoxylic acid</t>
        </is>
      </c>
      <c r="C1172" s="2" t="inlineStr"/>
      <c r="D1172" s="2" t="inlineStr">
        <is>
          <t>electrophile / alkylating agent</t>
        </is>
      </c>
      <c r="E1172" s="2" t="inlineStr"/>
      <c r="F1172" s="2" t="n"/>
      <c r="G1172" s="2" t="n">
        <v>23</v>
      </c>
      <c r="H1172" s="2" t="inlineStr">
        <is>
          <t>Glyoxylic Acid (CID 760)</t>
        </is>
      </c>
      <c r="I1172" s="2" t="inlineStr">
        <is>
          <t>Aldehyde for the upstream Pictet-Spengler with the tryptamine (followed by decarboxylation).</t>
        </is>
      </c>
      <c r="J1172" s="2" t="inlineStr">
        <is>
          <t>named and classified by a chemist agent; reviewed by an independent agent</t>
        </is>
      </c>
    </row>
    <row r="1173">
      <c r="A1173" s="3" t="inlineStr">
        <is>
          <t>C=C=C</t>
        </is>
      </c>
      <c r="B1173" s="2" t="inlineStr">
        <is>
          <t>propadiene</t>
        </is>
      </c>
      <c r="C1173" s="2" t="inlineStr">
        <is>
          <t>allene</t>
        </is>
      </c>
      <c r="D1173" s="2" t="inlineStr">
        <is>
          <t>gas</t>
        </is>
      </c>
      <c r="E1173" s="2" t="inlineStr">
        <is>
          <t>electrophile / alkylating agent</t>
        </is>
      </c>
      <c r="F1173" s="2" t="n"/>
      <c r="G1173" s="2" t="n">
        <v>23</v>
      </c>
      <c r="H1173" s="2" t="inlineStr">
        <is>
          <t>Allene (CID 10037)</t>
        </is>
      </c>
      <c r="I1173" s="2" t="inlineStr">
        <is>
          <t>Allene partner in Pd-catalyzed three-component coupling of the aryl iodide, allene and morpholine.</t>
        </is>
      </c>
      <c r="J1173" s="2" t="inlineStr">
        <is>
          <t>named and classified by a chemist agent; reviewed by an independent agent</t>
        </is>
      </c>
    </row>
    <row r="1174">
      <c r="A1174" s="3" t="inlineStr">
        <is>
          <t>Cc1c(C)c(C)c(C)c(C)c1C</t>
        </is>
      </c>
      <c r="B1174" s="2" t="inlineStr">
        <is>
          <t>hexamethylbenzene</t>
        </is>
      </c>
      <c r="C1174" s="2" t="inlineStr">
        <is>
          <t>HMB</t>
        </is>
      </c>
      <c r="D1174" s="2" t="inlineStr">
        <is>
          <t>additive</t>
        </is>
      </c>
      <c r="E1174" s="2" t="inlineStr"/>
      <c r="F1174" s="2" t="n"/>
      <c r="G1174" s="2" t="n">
        <v>23</v>
      </c>
      <c r="H1174" s="2" t="inlineStr">
        <is>
          <t>Hexamethylbenzene (CID 6908)</t>
        </is>
      </c>
      <c r="I1174" s="2" t="inlineStr">
        <is>
          <t>Inert internal standard for NMR yield determination.</t>
        </is>
      </c>
      <c r="J1174" s="2" t="inlineStr">
        <is>
          <t>named and classified by a chemist agent; reviewed by an independent agent</t>
        </is>
      </c>
    </row>
    <row r="1175">
      <c r="A1175" s="3" t="inlineStr">
        <is>
          <t>[Pb]</t>
        </is>
      </c>
      <c r="B1175" s="2" t="inlineStr">
        <is>
          <t>lead</t>
        </is>
      </c>
      <c r="C1175" s="2" t="inlineStr">
        <is>
          <t>Pb</t>
        </is>
      </c>
      <c r="D1175" s="2" t="inlineStr">
        <is>
          <t>reactant (inorganic)</t>
        </is>
      </c>
      <c r="E1175" s="2" t="inlineStr"/>
      <c r="F1175" s="2" t="n"/>
      <c r="G1175" s="2" t="n">
        <v>23</v>
      </c>
      <c r="H1175" s="2" t="inlineStr">
        <is>
          <t>Lead (CID 5352425)</t>
        </is>
      </c>
      <c r="I1175" s="2" t="inlineStr">
        <is>
          <t>Lead (as PbO or a Pb(II) salt) desulfurizes the thiourea to give the cyanoguanidine.</t>
        </is>
      </c>
      <c r="J1175" s="2" t="inlineStr">
        <is>
          <t>named and classified by a chemist agent; reviewed by an independent agent</t>
        </is>
      </c>
    </row>
    <row r="1176">
      <c r="A1176" s="3" t="inlineStr">
        <is>
          <t>Cc1ccccc1-c1ccccc1P(C(C)(C)C)C(C)(C)C</t>
        </is>
      </c>
      <c r="B1176" s="2" t="inlineStr">
        <is>
          <t>2-(di-tert-butylphosphino)-2'-methylbiphenyl</t>
        </is>
      </c>
      <c r="C1176" s="2" t="inlineStr">
        <is>
          <t>tBuMePhos</t>
        </is>
      </c>
      <c r="D1176" s="2" t="inlineStr">
        <is>
          <t>ligand</t>
        </is>
      </c>
      <c r="E1176" s="2" t="inlineStr"/>
      <c r="F1176" s="2" t="n"/>
      <c r="G1176" s="2" t="n">
        <v>23</v>
      </c>
      <c r="H1176" s="2" t="inlineStr">
        <is>
          <t>2-(Di-tert-butylphosphino)-2'-methyl-1,1'-biphenyl (CID 2734937)</t>
        </is>
      </c>
      <c r="I1176" s="2" t="inlineStr">
        <is>
          <t>Bulky biaryl phosphine for Pd-catalyzed alpha-arylation of 1,3-cyclohexanedione.</t>
        </is>
      </c>
      <c r="J1176" s="2" t="inlineStr">
        <is>
          <t>named and classified by a chemist agent; reviewed by an independent agent</t>
        </is>
      </c>
    </row>
    <row r="1177">
      <c r="A1177" s="3" t="inlineStr">
        <is>
          <t>O=S([O-])CO</t>
        </is>
      </c>
      <c r="B1177" s="2" t="inlineStr">
        <is>
          <t>hydroxymethanesulfinate ion</t>
        </is>
      </c>
      <c r="C1177" s="2" t="inlineStr">
        <is>
          <t>Rongalite</t>
        </is>
      </c>
      <c r="D1177" s="2" t="inlineStr">
        <is>
          <t>reductant</t>
        </is>
      </c>
      <c r="E1177" s="2" t="inlineStr"/>
      <c r="F1177" s="2" t="n"/>
      <c r="G1177" s="2" t="n">
        <v>23</v>
      </c>
      <c r="H1177" s="2" t="inlineStr">
        <is>
          <t>Hydroxymethanesulfinate (CID 3566445)</t>
        </is>
      </c>
      <c r="I1177" s="2" t="inlineStr">
        <is>
          <t>From sodium hydroxymethanesulfinate; keeps the thiolate from NaSH reduced (no disulfide).</t>
        </is>
      </c>
      <c r="J1177" s="2" t="inlineStr">
        <is>
          <t>named and classified by a chemist agent; reviewed by an independent agent</t>
        </is>
      </c>
    </row>
    <row r="1178">
      <c r="A1178" s="3" t="inlineStr">
        <is>
          <t>CC(C)(C)c1cc[n]2-&gt;[Ir+]34([c]5cc(F)cc(F)c5-c5ccc(C(F)(F)F)c[n]-&gt;35)([c]3cc(F)cc(F)c3-c3ccc(C(F)(F)F)c[n]-&gt;43)&lt;-[n]3ccc(C(C)(C)C)cc3-c2c1</t>
        </is>
      </c>
      <c r="B1178" s="2" t="inlineStr">
        <is>
          <t>[Ir(dF(CF3)ppy)2(dtbbpy)]+</t>
        </is>
      </c>
      <c r="C1178" s="2" t="inlineStr">
        <is>
          <t>[Ir(dF(CF3)ppy)2(dtbbpy)]PF6</t>
        </is>
      </c>
      <c r="D1178" s="2" t="inlineStr">
        <is>
          <t>catalyst (metal)</t>
        </is>
      </c>
      <c r="E1178" s="2" t="inlineStr"/>
      <c r="F1178" s="2" t="n"/>
      <c r="G1178" s="2" t="n">
        <v>23</v>
      </c>
      <c r="H1178" s="2" t="inlineStr"/>
      <c r="I1178" s="2" t="inlineStr">
        <is>
          <t>Ir(III) photoredox catalyst (PF6 salt) for Ni-dual decarboxylative arylation.</t>
        </is>
      </c>
      <c r="J1178" s="2" t="inlineStr">
        <is>
          <t>named and classified by a chemist agent; reviewed by an independent agent; corrected abbreviation ('Ir-dFCF3ppy' is not a standard abbreviation. It also leaves out the dtbbpy ancillary ligand, so it cannot be told apart from Ir(dF(CF3)ppy)3 or [Ir(dF(CF3)ppy))</t>
        </is>
      </c>
    </row>
    <row r="1179">
      <c r="A1179" s="3" t="inlineStr">
        <is>
          <t>O=C1CCC1</t>
        </is>
      </c>
      <c r="B1179" s="2" t="inlineStr">
        <is>
          <t>cyclobutanone</t>
        </is>
      </c>
      <c r="C1179" s="2" t="inlineStr"/>
      <c r="D1179" s="2" t="inlineStr">
        <is>
          <t>other</t>
        </is>
      </c>
      <c r="E1179" s="2" t="inlineStr"/>
      <c r="F1179" s="2" t="n"/>
      <c r="G1179" s="2" t="n">
        <v>23</v>
      </c>
      <c r="H1179" s="2" t="inlineStr">
        <is>
          <t>Cyclobutanone (CID 14496)</t>
        </is>
      </c>
      <c r="I1179" s="2" t="inlineStr">
        <is>
          <t>Close analog/precursor of the substrate or product recorded among the agents (patent data artifact); no reagent role.</t>
        </is>
      </c>
      <c r="J1179" s="2" t="inlineStr">
        <is>
          <t>named and classified by a chemist agent; reviewed by an independent agent</t>
        </is>
      </c>
    </row>
    <row r="1180">
      <c r="A1180" s="3" t="inlineStr">
        <is>
          <t>O=Cc1ccncc1</t>
        </is>
      </c>
      <c r="B1180" s="2" t="inlineStr">
        <is>
          <t>pyridine-4-carboxaldehyde</t>
        </is>
      </c>
      <c r="C1180" s="2" t="inlineStr"/>
      <c r="D1180" s="2" t="inlineStr">
        <is>
          <t>other</t>
        </is>
      </c>
      <c r="E1180" s="2" t="inlineStr"/>
      <c r="F1180" s="2" t="n"/>
      <c r="G1180" s="2" t="n">
        <v>22</v>
      </c>
      <c r="H1180" s="2" t="inlineStr">
        <is>
          <t>4-Pyridinecarboxaldehyde (CID 13389)</t>
        </is>
      </c>
      <c r="I1180" s="2" t="inlineStr">
        <is>
          <t>Imidazole building block from an upstream step; not a reagent in the KOH ester hydrolysis.</t>
        </is>
      </c>
      <c r="J1180" s="2" t="inlineStr">
        <is>
          <t>named and classified by a chemist agent; reviewed by an independent agent</t>
        </is>
      </c>
    </row>
    <row r="1181">
      <c r="A1181" s="3" t="inlineStr">
        <is>
          <t>O=c1cccc[nH]1</t>
        </is>
      </c>
      <c r="B1181" s="2" t="inlineStr">
        <is>
          <t>2-pyridone</t>
        </is>
      </c>
      <c r="C1181" s="2" t="inlineStr"/>
      <c r="D1181" s="2" t="inlineStr">
        <is>
          <t>other</t>
        </is>
      </c>
      <c r="E1181" s="2" t="inlineStr"/>
      <c r="F1181" s="2" t="n"/>
      <c r="G1181" s="2" t="n">
        <v>22</v>
      </c>
      <c r="H1181" s="2" t="inlineStr">
        <is>
          <t>2-Pyridone (CID 8871)</t>
        </is>
      </c>
      <c r="I1181" s="2" t="inlineStr">
        <is>
          <t>No clear role in this Boc removal; probably a data artifact.</t>
        </is>
      </c>
      <c r="J1181" s="2" t="inlineStr">
        <is>
          <t>named and classified by a chemist agent; reviewed by an independent agent</t>
        </is>
      </c>
    </row>
    <row r="1182">
      <c r="A1182" s="3" t="inlineStr">
        <is>
          <t>CCCCNCCCC</t>
        </is>
      </c>
      <c r="B1182" s="2" t="inlineStr">
        <is>
          <t>dibutylamine</t>
        </is>
      </c>
      <c r="C1182" s="2" t="inlineStr"/>
      <c r="D1182" s="2" t="inlineStr">
        <is>
          <t>base</t>
        </is>
      </c>
      <c r="E1182" s="2" t="inlineStr"/>
      <c r="F1182" s="2" t="n">
        <v>11.3</v>
      </c>
      <c r="G1182" s="2" t="n">
        <v>22</v>
      </c>
      <c r="H1182" s="2" t="inlineStr">
        <is>
          <t>Dibutylamine (CID 8148)</t>
        </is>
      </c>
      <c r="I1182" s="2" t="inlineStr">
        <is>
          <t>Secondary amine base/nucleophile; role in this aryl ether cleavage unclear.</t>
        </is>
      </c>
      <c r="J1182" s="2" t="inlineStr">
        <is>
          <t>named and classified by a chemist agent; reviewed by an independent agent</t>
        </is>
      </c>
    </row>
    <row r="1183">
      <c r="A1183" s="3" t="inlineStr">
        <is>
          <t>NC(=O)c1ccccc1</t>
        </is>
      </c>
      <c r="B1183" s="2" t="inlineStr">
        <is>
          <t>benzamide</t>
        </is>
      </c>
      <c r="C1183" s="2" t="inlineStr"/>
      <c r="D1183" s="2" t="inlineStr">
        <is>
          <t>other</t>
        </is>
      </c>
      <c r="E1183" s="2" t="inlineStr"/>
      <c r="F1183" s="2" t="n"/>
      <c r="G1183" s="2" t="n">
        <v>22</v>
      </c>
      <c r="H1183" s="2" t="inlineStr">
        <is>
          <t>Benzamide (CID 2331)</t>
        </is>
      </c>
      <c r="I1183" s="2" t="inlineStr">
        <is>
          <t>No evident role in SOCl2 amide coupling; probably a data artifact.</t>
        </is>
      </c>
      <c r="J1183" s="2" t="inlineStr">
        <is>
          <t>named and classified by a chemist agent; reviewed by an independent agent</t>
        </is>
      </c>
    </row>
    <row r="1184">
      <c r="A1184" s="3" t="inlineStr">
        <is>
          <t>CCSc1ccc(Cl)cc1NNC(=O)c1cc(C)c(Br)cc1[N+](=O)[O-]</t>
        </is>
      </c>
      <c r="B1184" s="2" t="inlineStr">
        <is>
          <t>4-bromo-N'-[5-chloro-2-(ethylsulfanyl)phenyl]-5-methyl-2-nitrobenzohydrazide</t>
        </is>
      </c>
      <c r="C1184" s="2" t="inlineStr"/>
      <c r="D1184" s="2" t="inlineStr">
        <is>
          <t>other</t>
        </is>
      </c>
      <c r="E1184" s="2" t="inlineStr"/>
      <c r="F1184" s="2" t="n"/>
      <c r="G1184" s="2" t="n">
        <v>22</v>
      </c>
      <c r="H1184" s="2" t="inlineStr">
        <is>
          <t>4-Bromo-N'-(5-chloro-2-ethylsulfanylphenyl)-5-methyl-2-nitrobenzhydrazide (CID 118042832)</t>
        </is>
      </c>
      <c r="I1184" s="2" t="inlineStr">
        <is>
          <t>Close analog/precursor of the substrate or product recorded among the agents (patent data artifact); no reagent role.</t>
        </is>
      </c>
      <c r="J1184" s="2" t="inlineStr">
        <is>
          <t>named and classified by a chemist agent; reviewed by an independent agent; name corrected after comparing with PubChem (was: nitroaryl hydrazide analog)</t>
        </is>
      </c>
    </row>
    <row r="1185">
      <c r="A1185" s="3" t="inlineStr">
        <is>
          <t>CC(C)(C)P([C]1[CH][CH][CH][CH]1)C(C)(C)C</t>
        </is>
      </c>
      <c r="B1185" s="2" t="inlineStr">
        <is>
          <t>(di-tert-butylphosphino)cyclopentadienyl</t>
        </is>
      </c>
      <c r="C1185" s="2" t="inlineStr">
        <is>
          <t>dtbpf (half)</t>
        </is>
      </c>
      <c r="D1185" s="2" t="inlineStr">
        <is>
          <t>ligand</t>
        </is>
      </c>
      <c r="E1185" s="2" t="inlineStr"/>
      <c r="F1185" s="2" t="n"/>
      <c r="G1185" s="2" t="n">
        <v>22</v>
      </c>
      <c r="H1185" s="2" t="inlineStr"/>
      <c r="I1185" s="2" t="inlineStr">
        <is>
          <t>Half of the dtbpf ligand from PdCl2(dtbpf) (Fe listed apart) for Suzuki coupling.</t>
        </is>
      </c>
      <c r="J1185" s="2" t="inlineStr">
        <is>
          <t>named and classified by a chemist agent; reviewed by an independent agent; PubChem's title for this SMILES was wrong (Ditert-butyl(cyclopentyl)phosphane (CID 23231726)): Ring is C5H4 (no added H); PubChem returned saturated cyclopentylphosphane (C5H9).</t>
        </is>
      </c>
    </row>
    <row r="1186">
      <c r="A1186" s="3" t="inlineStr">
        <is>
          <t>C=CC</t>
        </is>
      </c>
      <c r="B1186" s="2" t="inlineStr">
        <is>
          <t>propene</t>
        </is>
      </c>
      <c r="C1186" s="2" t="inlineStr"/>
      <c r="D1186" s="2" t="inlineStr">
        <is>
          <t>gas</t>
        </is>
      </c>
      <c r="E1186" s="2" t="inlineStr"/>
      <c r="F1186" s="2" t="n"/>
      <c r="G1186" s="2" t="n">
        <v>22</v>
      </c>
      <c r="H1186" s="2" t="inlineStr">
        <is>
          <t>Propylene (CID 8252)</t>
        </is>
      </c>
      <c r="I1186" s="2" t="inlineStr">
        <is>
          <t>Hydroformylation feedstock (to butanal, then 2-ethylhexanal); data artifact for this step.</t>
        </is>
      </c>
      <c r="J1186" s="2" t="inlineStr">
        <is>
          <t>named and classified by a chemist agent; reviewed by an independent agent</t>
        </is>
      </c>
    </row>
    <row r="1187">
      <c r="A1187" s="3" t="inlineStr">
        <is>
          <t>O=C1OC(=O)c2ccccc21</t>
        </is>
      </c>
      <c r="B1187" s="2" t="inlineStr">
        <is>
          <t>phthalic anhydride</t>
        </is>
      </c>
      <c r="C1187" s="2" t="inlineStr"/>
      <c r="D1187" s="2" t="inlineStr">
        <is>
          <t>electrophile / alkylating agent</t>
        </is>
      </c>
      <c r="E1187" s="2" t="inlineStr"/>
      <c r="F1187" s="2" t="n"/>
      <c r="G1187" s="2" t="n">
        <v>22</v>
      </c>
      <c r="H1187" s="2" t="inlineStr">
        <is>
          <t>Phthalic Anhydride (CID 6811)</t>
        </is>
      </c>
      <c r="I1187" s="2" t="inlineStr">
        <is>
          <t>Acylating agent: ring-opened by the amine upstream to give the phthalamic acid.</t>
        </is>
      </c>
      <c r="J1187" s="2" t="inlineStr">
        <is>
          <t>named and classified by a chemist agent; reviewed by an independent agent</t>
        </is>
      </c>
    </row>
    <row r="1188">
      <c r="A1188" s="3" t="inlineStr">
        <is>
          <t>CNCCC(c1ccccc1)c1cccc2cc[nH]c12</t>
        </is>
      </c>
      <c r="B1188" s="2" t="inlineStr">
        <is>
          <t>N-methyl-3-phenyl-3-(indol-7-yl)propylamine</t>
        </is>
      </c>
      <c r="C1188" s="2" t="inlineStr"/>
      <c r="D1188" s="2" t="inlineStr">
        <is>
          <t>other</t>
        </is>
      </c>
      <c r="E1188" s="2" t="inlineStr"/>
      <c r="F1188" s="2" t="n"/>
      <c r="G1188" s="2" t="n">
        <v>22</v>
      </c>
      <c r="H1188" s="2" t="inlineStr">
        <is>
          <t>[3-(1H-Indol-7-yl)-3-phenyl-propyl]-methyl-amine (CID 17747555)</t>
        </is>
      </c>
      <c r="I1188" s="2" t="inlineStr">
        <is>
          <t>Close analog/precursor of the substrate or product recorded among the agents (patent data artifact); no reagent role.</t>
        </is>
      </c>
      <c r="J1188" s="2" t="inlineStr">
        <is>
          <t>named and classified by a chemist agent; reviewed by an independent agent</t>
        </is>
      </c>
    </row>
    <row r="1189">
      <c r="A1189" s="3" t="inlineStr">
        <is>
          <t>c1ccc([PH+](c2ccccc2)c2ccccc2)cc1</t>
        </is>
      </c>
      <c r="B1189" s="2" t="inlineStr">
        <is>
          <t>triphenylphosphonium ion</t>
        </is>
      </c>
      <c r="C1189" s="2" t="inlineStr">
        <is>
          <t>HPPh3+</t>
        </is>
      </c>
      <c r="D1189" s="2" t="inlineStr">
        <is>
          <t>ligand</t>
        </is>
      </c>
      <c r="E1189" s="2" t="inlineStr"/>
      <c r="F1189" s="2" t="n"/>
      <c r="G1189" s="2" t="n">
        <v>22</v>
      </c>
      <c r="H1189" s="2" t="inlineStr">
        <is>
          <t>Triphenylphosphonium (CID 5241824)</t>
        </is>
      </c>
      <c r="I1189" s="2" t="inlineStr">
        <is>
          <t>Protonated PPh3; ligand for Pd in Sonogashira coupling with CuI.</t>
        </is>
      </c>
      <c r="J1189" s="2" t="inlineStr">
        <is>
          <t>named and classified by a chemist agent; reviewed by an independent agent</t>
        </is>
      </c>
    </row>
    <row r="1190">
      <c r="A1190" s="3" t="inlineStr">
        <is>
          <t>CCOCCOCCO</t>
        </is>
      </c>
      <c r="B1190" s="2" t="inlineStr">
        <is>
          <t>2-(2-ethoxyethoxy)ethanol</t>
        </is>
      </c>
      <c r="C1190" s="2" t="inlineStr">
        <is>
          <t>Carbitol</t>
        </is>
      </c>
      <c r="D1190" s="2" t="inlineStr">
        <is>
          <t>solvent</t>
        </is>
      </c>
      <c r="E1190" s="2" t="inlineStr"/>
      <c r="F1190" s="2" t="n"/>
      <c r="G1190" s="2" t="n">
        <v>22</v>
      </c>
      <c r="H1190" s="2" t="inlineStr">
        <is>
          <t>Diethylene Glycol Monoethyl Ether (CID 8146)</t>
        </is>
      </c>
      <c r="I1190" s="2" t="inlineStr">
        <is>
          <t>High-boiling glycol ether solvent for phenoxide O-alkylation with NaOH.</t>
        </is>
      </c>
      <c r="J1190" s="2" t="inlineStr">
        <is>
          <t>named and classified by a chemist agent; reviewed by an independent agent</t>
        </is>
      </c>
    </row>
    <row r="1191">
      <c r="A1191" s="3" t="inlineStr">
        <is>
          <t>O=C1C(Br)=C(c2ccccc2)c2ccc(O)cc21</t>
        </is>
      </c>
      <c r="B1191" s="2" t="inlineStr">
        <is>
          <t>2-bromo-6-hydroxy-3-phenyl-1H-inden-1-one</t>
        </is>
      </c>
      <c r="C1191" s="2" t="inlineStr"/>
      <c r="D1191" s="2" t="inlineStr">
        <is>
          <t>other</t>
        </is>
      </c>
      <c r="E1191" s="2" t="inlineStr"/>
      <c r="F1191" s="2" t="n"/>
      <c r="G1191" s="2" t="n">
        <v>22</v>
      </c>
      <c r="H1191" s="2" t="inlineStr">
        <is>
          <t>2-bromo-6-hydroxy-3-phenyl-1H-inden-1-one (CID 70306176)</t>
        </is>
      </c>
      <c r="I1191" s="2" t="inlineStr">
        <is>
          <t>Close analog/precursor of the substrate or product recorded among the agents (patent data artifact); no reagent role.</t>
        </is>
      </c>
      <c r="J1191" s="2" t="inlineStr">
        <is>
          <t>named and classified by a chemist agent; reviewed by an independent agent; corrected name (Br is on C2, next to the C1 carbonyl, and phenyl is on C3, so the two locants are swapped. The ring OH at C6 was also left out of the name.)</t>
        </is>
      </c>
    </row>
    <row r="1192">
      <c r="A1192" s="3" t="inlineStr">
        <is>
          <t>Cc1ccc(S(=O)(=O)N[C@H](c2ccccc2)[C@H](N)c2ccccc2)cc1</t>
        </is>
      </c>
      <c r="B1192" s="2" t="inlineStr">
        <is>
          <t>(1R,2R)-N-tosyl-1,2-diphenylethylenediamine</t>
        </is>
      </c>
      <c r="C1192" s="2" t="inlineStr">
        <is>
          <t>TsDPEN</t>
        </is>
      </c>
      <c r="D1192" s="2" t="inlineStr">
        <is>
          <t>ligand</t>
        </is>
      </c>
      <c r="E1192" s="2" t="inlineStr"/>
      <c r="F1192" s="2" t="n"/>
      <c r="G1192" s="2" t="n">
        <v>22</v>
      </c>
      <c r="H1192" s="2" t="inlineStr">
        <is>
          <t>N-((1R,2R)-2-Amino-1,2-diphenylethyl)-4-methylbenzene-1-sulfonamide (CID 2734565)</t>
        </is>
      </c>
      <c r="I1192" s="2" t="inlineStr">
        <is>
          <t>Chiral ligand for Noyori asymmetric transfer hydrogenation of the ketone (iPrOH/KOtBu).</t>
        </is>
      </c>
      <c r="J1192" s="2" t="inlineStr">
        <is>
          <t>named and classified by a chemist agent; reviewed by an independent agent</t>
        </is>
      </c>
    </row>
    <row r="1193">
      <c r="A1193" s="3" t="inlineStr">
        <is>
          <t>ClC(Cl)=C(Cl)Cl</t>
        </is>
      </c>
      <c r="B1193" s="2" t="inlineStr">
        <is>
          <t>tetrachloroethylene</t>
        </is>
      </c>
      <c r="C1193" s="2" t="inlineStr">
        <is>
          <t>PCE</t>
        </is>
      </c>
      <c r="D1193" s="2" t="inlineStr">
        <is>
          <t>solvent</t>
        </is>
      </c>
      <c r="E1193" s="2" t="inlineStr"/>
      <c r="F1193" s="2" t="n"/>
      <c r="G1193" s="2" t="n">
        <v>22</v>
      </c>
      <c r="H1193" s="2" t="inlineStr">
        <is>
          <t>Tetrachloroethylene (CID 31373)</t>
        </is>
      </c>
      <c r="I1193" s="2" t="inlineStr">
        <is>
          <t>Chlorinated solvent for AlCl3-mediated aromatic bromination.</t>
        </is>
      </c>
      <c r="J1193" s="2" t="inlineStr">
        <is>
          <t>named and classified by a chemist agent; reviewed by an independent agent</t>
        </is>
      </c>
    </row>
    <row r="1194">
      <c r="A1194" s="3" t="inlineStr">
        <is>
          <t>NCCc1ccccc1</t>
        </is>
      </c>
      <c r="B1194" s="2" t="inlineStr">
        <is>
          <t>2-phenylethylamine</t>
        </is>
      </c>
      <c r="C1194" s="2" t="inlineStr"/>
      <c r="D1194" s="2" t="inlineStr">
        <is>
          <t>nucleophile</t>
        </is>
      </c>
      <c r="E1194" s="2" t="inlineStr"/>
      <c r="F1194" s="2" t="n"/>
      <c r="G1194" s="2" t="n">
        <v>22</v>
      </c>
      <c r="H1194" s="2" t="inlineStr">
        <is>
          <t>Phenethylamine (CID 1001)</t>
        </is>
      </c>
      <c r="I1194" s="2" t="inlineStr">
        <is>
          <t>Amine for upstream amide formation (Bischler-Napieralski route to the isoquinoline).</t>
        </is>
      </c>
      <c r="J1194" s="2" t="inlineStr">
        <is>
          <t>named and classified by a chemist agent; reviewed by an independent agent</t>
        </is>
      </c>
    </row>
    <row r="1195">
      <c r="A1195" s="3" t="inlineStr">
        <is>
          <t>OB(O)c1cncnc1</t>
        </is>
      </c>
      <c r="B1195" s="2" t="inlineStr">
        <is>
          <t>pyrimidin-5-ylboronic acid</t>
        </is>
      </c>
      <c r="C1195" s="2" t="inlineStr"/>
      <c r="D1195" s="2" t="inlineStr">
        <is>
          <t>other</t>
        </is>
      </c>
      <c r="E1195" s="2" t="inlineStr"/>
      <c r="F1195" s="2" t="n"/>
      <c r="G1195" s="2" t="n">
        <v>22</v>
      </c>
      <c r="H1195" s="2" t="inlineStr">
        <is>
          <t>(Pyrimidin-5-yl)boronic acid (CID 2795193)</t>
        </is>
      </c>
      <c r="I1195" s="2" t="inlineStr">
        <is>
          <t>Close analog/precursor of the substrate or product recorded among the agents (patent data artifact); no reagent role.</t>
        </is>
      </c>
      <c r="J1195" s="2" t="inlineStr">
        <is>
          <t>named and classified by a chemist agent; reviewed by an independent agent</t>
        </is>
      </c>
    </row>
    <row r="1196">
      <c r="A1196" s="3" t="inlineStr">
        <is>
          <t>C=CC(=O)OCC</t>
        </is>
      </c>
      <c r="B1196" s="2" t="inlineStr">
        <is>
          <t>ethyl acrylate</t>
        </is>
      </c>
      <c r="C1196" s="2" t="inlineStr"/>
      <c r="D1196" s="2" t="inlineStr">
        <is>
          <t>electrophile / alkylating agent</t>
        </is>
      </c>
      <c r="E1196" s="2" t="inlineStr"/>
      <c r="F1196" s="2" t="n"/>
      <c r="G1196" s="2" t="n">
        <v>22</v>
      </c>
      <c r="H1196" s="2" t="inlineStr">
        <is>
          <t>Ethyl Acrylate (CID 8821)</t>
        </is>
      </c>
      <c r="I1196" s="2" t="inlineStr">
        <is>
          <t>Michael acceptor; aza-Michael with morpholine upstream gives the propanoate.</t>
        </is>
      </c>
      <c r="J1196" s="2" t="inlineStr">
        <is>
          <t>named and classified by a chemist agent; reviewed by an independent agent</t>
        </is>
      </c>
    </row>
    <row r="1197">
      <c r="A1197" s="3" t="inlineStr">
        <is>
          <t>CCN1CCCCC1</t>
        </is>
      </c>
      <c r="B1197" s="2" t="inlineStr">
        <is>
          <t>N-ethylpiperidine</t>
        </is>
      </c>
      <c r="C1197" s="2" t="inlineStr"/>
      <c r="D1197" s="2" t="inlineStr">
        <is>
          <t>base</t>
        </is>
      </c>
      <c r="E1197" s="2" t="inlineStr"/>
      <c r="F1197" s="2" t="n">
        <v>10.4</v>
      </c>
      <c r="G1197" s="2" t="n">
        <v>22</v>
      </c>
      <c r="H1197" s="2" t="inlineStr">
        <is>
          <t>N-Ethylpiperidine (CID 13007)</t>
        </is>
      </c>
      <c r="I1197" s="2" t="inlineStr">
        <is>
          <t>Tertiary amine base for mixed-anhydride (pivaloyl chloride) peptide coupling.</t>
        </is>
      </c>
      <c r="J1197" s="2" t="inlineStr">
        <is>
          <t>named and classified by a chemist agent; reviewed by an independent agent</t>
        </is>
      </c>
    </row>
    <row r="1198">
      <c r="A1198" s="3" t="inlineStr">
        <is>
          <t>C1CCC([NH2+]C2CCCCC2)CC1</t>
        </is>
      </c>
      <c r="B1198" s="2" t="inlineStr">
        <is>
          <t>dicyclohexylammonium ion</t>
        </is>
      </c>
      <c r="C1198" s="2" t="inlineStr">
        <is>
          <t>DCHA</t>
        </is>
      </c>
      <c r="D1198" s="2" t="inlineStr">
        <is>
          <t>counter-ion / spectator ion</t>
        </is>
      </c>
      <c r="E1198" s="2" t="inlineStr"/>
      <c r="F1198" s="2" t="n"/>
      <c r="G1198" s="2" t="n">
        <v>22</v>
      </c>
      <c r="H1198" s="2" t="inlineStr">
        <is>
          <t>Dicyclohexylammonium (CID 3770554)</t>
        </is>
      </c>
      <c r="I1198" s="2" t="inlineStr">
        <is>
          <t>Counter-ion of the DCHA salt of the acid; removed to free the carboxylic acid.</t>
        </is>
      </c>
      <c r="J1198" s="2" t="inlineStr">
        <is>
          <t>named and classified by a chemist agent; reviewed by an independent agent</t>
        </is>
      </c>
    </row>
    <row r="1199">
      <c r="A1199" s="3" t="inlineStr">
        <is>
          <t>N#C[O-]</t>
        </is>
      </c>
      <c r="B1199" s="2" t="inlineStr">
        <is>
          <t>cyanate ion</t>
        </is>
      </c>
      <c r="C1199" s="2" t="inlineStr"/>
      <c r="D1199" s="2" t="inlineStr">
        <is>
          <t>nucleophile</t>
        </is>
      </c>
      <c r="E1199" s="2" t="inlineStr"/>
      <c r="F1199" s="2" t="n"/>
      <c r="G1199" s="2" t="n">
        <v>22</v>
      </c>
      <c r="H1199" s="2" t="inlineStr">
        <is>
          <t>Isocyanate (CID 105034)</t>
        </is>
      </c>
      <c r="I1199" s="2" t="inlineStr">
        <is>
          <t>Probably a mis-entry for cyanide (Zn(CN)2) in Pd(PPh3)4-catalyzed cyanation of the aryl bromide.</t>
        </is>
      </c>
      <c r="J1199" s="2" t="inlineStr">
        <is>
          <t>named and classified by a chemist agent; reviewed by an independent agent</t>
        </is>
      </c>
    </row>
    <row r="1200">
      <c r="A1200" s="3" t="inlineStr">
        <is>
          <t>N#CC1(COc2cc(F)c(C(=O)O)cc2C2CC2)C2CC3CC(C2)CC1C3</t>
        </is>
      </c>
      <c r="B1200" s="2" t="inlineStr">
        <is>
          <t>4-[(2-cyanoadamantan-2-yl)methoxy]-5-cyclopropyl-2-fluorobenzoic acid</t>
        </is>
      </c>
      <c r="C1200" s="2" t="inlineStr"/>
      <c r="D1200" s="2" t="inlineStr">
        <is>
          <t>other</t>
        </is>
      </c>
      <c r="E1200" s="2" t="inlineStr"/>
      <c r="F1200" s="2" t="n"/>
      <c r="G1200" s="2" t="n">
        <v>22</v>
      </c>
      <c r="H1200" s="2" t="inlineStr">
        <is>
          <t>4-((2-Cyanoadamantan-2-yl)methoxy)-5-cyclopropyl-2-fluorobenzoic acid (CID 86703655)</t>
        </is>
      </c>
      <c r="I1200" s="2" t="inlineStr">
        <is>
          <t>Close analog/precursor of the substrate or product recorded among the agents (patent data artifact); no reagent role.</t>
        </is>
      </c>
      <c r="J1200" s="2" t="inlineStr">
        <is>
          <t>named and classified by a chemist agent; reviewed by an independent agent; name corrected after comparing with PubChem (was: cyclopropyl adamantyl ether benzoic acid analog)</t>
        </is>
      </c>
    </row>
    <row r="1201">
      <c r="A1201" s="3" t="inlineStr">
        <is>
          <t>CC1CCCN(C)C1(C)C</t>
        </is>
      </c>
      <c r="B1201" s="2" t="inlineStr">
        <is>
          <t>1,2,2,3-tetramethylpiperidine (likely mis-drawn TMP)</t>
        </is>
      </c>
      <c r="C1201" s="2" t="inlineStr">
        <is>
          <t>TMP</t>
        </is>
      </c>
      <c r="D1201" s="2" t="inlineStr">
        <is>
          <t>base</t>
        </is>
      </c>
      <c r="E1201" s="2" t="inlineStr"/>
      <c r="F1201" s="2" t="n">
        <v>11</v>
      </c>
      <c r="G1201" s="2" t="n">
        <v>22</v>
      </c>
      <c r="H1201" s="2" t="inlineStr">
        <is>
          <t>1,2,2,3-Tetramethylpiperidine (CID 18761772)</t>
        </is>
      </c>
      <c r="I1201" s="2" t="inlineStr">
        <is>
          <t>Same formula as 2,2,6,6-tetramethylpiperidine; with n-BuLi it gives LiTMP for ortho-lithiation and formylation by DMF.</t>
        </is>
      </c>
      <c r="J1201" s="2" t="inlineStr">
        <is>
          <t>named and classified by a chemist agent; reviewed by an independent agent; corrected pka_conjugate_acid (37 is the pKa of the N-H in TMP, i.e. the conjugate acid of LiTMP. For the neutral amine listed here, the conjugate acid is the ammonium ion, pKa about 11 (TMPH)</t>
        </is>
      </c>
    </row>
  </sheetData>
  <autoFilter ref="A1:J120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57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22" customWidth="1" min="2" max="2"/>
    <col width="30" customWidth="1" min="3" max="3"/>
    <col width="60" customWidth="1" min="4" max="4"/>
    <col width="14" customWidth="1" min="5" max="5"/>
    <col width="44" customWidth="1" min="6" max="6"/>
  </cols>
  <sheetData>
    <row r="1" ht="30" customHeight="1">
      <c r="A1" s="1" t="inlineStr">
        <is>
          <t>Leaving pieces (as computed)</t>
        </is>
      </c>
      <c r="B1" s="1" t="inlineStr">
        <is>
          <t>When the reagent contains</t>
        </is>
      </c>
      <c r="C1" s="1" t="inlineStr">
        <is>
          <t>By-products (SMILES)</t>
        </is>
      </c>
      <c r="D1" s="1" t="inlineStr">
        <is>
          <t>Why</t>
        </is>
      </c>
      <c r="E1" s="1" t="inlineStr">
        <is>
          <t>Learned reactions with these pieces</t>
        </is>
      </c>
      <c r="F1" s="1" t="inlineStr">
        <is>
          <t>Checked (atom balance on example reactions)</t>
        </is>
      </c>
    </row>
    <row r="2">
      <c r="A2" s="3" t="inlineStr">
        <is>
          <t>O</t>
        </is>
      </c>
      <c r="B2" s="3" t="inlineStr">
        <is>
          <t>CC(=O)O[BH-](OC(C)=O)OC(C)=O</t>
        </is>
      </c>
      <c r="C2" s="3" t="inlineStr">
        <is>
          <t>O</t>
        </is>
      </c>
      <c r="D2" s="2" t="inlineStr">
        <is>
          <t>Reductive amination: the carbonyl and amine condense (losing water) and the hydride reagent supplies H2-equivalent to reduce the iminium.</t>
        </is>
      </c>
      <c r="E2" s="2" t="n">
        <v>169284</v>
      </c>
      <c r="F2" s="2" t="inlineStr">
        <is>
          <t>atom balance (starting materials + [H][H] = product + by-products) holds in 6 of 6 recorded examples; reagent supplies [H][H]</t>
        </is>
      </c>
    </row>
    <row r="3">
      <c r="A3" s="3" t="inlineStr">
        <is>
          <t>O</t>
        </is>
      </c>
      <c r="B3" s="3" t="inlineStr">
        <is>
          <t>[BH3-]C#N</t>
        </is>
      </c>
      <c r="C3" s="3" t="inlineStr">
        <is>
          <t>O</t>
        </is>
      </c>
      <c r="D3" s="2" t="inlineStr">
        <is>
          <t>Reductive amination: the carbonyl and amine condense (losing water) and the hydride reagent supplies H2-equivalent to reduce the iminium.</t>
        </is>
      </c>
      <c r="E3" s="2" t="n">
        <v>169284</v>
      </c>
      <c r="F3" s="2" t="inlineStr">
        <is>
          <t>atom balance (starting materials + [H][H] = product + by-products) holds in 6 of 6 recorded examples; reagent supplies [H][H]</t>
        </is>
      </c>
    </row>
    <row r="4">
      <c r="A4" s="3" t="inlineStr">
        <is>
          <t>O</t>
        </is>
      </c>
      <c r="B4" s="3" t="inlineStr">
        <is>
          <t>[Al+3]</t>
        </is>
      </c>
      <c r="C4" s="3" t="inlineStr">
        <is>
          <t>O</t>
        </is>
      </c>
      <c r="D4" s="2" t="inlineStr">
        <is>
          <t>Hydride reduction of an amide or lactam C=O to CH2 needs two H2-equivalents and removes the oxygen as water after work-up.</t>
        </is>
      </c>
      <c r="E4" s="2" t="n">
        <v>169284</v>
      </c>
      <c r="F4" s="2" t="inlineStr">
        <is>
          <t>atom balance (starting materials + 2*[H][H] = product + by-products) holds in 5 of 6 recorded examples; reagent supplies 2*[H][H]</t>
        </is>
      </c>
    </row>
    <row r="5">
      <c r="A5" s="3" t="inlineStr">
        <is>
          <t>O</t>
        </is>
      </c>
      <c r="B5" s="3" t="inlineStr">
        <is>
          <t>[AlH4-]</t>
        </is>
      </c>
      <c r="C5" s="3" t="inlineStr">
        <is>
          <t>O</t>
        </is>
      </c>
      <c r="D5" s="2" t="inlineStr">
        <is>
          <t>Hydride reduction of an amide or lactam C=O to CH2 needs two H2-equivalents and removes the oxygen as water after work-up.</t>
        </is>
      </c>
      <c r="E5" s="2" t="n">
        <v>169284</v>
      </c>
      <c r="F5" s="2" t="inlineStr">
        <is>
          <t>atom balance (starting materials + 2*[H][H] = product + by-products) holds in 5 of 6 recorded examples; reagent supplies 2*[H][H]</t>
        </is>
      </c>
    </row>
    <row r="6">
      <c r="A6" s="3" t="inlineStr">
        <is>
          <t>Cl</t>
        </is>
      </c>
      <c r="B6" s="3" t="inlineStr"/>
      <c r="C6" s="3" t="inlineStr">
        <is>
          <t>Cl</t>
        </is>
      </c>
      <c r="D6" s="2" t="inlineStr">
        <is>
          <t>Substitution or acylation in which chloride leaves and takes the displaced H as HCl (scavenged by the base).</t>
        </is>
      </c>
      <c r="E6" s="2" t="n">
        <v>150464</v>
      </c>
      <c r="F6" s="2" t="inlineStr">
        <is>
          <t>atom balance (starting materials + nothing = product + by-products) holds in 6 of 6 recorded examples</t>
        </is>
      </c>
    </row>
    <row r="7">
      <c r="A7" s="3" t="inlineStr"/>
      <c r="B7" s="3" t="inlineStr">
        <is>
          <t>[BH4-]</t>
        </is>
      </c>
      <c r="C7" s="3" t="inlineStr"/>
      <c r="D7" s="2" t="inlineStr">
        <is>
          <t>Reduction of a C=O, C=N or C=C bond: the reagent supplies one H2-equivalent and no atoms are lost.</t>
        </is>
      </c>
      <c r="E7" s="2" t="n">
        <v>80304</v>
      </c>
      <c r="F7" s="2" t="inlineStr">
        <is>
          <t>atom balance (starting materials + [H][H] = product + by-products) holds in 6 of 6 recorded examples; reagent supplies [H][H]</t>
        </is>
      </c>
    </row>
    <row r="8">
      <c r="A8" s="3" t="inlineStr"/>
      <c r="B8" s="3" t="inlineStr">
        <is>
          <t>CC(C)[CH2][AlH][CH2]C(C)C</t>
        </is>
      </c>
      <c r="C8" s="3" t="inlineStr"/>
      <c r="D8" s="2" t="inlineStr">
        <is>
          <t>Reduction of a C=O, C=N or C=C bond: the reagent supplies one H2-equivalent and no atoms are lost.</t>
        </is>
      </c>
      <c r="E8" s="2" t="n">
        <v>80304</v>
      </c>
      <c r="F8" s="2" t="inlineStr">
        <is>
          <t>atom balance (starting materials + [H][H] = product + by-products) holds in 6 of 6 recorded examples; reagent supplies [H][H]</t>
        </is>
      </c>
    </row>
    <row r="9">
      <c r="A9" s="3" t="inlineStr"/>
      <c r="B9" s="3" t="inlineStr">
        <is>
          <t>CC(C)[CH2][Al+][CH2]C(C)C</t>
        </is>
      </c>
      <c r="C9" s="3" t="inlineStr"/>
      <c r="D9" s="2" t="inlineStr">
        <is>
          <t>Reduction of a C=O, C=N or C=C bond: the reagent supplies one H2-equivalent and no atoms are lost.</t>
        </is>
      </c>
      <c r="E9" s="2" t="n">
        <v>80304</v>
      </c>
      <c r="F9" s="2" t="inlineStr">
        <is>
          <t>atom balance (starting materials + [H][H] = product + by-products) holds in 5 of 6 recorded examples; reagent supplies [H][H]</t>
        </is>
      </c>
    </row>
    <row r="10">
      <c r="A10" s="3" t="inlineStr"/>
      <c r="B10" s="3" t="inlineStr">
        <is>
          <t>COCC[O][AlH2-][O]CCOC</t>
        </is>
      </c>
      <c r="C10" s="3" t="inlineStr"/>
      <c r="D10" s="2" t="inlineStr">
        <is>
          <t>Reduction of a C=O, C=N or C=C bond: the reagent supplies one H2-equivalent and no atoms are lost.</t>
        </is>
      </c>
      <c r="E10" s="2" t="n">
        <v>80304</v>
      </c>
      <c r="F10" s="2" t="inlineStr">
        <is>
          <t>atom balance (starting materials + [H][H] = product + by-products) holds in 5 of 6 recorded examples; reagent supplies [H][H]</t>
        </is>
      </c>
    </row>
    <row r="11">
      <c r="A11" s="3" t="inlineStr"/>
      <c r="B11" s="3" t="inlineStr">
        <is>
          <t>[BH3-]C#N</t>
        </is>
      </c>
      <c r="C11" s="3" t="inlineStr"/>
      <c r="D11" s="2" t="inlineStr">
        <is>
          <t>Reduction of a C=O, C=N or C=C bond: the reagent supplies one H2-equivalent and no atoms are lost.</t>
        </is>
      </c>
      <c r="E11" s="2" t="n">
        <v>80304</v>
      </c>
      <c r="F11" s="2" t="inlineStr">
        <is>
          <t>atom balance (starting materials + [H][H] = product + by-products) holds in 6 of 6 recorded examples; reagent supplies [H][H]</t>
        </is>
      </c>
    </row>
    <row r="12">
      <c r="A12" s="3" t="inlineStr"/>
      <c r="B12" s="3" t="inlineStr">
        <is>
          <t>CCC(C)[BH-](C(C)CC)C(C)CC</t>
        </is>
      </c>
      <c r="C12" s="3" t="inlineStr"/>
      <c r="D12" s="2" t="inlineStr">
        <is>
          <t>Reduction of a C=O, C=N or C=C bond: the reagent supplies one H2-equivalent and no atoms are lost.</t>
        </is>
      </c>
      <c r="E12" s="2" t="n">
        <v>80304</v>
      </c>
      <c r="F12" s="2" t="inlineStr">
        <is>
          <t>atom balance (starting materials + [H][H] = product + by-products) holds in 6 of 6 recorded examples; reagent supplies [H][H]</t>
        </is>
      </c>
    </row>
    <row r="13">
      <c r="A13" s="3" t="inlineStr"/>
      <c r="B13" s="3" t="inlineStr">
        <is>
          <t>[Pd]</t>
        </is>
      </c>
      <c r="C13" s="3" t="inlineStr"/>
      <c r="D13" s="2" t="inlineStr">
        <is>
          <t>Reduction of a C=O, C=N or C=C bond: the reagent supplies one H2-equivalent and no atoms are lost.</t>
        </is>
      </c>
      <c r="E13" s="2" t="n">
        <v>80304</v>
      </c>
      <c r="F13" s="2" t="inlineStr">
        <is>
          <t>atom balance (starting materials + [H][H] = product + by-products) holds in 5 of 6 recorded examples; reagent supplies [H][H]</t>
        </is>
      </c>
    </row>
    <row r="14">
      <c r="A14" s="3" t="inlineStr"/>
      <c r="B14" s="3" t="inlineStr">
        <is>
          <t>[Pd+2]</t>
        </is>
      </c>
      <c r="C14" s="3" t="inlineStr"/>
      <c r="D14" s="2" t="inlineStr">
        <is>
          <t>Reduction of a C=O, C=N or C=C bond: the reagent supplies one H2-equivalent and no atoms are lost.</t>
        </is>
      </c>
      <c r="E14" s="2" t="n">
        <v>80304</v>
      </c>
      <c r="F14" s="2" t="inlineStr">
        <is>
          <t>atom balance (starting materials + [H][H] = product + by-products) holds in 6 of 6 recorded examples; reagent supplies [H][H]</t>
        </is>
      </c>
    </row>
    <row r="15">
      <c r="A15" s="3" t="inlineStr"/>
      <c r="B15" s="3" t="inlineStr">
        <is>
          <t>[Mn+4]</t>
        </is>
      </c>
      <c r="C15" s="3" t="inlineStr">
        <is>
          <t>O</t>
        </is>
      </c>
      <c r="D15" s="2" t="inlineStr">
        <is>
          <t>Oxidation of an alcohol to the carbonyl by a metal oxide: the oxidant takes the two H atoms as water.</t>
        </is>
      </c>
      <c r="E15" s="2" t="n">
        <v>80304</v>
      </c>
      <c r="F15" s="2" t="inlineStr">
        <is>
          <t>atom balance (starting materials + [O] = product + by-products) holds in 6 of 6 recorded examples; reagent supplies [O]</t>
        </is>
      </c>
    </row>
    <row r="16">
      <c r="A16" s="3" t="inlineStr"/>
      <c r="B16" s="3" t="inlineStr">
        <is>
          <t>[Mn+2]</t>
        </is>
      </c>
      <c r="C16" s="3" t="inlineStr">
        <is>
          <t>O</t>
        </is>
      </c>
      <c r="D16" s="2" t="inlineStr">
        <is>
          <t>Oxidation of an alcohol to the carbonyl by a metal oxide: the oxidant takes the two H atoms as water.</t>
        </is>
      </c>
      <c r="E16" s="2" t="n">
        <v>80304</v>
      </c>
      <c r="F16" s="2" t="inlineStr">
        <is>
          <t>atom balance (starting materials + [O] = product + by-products) holds in 5 of 6 recorded examples; reagent supplies [O]</t>
        </is>
      </c>
    </row>
    <row r="17">
      <c r="A17" s="3" t="inlineStr"/>
      <c r="B17" s="3" t="inlineStr">
        <is>
          <t>[O]=[Mn]=[O]</t>
        </is>
      </c>
      <c r="C17" s="3" t="inlineStr">
        <is>
          <t>O</t>
        </is>
      </c>
      <c r="D17" s="2" t="inlineStr">
        <is>
          <t>Oxidation of an alcohol to the carbonyl by a metal oxide: the oxidant takes the two H atoms as water.</t>
        </is>
      </c>
      <c r="E17" s="2" t="n">
        <v>80304</v>
      </c>
      <c r="F17" s="2" t="inlineStr">
        <is>
          <t>atom balance (starting materials + [O] = product + by-products) holds in 6 of 6 recorded examples; reagent supplies [O]</t>
        </is>
      </c>
    </row>
    <row r="18">
      <c r="A18" s="3" t="inlineStr"/>
      <c r="B18" s="3" t="inlineStr">
        <is>
          <t>[O]=[Cr](=[O])([O-])[Cl]</t>
        </is>
      </c>
      <c r="C18" s="3" t="inlineStr">
        <is>
          <t>O</t>
        </is>
      </c>
      <c r="D18" s="2" t="inlineStr">
        <is>
          <t>Oxidation of an alcohol to the carbonyl by a metal oxide: the oxidant takes the two H atoms as water.</t>
        </is>
      </c>
      <c r="E18" s="2" t="n">
        <v>80304</v>
      </c>
      <c r="F18" s="2" t="inlineStr">
        <is>
          <t>atom balance (starting materials + [O] = product + by-products) holds in 6 of 6 recorded examples; reagent supplies [O]</t>
        </is>
      </c>
    </row>
    <row r="19">
      <c r="A19" s="3" t="inlineStr"/>
      <c r="B19" s="3" t="inlineStr">
        <is>
          <t>[O]=[Cr](=[O])([O-])[O][Cr](=[O])(=[O])[O-]</t>
        </is>
      </c>
      <c r="C19" s="3" t="inlineStr">
        <is>
          <t>O</t>
        </is>
      </c>
      <c r="D19" s="2" t="inlineStr">
        <is>
          <t>Oxidation of an alcohol to the carbonyl by a metal oxide: the oxidant takes the two H atoms as water.</t>
        </is>
      </c>
      <c r="E19" s="2" t="n">
        <v>80304</v>
      </c>
      <c r="F19" s="2" t="inlineStr">
        <is>
          <t>atom balance (starting materials + [O] = product + by-products) holds in 5 of 6 recorded examples; reagent supplies [O]</t>
        </is>
      </c>
    </row>
    <row r="20">
      <c r="A20" s="3" t="inlineStr"/>
      <c r="B20" s="3" t="inlineStr">
        <is>
          <t>[O]=[Cr](=[O])=[O]</t>
        </is>
      </c>
      <c r="C20" s="3" t="inlineStr">
        <is>
          <t>O</t>
        </is>
      </c>
      <c r="D20" s="2" t="inlineStr">
        <is>
          <t>Oxidation of an alcohol to the carbonyl by a metal oxide: the oxidant takes the two H atoms as water.</t>
        </is>
      </c>
      <c r="E20" s="2" t="n">
        <v>80304</v>
      </c>
      <c r="F20" s="2" t="inlineStr">
        <is>
          <t>atom balance (starting materials + [O] = product + by-products) holds in 6 of 6 recorded examples; reagent supplies [O]</t>
        </is>
      </c>
    </row>
    <row r="21">
      <c r="A21" s="3" t="inlineStr"/>
      <c r="B21" s="3" t="inlineStr">
        <is>
          <t>CC(=O)OI1(OC(C)=O)(OC(C)=O)OC(=O)c2ccccc21</t>
        </is>
      </c>
      <c r="C21" s="3" t="inlineStr">
        <is>
          <t>2*CC(=O)O.CC(=O)OI1OC(=O)c2ccccc21</t>
        </is>
      </c>
      <c r="D21" s="2" t="inlineStr">
        <is>
          <t>Dess-Martin oxidation of an alcohol releases two acetic acid and the reduced iodinane (acetoxybenziodoxolone).</t>
        </is>
      </c>
      <c r="E21" s="2" t="n">
        <v>80304</v>
      </c>
      <c r="F21" s="2" t="inlineStr">
        <is>
          <t>atom balance (starting materials + CC(=O)OI1(OC(C)=O)(OC(C)=O)OC(=O)c2ccccc21 = product + by-products) holds in 6 of 6 recorded examples; reagent supplies CC(=O)OI1(OC(C)=O)(OC(C)=O)OC(=O)c2ccccc21</t>
        </is>
      </c>
    </row>
    <row r="22">
      <c r="A22" s="3" t="inlineStr"/>
      <c r="B22" s="3" t="inlineStr">
        <is>
          <t>O=C(Cl)C(=O)Cl</t>
        </is>
      </c>
      <c r="C22" s="3" t="inlineStr">
        <is>
          <t>CSC.[C-]#[O+].O=C=O.2*Cl</t>
        </is>
      </c>
      <c r="D22" s="2" t="inlineStr">
        <is>
          <t>Swern oxidation: DMSO activated by oxalyl chloride takes the alcohol H atoms, giving dimethyl sulfide, CO, CO2 and HCl (trapped by Et3N).</t>
        </is>
      </c>
      <c r="E22" s="2" t="n">
        <v>80304</v>
      </c>
      <c r="F22" s="2" t="inlineStr">
        <is>
          <t>atom balance (starting materials + CS(C)=O.O=C(Cl)C(=O)Cl = product + by-products) holds in 6 of 6 recorded examples; reagent supplies CS(C)=O.O=C(Cl)C(=O)Cl</t>
        </is>
      </c>
    </row>
    <row r="23">
      <c r="A23" s="3" t="inlineStr"/>
      <c r="B23" s="3" t="inlineStr">
        <is>
          <t>C[N+]1([O-])CCOCC1</t>
        </is>
      </c>
      <c r="C23" s="3" t="inlineStr">
        <is>
          <t>CN1CCOCC1.O</t>
        </is>
      </c>
      <c r="D23" s="2" t="inlineStr">
        <is>
          <t>TPAP/NMO oxidation: N-methylmorpholine N-oxide is the terminal oxidant and leaves as N-methylmorpholine plus water.</t>
        </is>
      </c>
      <c r="E23" s="2" t="n">
        <v>80304</v>
      </c>
      <c r="F23" s="2" t="inlineStr">
        <is>
          <t>atom balance (starting materials + C[N+]1([O-])CCOCC1 = product + by-products) holds in 6 of 6 recorded examples; reagent supplies C[N+]1([O-])CCOCC1</t>
        </is>
      </c>
    </row>
    <row r="24">
      <c r="A24" s="3" t="inlineStr"/>
      <c r="B24" s="3" t="inlineStr">
        <is>
          <t>[N-]=[N+]=[N-]</t>
        </is>
      </c>
      <c r="C24" s="3" t="inlineStr"/>
      <c r="D24" s="2" t="inlineStr">
        <is>
          <t>Azide adds to a nitrile (tetrazole) or alkyne (triazole); with the ammonium/acid proton the whole HN3 is incorporated, nothing is released.</t>
        </is>
      </c>
      <c r="E24" s="2" t="n">
        <v>80304</v>
      </c>
      <c r="F24" s="2" t="inlineStr">
        <is>
          <t>atom balance (starting materials + N=[N+]=[N-] = product + by-products) holds in 6 of 6 recorded examples; reagent supplies N=[N+]=[N-]</t>
        </is>
      </c>
    </row>
    <row r="25">
      <c r="A25" s="3" t="inlineStr"/>
      <c r="B25" s="3" t="inlineStr">
        <is>
          <t>NO</t>
        </is>
      </c>
      <c r="C25" s="3" t="inlineStr"/>
      <c r="D25" s="2" t="inlineStr">
        <is>
          <t>Hydroxylamine adds across a nitrile to give the amidoxime; every atom is retained.</t>
        </is>
      </c>
      <c r="E25" s="2" t="n">
        <v>80304</v>
      </c>
      <c r="F25" s="2" t="inlineStr">
        <is>
          <t>atom balance (starting materials + NO = product + by-products) holds in 6 of 6 recorded examples; reagent supplies NO</t>
        </is>
      </c>
    </row>
    <row r="26">
      <c r="A26" s="3" t="inlineStr"/>
      <c r="B26" s="3" t="inlineStr">
        <is>
          <t>[NH3+]O</t>
        </is>
      </c>
      <c r="C26" s="3" t="inlineStr"/>
      <c r="D26" s="2" t="inlineStr">
        <is>
          <t>Hydroxylamine adds across a nitrile to give the amidoxime; every atom is retained.</t>
        </is>
      </c>
      <c r="E26" s="2" t="n">
        <v>80304</v>
      </c>
      <c r="F26" s="2" t="inlineStr">
        <is>
          <t>atom balance (starting materials + NO = product + by-products) holds in 6 of 6 recorded examples; reagent supplies NO</t>
        </is>
      </c>
    </row>
    <row r="27">
      <c r="A27" s="3" t="inlineStr">
        <is>
          <t>Br</t>
        </is>
      </c>
      <c r="B27" s="3" t="inlineStr"/>
      <c r="C27" s="3" t="inlineStr">
        <is>
          <t>Br</t>
        </is>
      </c>
      <c r="D27" s="2" t="inlineStr">
        <is>
          <t>Bromide is displaced (SN2, SNAr or cross-coupling) and leaves with the replaced H as HBr, neutralised by the base.</t>
        </is>
      </c>
      <c r="E27" s="2" t="n">
        <v>78303</v>
      </c>
      <c r="F27" s="2" t="inlineStr">
        <is>
          <t>atom balance (starting materials + nothing = product + by-products) holds in 6 of 6 recorded examples</t>
        </is>
      </c>
    </row>
    <row r="28">
      <c r="A28" s="3" t="inlineStr">
        <is>
          <t>Br</t>
        </is>
      </c>
      <c r="B28" s="3" t="inlineStr">
        <is>
          <t>BrBr</t>
        </is>
      </c>
      <c r="C28" s="3" t="inlineStr">
        <is>
          <t>Br</t>
        </is>
      </c>
      <c r="D28" s="2" t="inlineStr">
        <is>
          <t>Electrophilic bromination with Br2: one Br goes onto the substrate and the replaced H leaves as HBr.</t>
        </is>
      </c>
      <c r="E28" s="2" t="n">
        <v>78303</v>
      </c>
      <c r="F28" s="2" t="inlineStr">
        <is>
          <t>atom balance (starting materials + BrBr = product + by-products) holds in 6 of 6 recorded examples; reagent supplies BrBr</t>
        </is>
      </c>
    </row>
    <row r="29">
      <c r="A29" s="3" t="inlineStr">
        <is>
          <t>C</t>
        </is>
      </c>
      <c r="B29" s="3" t="inlineStr"/>
      <c r="C29" s="3" t="inlineStr">
        <is>
          <t>CO</t>
        </is>
      </c>
      <c r="D29" s="2" t="inlineStr">
        <is>
          <t>Methyl ester (or methyl ether) hydrolysis: water from the aqueous base/acid splits off methanol.</t>
        </is>
      </c>
      <c r="E29" s="2" t="n">
        <v>32525</v>
      </c>
      <c r="F29" s="2" t="inlineStr">
        <is>
          <t>atom balance (starting materials + O = product + by-products) holds in 6 of 6 recorded examples; reagent supplies O</t>
        </is>
      </c>
    </row>
    <row r="30">
      <c r="A30" s="3" t="inlineStr">
        <is>
          <t>C</t>
        </is>
      </c>
      <c r="B30" s="3" t="inlineStr">
        <is>
          <t>Br</t>
        </is>
      </c>
      <c r="C30" s="3" t="inlineStr">
        <is>
          <t>CBr</t>
        </is>
      </c>
      <c r="D30" s="2" t="inlineStr">
        <is>
          <t>HBr cleaves the methyl ether/ester by SN2 at methyl, releasing methyl bromide.</t>
        </is>
      </c>
      <c r="E30" s="2" t="n">
        <v>32525</v>
      </c>
      <c r="F30" s="2" t="inlineStr">
        <is>
          <t>atom balance (starting materials + Br = product + by-products) holds in 6 of 6 recorded examples; reagent supplies Br</t>
        </is>
      </c>
    </row>
    <row r="31">
      <c r="A31" s="3" t="inlineStr">
        <is>
          <t>C</t>
        </is>
      </c>
      <c r="B31" s="3" t="inlineStr">
        <is>
          <t>[I-]</t>
        </is>
      </c>
      <c r="C31" s="3" t="inlineStr">
        <is>
          <t>CI</t>
        </is>
      </c>
      <c r="D31" s="2" t="inlineStr">
        <is>
          <t>Iodide (LiI, NaI/TMSCl) cleaves the methyl ester or ether by SN2 at methyl, releasing methyl iodide.</t>
        </is>
      </c>
      <c r="E31" s="2" t="n">
        <v>32525</v>
      </c>
      <c r="F31" s="2" t="inlineStr">
        <is>
          <t>atom balance (starting materials + I = product + by-products) holds in 6 of 6 recorded examples; reagent supplies I</t>
        </is>
      </c>
    </row>
    <row r="32">
      <c r="A32" s="3" t="inlineStr">
        <is>
          <t>CC(C)(C)OC=O</t>
        </is>
      </c>
      <c r="B32" s="3" t="inlineStr"/>
      <c r="C32" s="3" t="inlineStr">
        <is>
          <t>O=C=O.C=C(C)C</t>
        </is>
      </c>
      <c r="D32" s="2" t="inlineStr">
        <is>
          <t>Acid removes the Boc group as isobutylene (via the t-butyl cation) and carbon dioxide.</t>
        </is>
      </c>
      <c r="E32" s="2" t="n">
        <v>28149</v>
      </c>
      <c r="F32" s="2" t="inlineStr">
        <is>
          <t>atom balance (starting materials + nothing = product + by-products) holds in 6 of 6 recorded examples</t>
        </is>
      </c>
    </row>
    <row r="33">
      <c r="A33" s="3" t="inlineStr">
        <is>
          <t>I</t>
        </is>
      </c>
      <c r="B33" s="3" t="inlineStr"/>
      <c r="C33" s="3" t="inlineStr">
        <is>
          <t>I</t>
        </is>
      </c>
      <c r="D33" s="2" t="inlineStr">
        <is>
          <t>Iodide is displaced (alkylation, SNAr or cross-coupling) and leaves with the replaced H as HI, neutralised by the base.</t>
        </is>
      </c>
      <c r="E33" s="2" t="n">
        <v>23038</v>
      </c>
      <c r="F33" s="2" t="inlineStr">
        <is>
          <t>atom balance (starting materials + nothing = product + by-products) holds in 5 of 6 recorded examples</t>
        </is>
      </c>
    </row>
    <row r="34">
      <c r="A34" s="3" t="inlineStr">
        <is>
          <t>I</t>
        </is>
      </c>
      <c r="B34" s="3" t="inlineStr">
        <is>
          <t>II</t>
        </is>
      </c>
      <c r="C34" s="3" t="inlineStr">
        <is>
          <t>I</t>
        </is>
      </c>
      <c r="D34" s="2" t="inlineStr">
        <is>
          <t>Electrophilic iodination with I2: one I goes onto the substrate and the replaced H leaves as HI.</t>
        </is>
      </c>
      <c r="E34" s="2" t="n">
        <v>23038</v>
      </c>
      <c r="F34" s="2" t="inlineStr">
        <is>
          <t>atom balance (starting materials + II = product + by-products) holds in 6 of 6 recorded examples; reagent supplies II</t>
        </is>
      </c>
    </row>
    <row r="35">
      <c r="A35" s="3" t="inlineStr">
        <is>
          <t>O.[O-]</t>
        </is>
      </c>
      <c r="B35" s="3" t="inlineStr"/>
      <c r="C35" s="3" t="inlineStr">
        <is>
          <t>2*O</t>
        </is>
      </c>
      <c r="D35" s="2" t="inlineStr">
        <is>
          <t>Reduction of the nitro group to the amine takes three H2-equivalents and releases both oxygens as water.</t>
        </is>
      </c>
      <c r="E35" s="2" t="n">
        <v>22208</v>
      </c>
      <c r="F35" s="2" t="inlineStr">
        <is>
          <t>atom balance (starting materials + 3*[H][H] = product + by-products) holds in 5 of 6 recorded examples; reagent supplies 3*[H][H]</t>
        </is>
      </c>
    </row>
    <row r="36">
      <c r="A36" s="3" t="inlineStr">
        <is>
          <t>O.[O-]</t>
        </is>
      </c>
      <c r="B36" s="3" t="inlineStr">
        <is>
          <t>[Fe]</t>
        </is>
      </c>
      <c r="C36" s="3" t="inlineStr">
        <is>
          <t>3*[Fe+2].2*O</t>
        </is>
      </c>
      <c r="D36" s="2" t="inlineStr">
        <is>
          <t>Bechamp reduction: three iron atoms give six electrons and the acid/ammonium salt six protons; the oxygens leave as water and iron ends as Fe(II) salts.</t>
        </is>
      </c>
      <c r="E36" s="2" t="n">
        <v>22208</v>
      </c>
      <c r="F36" s="2" t="inlineStr">
        <is>
          <t>atom balance (starting materials + 3*[Fe].6*[H+] = product + by-products) holds in 5 of 6 recorded examples; reagent supplies 3*[Fe].6*[H+]</t>
        </is>
      </c>
    </row>
    <row r="37">
      <c r="A37" s="3" t="inlineStr">
        <is>
          <t>CC</t>
        </is>
      </c>
      <c r="B37" s="3" t="inlineStr"/>
      <c r="C37" s="3" t="inlineStr">
        <is>
          <t>CCO</t>
        </is>
      </c>
      <c r="D37" s="2" t="inlineStr">
        <is>
          <t>Ethyl ester hydrolysis: water from the aqueous base/acid splits off ethanol.</t>
        </is>
      </c>
      <c r="E37" s="2" t="n">
        <v>19961</v>
      </c>
      <c r="F37" s="2" t="inlineStr">
        <is>
          <t>atom balance (starting materials + O = product + by-products) holds in 6 of 6 recorded examples; reagent supplies O</t>
        </is>
      </c>
    </row>
    <row r="38">
      <c r="A38" s="3" t="inlineStr">
        <is>
          <t>CC</t>
        </is>
      </c>
      <c r="B38" s="3" t="inlineStr">
        <is>
          <t>BrB(Br)Br</t>
        </is>
      </c>
      <c r="C38" s="3" t="inlineStr">
        <is>
          <t>CCBr.OB(O)O.2*Br</t>
        </is>
      </c>
      <c r="D38" s="2" t="inlineStr">
        <is>
          <t>BBr3 cleavage of an ethyl ether/ester releases ethyl bromide; work-up turns boron into boric acid and HBr.</t>
        </is>
      </c>
      <c r="E38" s="2" t="n">
        <v>19961</v>
      </c>
      <c r="F38" s="2" t="inlineStr">
        <is>
          <t>atom balance (starting materials + BrB(Br)Br.3*O = product + by-products) holds in 6 of 6 recorded examples; reagent supplies BrB(Br)Br.3*O</t>
        </is>
      </c>
    </row>
    <row r="39">
      <c r="A39" s="3" t="inlineStr">
        <is>
          <t>CC</t>
        </is>
      </c>
      <c r="B39" s="3" t="inlineStr">
        <is>
          <t>Br</t>
        </is>
      </c>
      <c r="C39" s="3" t="inlineStr">
        <is>
          <t>CCBr</t>
        </is>
      </c>
      <c r="D39" s="2" t="inlineStr">
        <is>
          <t>HBr cleaves the ethyl ether/ester by SN2, releasing ethyl bromide.</t>
        </is>
      </c>
      <c r="E39" s="2" t="n">
        <v>19961</v>
      </c>
      <c r="F39" s="2" t="inlineStr">
        <is>
          <t>atom balance (starting materials + Br = product + by-products) holds in 5 of 6 recorded examples; reagent supplies Br</t>
        </is>
      </c>
    </row>
    <row r="40">
      <c r="A40" s="3" t="inlineStr">
        <is>
          <t>Br.OBO</t>
        </is>
      </c>
      <c r="B40" s="3" t="inlineStr"/>
      <c r="C40" s="3" t="inlineStr">
        <is>
          <t>OB(O)O.Br</t>
        </is>
      </c>
      <c r="D40" s="2" t="inlineStr">
        <is>
          <t>Suzuki coupling: the aryl bromide and boronic acid join; boron ends as boric acid (borate) and bromide as HBr, both taken up by the base.</t>
        </is>
      </c>
      <c r="E40" s="2" t="n">
        <v>17003</v>
      </c>
      <c r="F40" s="2" t="inlineStr">
        <is>
          <t>atom balance (starting materials + O = product + by-products) holds in 6 of 6 recorded examples; reagent supplies O</t>
        </is>
      </c>
    </row>
    <row r="41">
      <c r="A41" s="3" t="inlineStr">
        <is>
          <t>F</t>
        </is>
      </c>
      <c r="B41" s="3" t="inlineStr"/>
      <c r="C41" s="3" t="inlineStr">
        <is>
          <t>F</t>
        </is>
      </c>
      <c r="D41" s="2" t="inlineStr">
        <is>
          <t>SNAr displacement of fluoride: F leaves with the replaced H as HF, neutralised by the base.</t>
        </is>
      </c>
      <c r="E41" s="2" t="n">
        <v>14328</v>
      </c>
      <c r="F41" s="2" t="inlineStr">
        <is>
          <t>atom balance (starting materials + nothing = product + by-products) holds in 6 of 6 recorded examples</t>
        </is>
      </c>
    </row>
    <row r="42">
      <c r="A42" s="3" t="inlineStr">
        <is>
          <t>O.O</t>
        </is>
      </c>
      <c r="B42" s="3" t="inlineStr"/>
      <c r="C42" s="3" t="inlineStr">
        <is>
          <t>2*O</t>
        </is>
      </c>
      <c r="D42" s="2" t="inlineStr">
        <is>
          <t>Double condensation (e.g. heterocycle formation from a dicarbonyl or acid + diamine) releases two waters.</t>
        </is>
      </c>
      <c r="E42" s="2" t="n">
        <v>12399</v>
      </c>
      <c r="F42" s="2" t="inlineStr">
        <is>
          <t>atom balance (starting materials + nothing = product + by-products) holds in 5 of 6 recorded examples</t>
        </is>
      </c>
    </row>
    <row r="43">
      <c r="A43" s="3" t="inlineStr">
        <is>
          <t>O.O</t>
        </is>
      </c>
      <c r="B43" s="3" t="inlineStr">
        <is>
          <t>NN</t>
        </is>
      </c>
      <c r="C43" s="3" t="inlineStr">
        <is>
          <t>2*O</t>
        </is>
      </c>
      <c r="D43" s="2" t="inlineStr">
        <is>
          <t>Hydrazine condenses with both carbonyls of a 1,3- or 1,4-dicarbonyl (pyrazole/pyridazine formation), releasing two waters.</t>
        </is>
      </c>
      <c r="E43" s="2" t="n">
        <v>12399</v>
      </c>
      <c r="F43" s="2" t="inlineStr">
        <is>
          <t>atom balance (starting materials + NN = product + by-products) holds in 6 of 6 recorded examples; reagent supplies NN</t>
        </is>
      </c>
    </row>
    <row r="44">
      <c r="A44" s="3" t="inlineStr">
        <is>
          <t>?</t>
        </is>
      </c>
      <c r="B44" s="3" t="inlineStr">
        <is>
          <t>[I-]</t>
        </is>
      </c>
      <c r="C44" s="3" t="inlineStr">
        <is>
          <t>Cn1ccnc1.[H+]</t>
        </is>
      </c>
      <c r="D44" s="2" t="inlineStr">
        <is>
          <t>A carbamoyl-imidazolium salt (Batey reagent) transfers its carbamoyl group and releases N-methylimidazole; the nucleophile proton goes to the base.</t>
        </is>
      </c>
      <c r="E44" s="2" t="n">
        <v>11159</v>
      </c>
      <c r="F44" s="2" t="inlineStr">
        <is>
          <t>atom balance (starting materials + nothing = product + by-products) holds in 5 of 6 recorded examples</t>
        </is>
      </c>
    </row>
    <row r="45">
      <c r="A45" s="3" t="inlineStr">
        <is>
          <t>?</t>
        </is>
      </c>
      <c r="B45" s="3" t="inlineStr">
        <is>
          <t>NO</t>
        </is>
      </c>
      <c r="C45" s="3" t="inlineStr">
        <is>
          <t>CC(=NO)CCC(C)=NO</t>
        </is>
      </c>
      <c r="D45" s="2" t="inlineStr">
        <is>
          <t>Hydroxylamine removes the 2,5-dimethylpyrrole protecting group, freeing the amine; the hexane-2,5-dione unit leaves as its dioxime.</t>
        </is>
      </c>
      <c r="E45" s="2" t="n">
        <v>11159</v>
      </c>
      <c r="F45" s="2" t="inlineStr">
        <is>
          <t>atom balance (starting materials + 2*NO = product + by-products) holds in 5 of 6 recorded examples; reagent supplies 2*NO</t>
        </is>
      </c>
    </row>
    <row r="46">
      <c r="A46" s="3" t="inlineStr">
        <is>
          <t>CCO</t>
        </is>
      </c>
      <c r="B46" s="3" t="inlineStr">
        <is>
          <t>[Al+3]</t>
        </is>
      </c>
      <c r="C46" s="3" t="inlineStr">
        <is>
          <t>CCO</t>
        </is>
      </c>
      <c r="D46" s="2" t="inlineStr">
        <is>
          <t>Hydride reduction of an ethyl ester to the primary alcohol takes two H2-equivalents and releases ethanol.</t>
        </is>
      </c>
      <c r="E46" s="2" t="n">
        <v>10287</v>
      </c>
      <c r="F46" s="2" t="inlineStr">
        <is>
          <t>atom balance (starting materials + 2*[H][H] = product + by-products) holds in 6 of 6 recorded examples; reagent supplies 2*[H][H]</t>
        </is>
      </c>
    </row>
    <row r="47">
      <c r="A47" s="3" t="inlineStr">
        <is>
          <t>CCO</t>
        </is>
      </c>
      <c r="B47" s="3" t="inlineStr">
        <is>
          <t>[AlH4-]</t>
        </is>
      </c>
      <c r="C47" s="3" t="inlineStr">
        <is>
          <t>CCO</t>
        </is>
      </c>
      <c r="D47" s="2" t="inlineStr">
        <is>
          <t>Hydride reduction of an ethyl ester to the primary alcohol takes two H2-equivalents and releases ethanol.</t>
        </is>
      </c>
      <c r="E47" s="2" t="n">
        <v>10287</v>
      </c>
      <c r="F47" s="2" t="inlineStr">
        <is>
          <t>atom balance (starting materials + 2*[H][H] = product + by-products) holds in 6 of 6 recorded examples; reagent supplies 2*[H][H]</t>
        </is>
      </c>
    </row>
    <row r="48">
      <c r="A48" s="3" t="inlineStr">
        <is>
          <t>CCO</t>
        </is>
      </c>
      <c r="B48" s="3" t="inlineStr">
        <is>
          <t>[BH4-]</t>
        </is>
      </c>
      <c r="C48" s="3" t="inlineStr">
        <is>
          <t>CCO</t>
        </is>
      </c>
      <c r="D48" s="2" t="inlineStr">
        <is>
          <t>Hydride reduction of an ethyl ester to the primary alcohol takes two H2-equivalents and releases ethanol.</t>
        </is>
      </c>
      <c r="E48" s="2" t="n">
        <v>10287</v>
      </c>
      <c r="F48" s="2" t="inlineStr">
        <is>
          <t>atom balance (starting materials + 2*[H][H] = product + by-products) holds in 6 of 6 recorded examples; reagent supplies 2*[H][H]</t>
        </is>
      </c>
    </row>
    <row r="49">
      <c r="A49" s="3" t="inlineStr">
        <is>
          <t>CCO</t>
        </is>
      </c>
      <c r="B49" s="3" t="inlineStr">
        <is>
          <t>COCC[O][AlH2-][O]CCOC</t>
        </is>
      </c>
      <c r="C49" s="3" t="inlineStr">
        <is>
          <t>CCO</t>
        </is>
      </c>
      <c r="D49" s="2" t="inlineStr">
        <is>
          <t>Hydride reduction of an ethyl ester to the primary alcohol takes two H2-equivalents and releases ethanol.</t>
        </is>
      </c>
      <c r="E49" s="2" t="n">
        <v>10287</v>
      </c>
      <c r="F49" s="2" t="inlineStr">
        <is>
          <t>atom balance (starting materials + 2*[H][H] = product + by-products) holds in 6 of 6 recorded examples; reagent supplies 2*[H][H]</t>
        </is>
      </c>
    </row>
    <row r="50">
      <c r="A50" s="3" t="inlineStr">
        <is>
          <t>CCO</t>
        </is>
      </c>
      <c r="B50" s="3" t="inlineStr">
        <is>
          <t>N</t>
        </is>
      </c>
      <c r="C50" s="3" t="inlineStr">
        <is>
          <t>CCO</t>
        </is>
      </c>
      <c r="D50" s="2" t="inlineStr">
        <is>
          <t>Ammonia converts the ethyl ester to the primary amide, releasing ethanol.</t>
        </is>
      </c>
      <c r="E50" s="2" t="n">
        <v>10287</v>
      </c>
      <c r="F50" s="2" t="inlineStr">
        <is>
          <t>atom balance (starting materials + N = product + by-products) holds in 6 of 6 recorded examples; reagent supplies N</t>
        </is>
      </c>
    </row>
    <row r="51">
      <c r="A51" s="3" t="inlineStr">
        <is>
          <t>CCO</t>
        </is>
      </c>
      <c r="B51" s="3" t="inlineStr">
        <is>
          <t>NN</t>
        </is>
      </c>
      <c r="C51" s="3" t="inlineStr">
        <is>
          <t>CCO</t>
        </is>
      </c>
      <c r="D51" s="2" t="inlineStr">
        <is>
          <t>Hydrazine converts the ethyl ester to the hydrazide, releasing ethanol.</t>
        </is>
      </c>
      <c r="E51" s="2" t="n">
        <v>10287</v>
      </c>
      <c r="F51" s="2" t="inlineStr">
        <is>
          <t>atom balance (starting materials + NN = product + by-products) holds in 6 of 6 recorded examples; reagent supplies NN</t>
        </is>
      </c>
    </row>
    <row r="52">
      <c r="A52" s="3" t="inlineStr">
        <is>
          <t>CCO</t>
        </is>
      </c>
      <c r="B52" s="3" t="inlineStr">
        <is>
          <t>Cc1ccc(S(=O)(=O)O)cc1</t>
        </is>
      </c>
      <c r="C52" s="3" t="inlineStr">
        <is>
          <t>OCCO</t>
        </is>
      </c>
      <c r="D52" s="2" t="inlineStr">
        <is>
          <t>Acid hydrolysis of a 1,3-dioxolane (ethylene ketal/acetal) returns the carbonyl and releases ethylene glycol.</t>
        </is>
      </c>
      <c r="E52" s="2" t="n">
        <v>10287</v>
      </c>
      <c r="F52" s="2" t="inlineStr">
        <is>
          <t>atom balance (starting materials + O = product + by-products) holds in 5 of 6 recorded examples; reagent supplies O</t>
        </is>
      </c>
    </row>
    <row r="53">
      <c r="A53" s="3" t="inlineStr">
        <is>
          <t>Cc1ccccc1</t>
        </is>
      </c>
      <c r="B53" s="3" t="inlineStr"/>
      <c r="C53" s="3" t="inlineStr">
        <is>
          <t>Cc1ccccc1</t>
        </is>
      </c>
      <c r="D53" s="2" t="inlineStr">
        <is>
          <t>Hydrogenolysis of a benzyl ether, ester or amine: H2 cleaves the benzylic C-O/C-N bond and releases toluene.</t>
        </is>
      </c>
      <c r="E53" s="2" t="n">
        <v>10156</v>
      </c>
      <c r="F53" s="2" t="inlineStr">
        <is>
          <t>atom balance (starting materials + [H][H] = product + by-products) holds in 6 of 6 recorded examples; reagent supplies [H][H]</t>
        </is>
      </c>
    </row>
    <row r="54">
      <c r="A54" s="3" t="inlineStr">
        <is>
          <t>Cc1ccccc1</t>
        </is>
      </c>
      <c r="B54" s="3" t="inlineStr">
        <is>
          <t>[H][H]</t>
        </is>
      </c>
      <c r="C54" s="3" t="inlineStr">
        <is>
          <t>Cc1ccccc1</t>
        </is>
      </c>
      <c r="D54" s="2" t="inlineStr">
        <is>
          <t>Hydrogenolysis (H2 or ammonium formate with Pd) cleaves the benzylic C-O/C-N bond and releases toluene.</t>
        </is>
      </c>
      <c r="E54" s="2" t="n">
        <v>10156</v>
      </c>
      <c r="F54" s="2" t="inlineStr">
        <is>
          <t>atom balance (starting materials + [H][H] = product + by-products) holds in 6 of 6 recorded examples; reagent supplies [H][H]</t>
        </is>
      </c>
    </row>
    <row r="55">
      <c r="A55" s="3" t="inlineStr">
        <is>
          <t>Cc1ccccc1</t>
        </is>
      </c>
      <c r="B55" s="3" t="inlineStr">
        <is>
          <t>[Pd]</t>
        </is>
      </c>
      <c r="C55" s="3" t="inlineStr">
        <is>
          <t>Cc1ccccc1</t>
        </is>
      </c>
      <c r="D55" s="2" t="inlineStr">
        <is>
          <t>Hydrogenolysis (H2 or ammonium formate with Pd) cleaves the benzylic C-O/C-N bond and releases toluene.</t>
        </is>
      </c>
      <c r="E55" s="2" t="n">
        <v>10156</v>
      </c>
      <c r="F55" s="2" t="inlineStr">
        <is>
          <t>atom balance (starting materials + [H][H] = product + by-products) holds in 6 of 6 recorded examples; reagent supplies [H][H]</t>
        </is>
      </c>
    </row>
    <row r="56">
      <c r="A56" s="3" t="inlineStr">
        <is>
          <t>Cc1ccccc1</t>
        </is>
      </c>
      <c r="B56" s="3" t="inlineStr">
        <is>
          <t>[Pd+2]</t>
        </is>
      </c>
      <c r="C56" s="3" t="inlineStr">
        <is>
          <t>Cc1ccccc1</t>
        </is>
      </c>
      <c r="D56" s="2" t="inlineStr">
        <is>
          <t>Hydrogenolysis (H2 or ammonium formate with Pd) cleaves the benzylic C-O/C-N bond and releases toluene.</t>
        </is>
      </c>
      <c r="E56" s="2" t="n">
        <v>10156</v>
      </c>
      <c r="F56" s="2" t="inlineStr">
        <is>
          <t>atom balance (starting materials + [H][H] = product + by-products) holds in 6 of 6 recorded examples; reagent supplies [H][H]</t>
        </is>
      </c>
    </row>
    <row r="57">
      <c r="A57" s="3" t="inlineStr">
        <is>
          <t>Cc1ccccc1</t>
        </is>
      </c>
      <c r="B57" s="3" t="inlineStr">
        <is>
          <t>[C]</t>
        </is>
      </c>
      <c r="C57" s="3" t="inlineStr">
        <is>
          <t>Cc1ccccc1</t>
        </is>
      </c>
      <c r="D57" s="2" t="inlineStr">
        <is>
          <t>Hydrogenolysis (H2 or ammonium formate with Pd) cleaves the benzylic C-O/C-N bond and releases toluene.</t>
        </is>
      </c>
      <c r="E57" s="2" t="n">
        <v>10156</v>
      </c>
      <c r="F57" s="2" t="inlineStr">
        <is>
          <t>atom balance (starting materials + [H][H] = product + by-products) holds in 5 of 6 recorded examples; reagent supplies [H][H]</t>
        </is>
      </c>
    </row>
    <row r="58">
      <c r="A58" s="3" t="inlineStr">
        <is>
          <t>Cc1ccccc1</t>
        </is>
      </c>
      <c r="B58" s="3" t="inlineStr">
        <is>
          <t>O=C[O-]</t>
        </is>
      </c>
      <c r="C58" s="3" t="inlineStr">
        <is>
          <t>Cc1ccccc1</t>
        </is>
      </c>
      <c r="D58" s="2" t="inlineStr">
        <is>
          <t>Hydrogenolysis (H2 or ammonium formate with Pd) cleaves the benzylic C-O/C-N bond and releases toluene.</t>
        </is>
      </c>
      <c r="E58" s="2" t="n">
        <v>10156</v>
      </c>
      <c r="F58" s="2" t="inlineStr">
        <is>
          <t>atom balance (starting materials + [H][H] = product + by-products) holds in 5 of 6 recorded examples; reagent supplies [H][H]</t>
        </is>
      </c>
    </row>
    <row r="59">
      <c r="A59" s="3" t="inlineStr">
        <is>
          <t>Cc1ccccc1</t>
        </is>
      </c>
      <c r="B59" s="3" t="inlineStr">
        <is>
          <t>[K+]</t>
        </is>
      </c>
      <c r="C59" s="3" t="inlineStr">
        <is>
          <t>OCc1ccccc1</t>
        </is>
      </c>
      <c r="D59" s="2" t="inlineStr">
        <is>
          <t>Saponification of a benzyl ester: hydroxide/water releases benzyl alcohol.</t>
        </is>
      </c>
      <c r="E59" s="2" t="n">
        <v>10156</v>
      </c>
      <c r="F59" s="2" t="inlineStr">
        <is>
          <t>atom balance (starting materials + O = product + by-products) holds in 5 of 6 recorded examples; reagent supplies O</t>
        </is>
      </c>
    </row>
    <row r="60">
      <c r="A60" s="3" t="inlineStr">
        <is>
          <t>Cc1ccccc1</t>
        </is>
      </c>
      <c r="B60" s="3" t="inlineStr">
        <is>
          <t>Br</t>
        </is>
      </c>
      <c r="C60" s="3" t="inlineStr">
        <is>
          <t>BrCc1ccccc1</t>
        </is>
      </c>
      <c r="D60" s="2" t="inlineStr">
        <is>
          <t>HBr cleaves the benzyl group by SN1/SN2, releasing benzyl bromide.</t>
        </is>
      </c>
      <c r="E60" s="2" t="n">
        <v>10156</v>
      </c>
      <c r="F60" s="2" t="inlineStr">
        <is>
          <t>atom balance (starting materials + Br = product + by-products) holds in 6 of 6 recorded examples; reagent supplies Br</t>
        </is>
      </c>
    </row>
    <row r="61">
      <c r="A61" s="3" t="inlineStr">
        <is>
          <t>Cc1ccccc1</t>
        </is>
      </c>
      <c r="B61" s="3" t="inlineStr">
        <is>
          <t>ClB(Cl)Cl</t>
        </is>
      </c>
      <c r="C61" s="3" t="inlineStr">
        <is>
          <t>ClCc1ccccc1.OB(O)O.2*Cl</t>
        </is>
      </c>
      <c r="D61" s="2" t="inlineStr">
        <is>
          <t>BCl3 debenzylation releases benzyl chloride; work-up turns boron into boric acid and HCl.</t>
        </is>
      </c>
      <c r="E61" s="2" t="n">
        <v>10156</v>
      </c>
      <c r="F61" s="2" t="inlineStr">
        <is>
          <t>atom balance (starting materials + ClB(Cl)Cl.3*O = product + by-products) holds in 5 of 6 recorded examples; reagent supplies ClB(Cl)Cl.3*O</t>
        </is>
      </c>
    </row>
    <row r="62">
      <c r="A62" s="3" t="inlineStr">
        <is>
          <t>Cc1ccccc1</t>
        </is>
      </c>
      <c r="B62" s="3" t="inlineStr">
        <is>
          <t>O=C(O)C(F)(F)F</t>
        </is>
      </c>
      <c r="C62" s="3" t="inlineStr">
        <is>
          <t>OCc1ccccc1</t>
        </is>
      </c>
      <c r="D62" s="2" t="inlineStr">
        <is>
          <t>TFA cleaves the benzyl group as the benzyl cation, which ends as benzyl alcohol (via its trifluoroacetate) after aqueous work-up.</t>
        </is>
      </c>
      <c r="E62" s="2" t="n">
        <v>10156</v>
      </c>
      <c r="F62" s="2" t="inlineStr">
        <is>
          <t>atom balance (starting materials + O = product + by-products) holds in 6 of 6 recorded examples; reagent supplies O</t>
        </is>
      </c>
    </row>
    <row r="63">
      <c r="A63" s="3" t="inlineStr">
        <is>
          <t>Br.CC1(C)OBOC1(C)C</t>
        </is>
      </c>
      <c r="B63" s="3" t="inlineStr"/>
      <c r="C63" s="3" t="inlineStr">
        <is>
          <t>CC(C)(O)C(C)(C)O.OB(O)O.Br</t>
        </is>
      </c>
      <c r="D63" s="2" t="inlineStr">
        <is>
          <t>Suzuki coupling with a pinacol boronate: boron ends as boric acid and pinacol after aqueous base, bromide as HBr (neutralised).</t>
        </is>
      </c>
      <c r="E63" s="2" t="n">
        <v>9598</v>
      </c>
      <c r="F63" s="2" t="inlineStr">
        <is>
          <t>atom balance (starting materials + 3*O = product + by-products) holds in 6 of 6 recorded examples; reagent supplies 3*O</t>
        </is>
      </c>
    </row>
    <row r="64">
      <c r="A64" s="3" t="inlineStr">
        <is>
          <t>CO</t>
        </is>
      </c>
      <c r="B64" s="3" t="inlineStr">
        <is>
          <t>[Al+3]</t>
        </is>
      </c>
      <c r="C64" s="3" t="inlineStr">
        <is>
          <t>CO</t>
        </is>
      </c>
      <c r="D64" s="2" t="inlineStr">
        <is>
          <t>Hydride reduction of a methyl ester to the primary alcohol takes two H2-equivalents and releases methanol.</t>
        </is>
      </c>
      <c r="E64" s="2" t="n">
        <v>8770</v>
      </c>
      <c r="F64" s="2" t="inlineStr">
        <is>
          <t>atom balance (starting materials + 2*[H][H] = product + by-products) holds in 5 of 6 recorded examples; reagent supplies 2*[H][H]</t>
        </is>
      </c>
    </row>
    <row r="65">
      <c r="A65" s="3" t="inlineStr">
        <is>
          <t>CO</t>
        </is>
      </c>
      <c r="B65" s="3" t="inlineStr">
        <is>
          <t>[AlH4-]</t>
        </is>
      </c>
      <c r="C65" s="3" t="inlineStr">
        <is>
          <t>CO</t>
        </is>
      </c>
      <c r="D65" s="2" t="inlineStr">
        <is>
          <t>Hydride reduction of a methyl ester to the primary alcohol takes two H2-equivalents and releases methanol.</t>
        </is>
      </c>
      <c r="E65" s="2" t="n">
        <v>8770</v>
      </c>
      <c r="F65" s="2" t="inlineStr">
        <is>
          <t>atom balance (starting materials + 2*[H][H] = product + by-products) holds in 5 of 6 recorded examples; reagent supplies 2*[H][H]</t>
        </is>
      </c>
    </row>
    <row r="66">
      <c r="A66" s="3" t="inlineStr">
        <is>
          <t>CO</t>
        </is>
      </c>
      <c r="B66" s="3" t="inlineStr">
        <is>
          <t>[BH4-]</t>
        </is>
      </c>
      <c r="C66" s="3" t="inlineStr">
        <is>
          <t>CO</t>
        </is>
      </c>
      <c r="D66" s="2" t="inlineStr">
        <is>
          <t>Hydride reduction of a methyl ester to the primary alcohol takes two H2-equivalents and releases methanol.</t>
        </is>
      </c>
      <c r="E66" s="2" t="n">
        <v>8770</v>
      </c>
      <c r="F66" s="2" t="inlineStr">
        <is>
          <t>atom balance (starting materials + 2*[H][H] = product + by-products) holds in 6 of 6 recorded examples; reagent supplies 2*[H][H]</t>
        </is>
      </c>
    </row>
    <row r="67">
      <c r="A67" s="3" t="inlineStr">
        <is>
          <t>CO</t>
        </is>
      </c>
      <c r="B67" s="3" t="inlineStr">
        <is>
          <t>CC(C)[CH2][Al+][CH2]C(C)C</t>
        </is>
      </c>
      <c r="C67" s="3" t="inlineStr">
        <is>
          <t>CO</t>
        </is>
      </c>
      <c r="D67" s="2" t="inlineStr">
        <is>
          <t>Hydride reduction of a methyl ester to the primary alcohol takes two H2-equivalents and releases methanol.</t>
        </is>
      </c>
      <c r="E67" s="2" t="n">
        <v>8770</v>
      </c>
      <c r="F67" s="2" t="inlineStr">
        <is>
          <t>atom balance (starting materials + 2*[H][H] = product + by-products) holds in 6 of 6 recorded examples; reagent supplies 2*[H][H]</t>
        </is>
      </c>
    </row>
    <row r="68">
      <c r="A68" s="3" t="inlineStr">
        <is>
          <t>CO</t>
        </is>
      </c>
      <c r="B68" s="3" t="inlineStr">
        <is>
          <t>COCC[O][AlH2-][O]CCOC</t>
        </is>
      </c>
      <c r="C68" s="3" t="inlineStr">
        <is>
          <t>CO</t>
        </is>
      </c>
      <c r="D68" s="2" t="inlineStr">
        <is>
          <t>Hydride reduction of a methyl ester to the primary alcohol takes two H2-equivalents and releases methanol.</t>
        </is>
      </c>
      <c r="E68" s="2" t="n">
        <v>8770</v>
      </c>
      <c r="F68" s="2" t="inlineStr">
        <is>
          <t>atom balance (starting materials + 2*[H][H] = product + by-products) holds in 5 of 5 recorded examples; reagent supplies 2*[H][H]</t>
        </is>
      </c>
    </row>
    <row r="69">
      <c r="A69" s="3" t="inlineStr">
        <is>
          <t>CO</t>
        </is>
      </c>
      <c r="B69" s="3" t="inlineStr">
        <is>
          <t>NN</t>
        </is>
      </c>
      <c r="C69" s="3" t="inlineStr">
        <is>
          <t>CO</t>
        </is>
      </c>
      <c r="D69" s="2" t="inlineStr">
        <is>
          <t>Hydrazine converts the methyl ester to the hydrazide, releasing methanol.</t>
        </is>
      </c>
      <c r="E69" s="2" t="n">
        <v>8770</v>
      </c>
      <c r="F69" s="2" t="inlineStr">
        <is>
          <t>atom balance (starting materials + NN = product + by-products) holds in 6 of 6 recorded examples; reagent supplies NN</t>
        </is>
      </c>
    </row>
    <row r="70">
      <c r="A70" s="3" t="inlineStr">
        <is>
          <t>CO</t>
        </is>
      </c>
      <c r="B70" s="3" t="inlineStr">
        <is>
          <t>NO</t>
        </is>
      </c>
      <c r="C70" s="3" t="inlineStr">
        <is>
          <t>CO</t>
        </is>
      </c>
      <c r="D70" s="2" t="inlineStr">
        <is>
          <t>Hydroxylamine converts the methyl ester to the hydroxamic acid, releasing methanol.</t>
        </is>
      </c>
      <c r="E70" s="2" t="n">
        <v>8770</v>
      </c>
      <c r="F70" s="2" t="inlineStr">
        <is>
          <t>atom balance (starting materials + NO = product + by-products) holds in 6 of 6 recorded examples; reagent supplies NO</t>
        </is>
      </c>
    </row>
    <row r="71">
      <c r="A71" s="3" t="inlineStr">
        <is>
          <t>CO</t>
        </is>
      </c>
      <c r="B71" s="3" t="inlineStr">
        <is>
          <t>[NH3+]O</t>
        </is>
      </c>
      <c r="C71" s="3" t="inlineStr">
        <is>
          <t>CO</t>
        </is>
      </c>
      <c r="D71" s="2" t="inlineStr">
        <is>
          <t>Hydroxylamine converts the methyl ester to the hydroxamic acid, releasing methanol.</t>
        </is>
      </c>
      <c r="E71" s="2" t="n">
        <v>8770</v>
      </c>
      <c r="F71" s="2" t="inlineStr">
        <is>
          <t>atom balance (starting materials + NO = product + by-products) holds in 2 of 2 recorded examples; reagent supplies NO</t>
        </is>
      </c>
    </row>
    <row r="72">
      <c r="A72" s="3" t="inlineStr">
        <is>
          <t>O=C1CCC(=O)N1</t>
        </is>
      </c>
      <c r="B72" s="3" t="inlineStr"/>
      <c r="C72" s="3" t="inlineStr">
        <is>
          <t>O=C1CCC(=O)N1</t>
        </is>
      </c>
      <c r="D72" s="2" t="inlineStr">
        <is>
          <t>N-halosuccinimide transfers its halogen to the substrate and the replaced H leaves on succinimide.</t>
        </is>
      </c>
      <c r="E72" s="2" t="n">
        <v>8412</v>
      </c>
      <c r="F72" s="2" t="inlineStr">
        <is>
          <t>atom balance (starting materials + nothing = product + by-products) holds in 6 of 6 recorded examples</t>
        </is>
      </c>
    </row>
    <row r="73">
      <c r="A73" s="3" t="inlineStr">
        <is>
          <t>C.O</t>
        </is>
      </c>
      <c r="B73" s="3" t="inlineStr">
        <is>
          <t>[AlH4-]</t>
        </is>
      </c>
      <c r="C73" s="3" t="inlineStr">
        <is>
          <t>CO</t>
        </is>
      </c>
      <c r="D73" s="2" t="inlineStr">
        <is>
          <t>Hydride reduction of a methyl ester to the primary alcohol takes two H2-equivalents and releases methanol.</t>
        </is>
      </c>
      <c r="E73" s="2" t="n">
        <v>6474</v>
      </c>
      <c r="F73" s="2" t="inlineStr">
        <is>
          <t>atom balance (starting materials + 2*[H][H] = product + by-products) holds in 5 of 6 recorded examples; reagent supplies 2*[H][H]</t>
        </is>
      </c>
    </row>
    <row r="74">
      <c r="A74" s="3" t="inlineStr">
        <is>
          <t>C.O</t>
        </is>
      </c>
      <c r="B74" s="3" t="inlineStr">
        <is>
          <t>[BH4-]</t>
        </is>
      </c>
      <c r="C74" s="3" t="inlineStr">
        <is>
          <t>CO</t>
        </is>
      </c>
      <c r="D74" s="2" t="inlineStr">
        <is>
          <t>Hydride reduction of a methyl ester to the primary alcohol takes two H2-equivalents and releases methanol.</t>
        </is>
      </c>
      <c r="E74" s="2" t="n">
        <v>6474</v>
      </c>
      <c r="F74" s="2" t="inlineStr">
        <is>
          <t>atom balance (starting materials + 2*[H][H] = product + by-products) holds in 5 of 6 recorded examples; reagent supplies 2*[H][H]</t>
        </is>
      </c>
    </row>
    <row r="75">
      <c r="A75" s="3" t="inlineStr">
        <is>
          <t>C.O</t>
        </is>
      </c>
      <c r="B75" s="3" t="inlineStr">
        <is>
          <t>CC(C)[CH2][AlH][CH2]C(C)C</t>
        </is>
      </c>
      <c r="C75" s="3" t="inlineStr">
        <is>
          <t>CO</t>
        </is>
      </c>
      <c r="D75" s="2" t="inlineStr">
        <is>
          <t>Hydride reduction of a methyl ester to the primary alcohol takes two H2-equivalents and releases methanol.</t>
        </is>
      </c>
      <c r="E75" s="2" t="n">
        <v>6474</v>
      </c>
      <c r="F75" s="2" t="inlineStr">
        <is>
          <t>atom balance (starting materials + 2*[H][H] = product + by-products) holds in 5 of 6 recorded examples; reagent supplies 2*[H][H]</t>
        </is>
      </c>
    </row>
    <row r="76">
      <c r="A76" s="3" t="inlineStr">
        <is>
          <t>C.O</t>
        </is>
      </c>
      <c r="B76" s="3" t="inlineStr">
        <is>
          <t>N</t>
        </is>
      </c>
      <c r="C76" s="3" t="inlineStr">
        <is>
          <t>CO</t>
        </is>
      </c>
      <c r="D76" s="2" t="inlineStr">
        <is>
          <t>Ammonia converts the methyl ester to the primary amide, releasing methanol.</t>
        </is>
      </c>
      <c r="E76" s="2" t="n">
        <v>6474</v>
      </c>
      <c r="F76" s="2" t="inlineStr">
        <is>
          <t>atom balance (starting materials + N = product + by-products) holds in 6 of 6 recorded examples; reagent supplies N</t>
        </is>
      </c>
    </row>
    <row r="77">
      <c r="A77" s="3" t="inlineStr">
        <is>
          <t>C.O</t>
        </is>
      </c>
      <c r="B77" s="3" t="inlineStr">
        <is>
          <t>[NH4+]</t>
        </is>
      </c>
      <c r="C77" s="3" t="inlineStr">
        <is>
          <t>CO</t>
        </is>
      </c>
      <c r="D77" s="2" t="inlineStr">
        <is>
          <t>Ammonia converts the methyl ester to the primary amide, releasing methanol.</t>
        </is>
      </c>
      <c r="E77" s="2" t="n">
        <v>6474</v>
      </c>
      <c r="F77" s="2" t="inlineStr">
        <is>
          <t>atom balance (starting materials + N = product + by-products) holds in 5 of 6 recorded examples; reagent supplies N</t>
        </is>
      </c>
    </row>
    <row r="78">
      <c r="A78" s="3" t="inlineStr">
        <is>
          <t>C.O</t>
        </is>
      </c>
      <c r="B78" s="3" t="inlineStr">
        <is>
          <t>NN</t>
        </is>
      </c>
      <c r="C78" s="3" t="inlineStr">
        <is>
          <t>CO</t>
        </is>
      </c>
      <c r="D78" s="2" t="inlineStr">
        <is>
          <t>Hydrazine converts the methyl ester to the hydrazide, releasing methanol.</t>
        </is>
      </c>
      <c r="E78" s="2" t="n">
        <v>6474</v>
      </c>
      <c r="F78" s="2" t="inlineStr">
        <is>
          <t>atom balance (starting materials + NN = product + by-products) holds in 6 of 6 recorded examples; reagent supplies NN</t>
        </is>
      </c>
    </row>
    <row r="79">
      <c r="A79" s="3" t="inlineStr">
        <is>
          <t>C.O</t>
        </is>
      </c>
      <c r="B79" s="3" t="inlineStr">
        <is>
          <t>NO</t>
        </is>
      </c>
      <c r="C79" s="3" t="inlineStr">
        <is>
          <t>CO</t>
        </is>
      </c>
      <c r="D79" s="2" t="inlineStr">
        <is>
          <t>Hydroxylamine converts the methyl ester to the hydroxamic acid, releasing methanol.</t>
        </is>
      </c>
      <c r="E79" s="2" t="n">
        <v>6474</v>
      </c>
      <c r="F79" s="2" t="inlineStr">
        <is>
          <t>atom balance (starting materials + NO = product + by-products) holds in 6 of 6 recorded examples; reagent supplies NO</t>
        </is>
      </c>
    </row>
    <row r="80">
      <c r="A80" s="3" t="inlineStr">
        <is>
          <t>CC(C)C</t>
        </is>
      </c>
      <c r="B80" s="3" t="inlineStr"/>
      <c r="C80" s="3" t="inlineStr">
        <is>
          <t>C=C(C)C</t>
        </is>
      </c>
      <c r="D80" s="2" t="inlineStr">
        <is>
          <t>Acid cleaves the t-butyl ester/ether/amide via the t-butyl cation, which leaves as isobutylene.</t>
        </is>
      </c>
      <c r="E80" s="2" t="n">
        <v>5970</v>
      </c>
      <c r="F80" s="2" t="inlineStr">
        <is>
          <t>atom balance (starting materials + nothing = product + by-products) holds in 5 of 6 recorded examples</t>
        </is>
      </c>
    </row>
    <row r="81">
      <c r="A81" s="3" t="inlineStr">
        <is>
          <t>CC(=O)O</t>
        </is>
      </c>
      <c r="B81" s="3" t="inlineStr"/>
      <c r="C81" s="3" t="inlineStr">
        <is>
          <t>CC(=O)O</t>
        </is>
      </c>
      <c r="D81" s="2" t="inlineStr">
        <is>
          <t>Acetic anhydride acetylates the amine/alcohol and releases acetic acid.</t>
        </is>
      </c>
      <c r="E81" s="2" t="n">
        <v>5624</v>
      </c>
      <c r="F81" s="2" t="inlineStr">
        <is>
          <t>atom balance (starting materials + nothing = product + by-products) holds in 6 of 6 recorded examples</t>
        </is>
      </c>
    </row>
    <row r="82">
      <c r="A82" s="3" t="inlineStr">
        <is>
          <t>Cl.OBO</t>
        </is>
      </c>
      <c r="B82" s="3" t="inlineStr"/>
      <c r="C82" s="3" t="inlineStr">
        <is>
          <t>OB(O)O.Cl</t>
        </is>
      </c>
      <c r="D82" s="2" t="inlineStr">
        <is>
          <t>Suzuki coupling: the aryl chloride and boronic acid join; boron ends as boric acid and chloride as HCl, both taken up by the base.</t>
        </is>
      </c>
      <c r="E82" s="2" t="n">
        <v>5253</v>
      </c>
      <c r="F82" s="2" t="inlineStr">
        <is>
          <t>atom balance (starting materials + O = product + by-products) holds in 6 of 6 recorded examples; reagent supplies O</t>
        </is>
      </c>
    </row>
    <row r="83">
      <c r="A83" s="3" t="inlineStr">
        <is>
          <t>CC.O</t>
        </is>
      </c>
      <c r="B83" s="3" t="inlineStr">
        <is>
          <t>[Al+3]</t>
        </is>
      </c>
      <c r="C83" s="3" t="inlineStr">
        <is>
          <t>CCO</t>
        </is>
      </c>
      <c r="D83" s="2" t="inlineStr">
        <is>
          <t>Hydride reduction of an ethyl ester to the primary alcohol takes two H2-equivalents and releases ethanol.</t>
        </is>
      </c>
      <c r="E83" s="2" t="n">
        <v>5174</v>
      </c>
      <c r="F83" s="2" t="inlineStr">
        <is>
          <t>atom balance (starting materials + 2*[H][H] = product + by-products) holds in 6 of 6 recorded examples; reagent supplies 2*[H][H]</t>
        </is>
      </c>
    </row>
    <row r="84">
      <c r="A84" s="3" t="inlineStr">
        <is>
          <t>CC.O</t>
        </is>
      </c>
      <c r="B84" s="3" t="inlineStr">
        <is>
          <t>[AlH4-]</t>
        </is>
      </c>
      <c r="C84" s="3" t="inlineStr">
        <is>
          <t>CCO</t>
        </is>
      </c>
      <c r="D84" s="2" t="inlineStr">
        <is>
          <t>Hydride reduction of an ethyl ester to the primary alcohol takes two H2-equivalents and releases ethanol.</t>
        </is>
      </c>
      <c r="E84" s="2" t="n">
        <v>5174</v>
      </c>
      <c r="F84" s="2" t="inlineStr">
        <is>
          <t>atom balance (starting materials + 2*[H][H] = product + by-products) holds in 3 of 3 recorded examples; reagent supplies 2*[H][H]</t>
        </is>
      </c>
    </row>
    <row r="85">
      <c r="A85" s="3" t="inlineStr">
        <is>
          <t>CC.O</t>
        </is>
      </c>
      <c r="B85" s="3" t="inlineStr">
        <is>
          <t>[BH4-]</t>
        </is>
      </c>
      <c r="C85" s="3" t="inlineStr">
        <is>
          <t>CCO</t>
        </is>
      </c>
      <c r="D85" s="2" t="inlineStr">
        <is>
          <t>Hydride reduction of an ethyl ester to the primary alcohol takes two H2-equivalents and releases ethanol.</t>
        </is>
      </c>
      <c r="E85" s="2" t="n">
        <v>5174</v>
      </c>
      <c r="F85" s="2" t="inlineStr">
        <is>
          <t>atom balance (starting materials + 2*[H][H] = product + by-products) holds in 6 of 6 recorded examples; reagent supplies 2*[H][H]</t>
        </is>
      </c>
    </row>
    <row r="86">
      <c r="A86" s="3" t="inlineStr">
        <is>
          <t>CC.O</t>
        </is>
      </c>
      <c r="B86" s="3" t="inlineStr">
        <is>
          <t>CC(C)[CH2][AlH][CH2]C(C)C</t>
        </is>
      </c>
      <c r="C86" s="3" t="inlineStr">
        <is>
          <t>CCO</t>
        </is>
      </c>
      <c r="D86" s="2" t="inlineStr">
        <is>
          <t>Hydride reduction of an ethyl ester to the primary alcohol takes two H2-equivalents and releases ethanol.</t>
        </is>
      </c>
      <c r="E86" s="2" t="n">
        <v>5174</v>
      </c>
      <c r="F86" s="2" t="inlineStr">
        <is>
          <t>atom balance (starting materials + 2*[H][H] = product + by-products) holds in 5 of 6 recorded examples; reagent supplies 2*[H][H]</t>
        </is>
      </c>
    </row>
    <row r="87">
      <c r="A87" s="3" t="inlineStr">
        <is>
          <t>CC.O</t>
        </is>
      </c>
      <c r="B87" s="3" t="inlineStr">
        <is>
          <t>COCC[O][AlH2-][O]CCOC</t>
        </is>
      </c>
      <c r="C87" s="3" t="inlineStr">
        <is>
          <t>CCO</t>
        </is>
      </c>
      <c r="D87" s="2" t="inlineStr">
        <is>
          <t>Hydride reduction of an ethyl ester to the primary alcohol takes two H2-equivalents and releases ethanol.</t>
        </is>
      </c>
      <c r="E87" s="2" t="n">
        <v>5174</v>
      </c>
      <c r="F87" s="2" t="inlineStr">
        <is>
          <t>atom balance (starting materials + 2*[H][H] = product + by-products) holds in 4 of 4 recorded examples; reagent supplies 2*[H][H]</t>
        </is>
      </c>
    </row>
    <row r="88">
      <c r="A88" s="3" t="inlineStr">
        <is>
          <t>CC.O</t>
        </is>
      </c>
      <c r="B88" s="3" t="inlineStr">
        <is>
          <t>N</t>
        </is>
      </c>
      <c r="C88" s="3" t="inlineStr">
        <is>
          <t>CCO</t>
        </is>
      </c>
      <c r="D88" s="2" t="inlineStr">
        <is>
          <t>Ammonia converts the ethyl ester to the primary amide, releasing ethanol.</t>
        </is>
      </c>
      <c r="E88" s="2" t="n">
        <v>5174</v>
      </c>
      <c r="F88" s="2" t="inlineStr">
        <is>
          <t>atom balance (starting materials + N = product + by-products) holds in 6 of 6 recorded examples; reagent supplies N</t>
        </is>
      </c>
    </row>
    <row r="89">
      <c r="A89" s="3" t="inlineStr">
        <is>
          <t>CC.O</t>
        </is>
      </c>
      <c r="B89" s="3" t="inlineStr">
        <is>
          <t>NN</t>
        </is>
      </c>
      <c r="C89" s="3" t="inlineStr">
        <is>
          <t>CCO</t>
        </is>
      </c>
      <c r="D89" s="2" t="inlineStr">
        <is>
          <t>Hydrazine converts the ethyl ester to the hydrazide, releasing ethanol.</t>
        </is>
      </c>
      <c r="E89" s="2" t="n">
        <v>5174</v>
      </c>
      <c r="F89" s="2" t="inlineStr">
        <is>
          <t>atom balance (starting materials + NN = product + by-products) holds in 6 of 6 recorded examples; reagent supplies NN</t>
        </is>
      </c>
    </row>
    <row r="90">
      <c r="A90" s="3" t="inlineStr">
        <is>
          <t>CC.O</t>
        </is>
      </c>
      <c r="B90" s="3" t="inlineStr">
        <is>
          <t>NO</t>
        </is>
      </c>
      <c r="C90" s="3" t="inlineStr">
        <is>
          <t>CCO</t>
        </is>
      </c>
      <c r="D90" s="2" t="inlineStr">
        <is>
          <t>Hydroxylamine converts the ethyl ester to the hydroxamic acid, releasing ethanol.</t>
        </is>
      </c>
      <c r="E90" s="2" t="n">
        <v>5174</v>
      </c>
      <c r="F90" s="2" t="inlineStr">
        <is>
          <t>atom balance (starting materials + NO = product + by-products) holds in 6 of 6 recorded examples; reagent supplies NO</t>
        </is>
      </c>
    </row>
    <row r="91">
      <c r="A91" s="3" t="inlineStr">
        <is>
          <t>CC.O</t>
        </is>
      </c>
      <c r="B91" s="3" t="inlineStr">
        <is>
          <t>[NH3+]O</t>
        </is>
      </c>
      <c r="C91" s="3" t="inlineStr">
        <is>
          <t>CCO</t>
        </is>
      </c>
      <c r="D91" s="2" t="inlineStr">
        <is>
          <t>Hydroxylamine converts the ethyl ester to the hydroxamic acid, releasing ethanol.</t>
        </is>
      </c>
      <c r="E91" s="2" t="n">
        <v>5174</v>
      </c>
      <c r="F91" s="2" t="inlineStr">
        <is>
          <t>atom balance (starting materials + NO = product + by-products) holds in 1 of 1 recorded examples; reagent supplies NO</t>
        </is>
      </c>
    </row>
    <row r="92">
      <c r="A92" s="3" t="inlineStr">
        <is>
          <t>CS(=O)(=O)O</t>
        </is>
      </c>
      <c r="B92" s="3" t="inlineStr">
        <is>
          <t>[N-]=[N+]=[N-]</t>
        </is>
      </c>
      <c r="C92" s="3" t="inlineStr">
        <is>
          <t>CS(=O)(=O)[O-]</t>
        </is>
      </c>
      <c r="D92" s="2" t="inlineStr">
        <is>
          <t>SN2 displacement of the mesylate by azide ion releases the mesylate anion.</t>
        </is>
      </c>
      <c r="E92" s="2" t="n">
        <v>5046</v>
      </c>
      <c r="F92" s="2" t="inlineStr">
        <is>
          <t>atom balance (starting materials + [N-]=[N+]=[N-] = product + by-products) holds in 6 of 6 recorded examples; reagent supplies [N-]=[N+]=[N-]</t>
        </is>
      </c>
    </row>
    <row r="93">
      <c r="A93" s="3" t="inlineStr">
        <is>
          <t>CC=O</t>
        </is>
      </c>
      <c r="B93" s="3" t="inlineStr"/>
      <c r="C93" s="3" t="inlineStr">
        <is>
          <t>CC(=O)O</t>
        </is>
      </c>
      <c r="D93" s="2" t="inlineStr">
        <is>
          <t>Hydrolysis of an acetate ester or acetamide releases acetic acid (as acetate under basic conditions).</t>
        </is>
      </c>
      <c r="E93" s="2" t="n">
        <v>4904</v>
      </c>
      <c r="F93" s="2" t="inlineStr">
        <is>
          <t>atom balance (starting materials + O = product + by-products) holds in 6 of 6 recorded examples; reagent supplies O</t>
        </is>
      </c>
    </row>
    <row r="94">
      <c r="A94" s="3" t="inlineStr">
        <is>
          <t>CC=O</t>
        </is>
      </c>
      <c r="B94" s="3" t="inlineStr">
        <is>
          <t>C[O-]</t>
        </is>
      </c>
      <c r="C94" s="3" t="inlineStr">
        <is>
          <t>COC(C)=O</t>
        </is>
      </c>
      <c r="D94" s="2" t="inlineStr">
        <is>
          <t>Zemplen deacetylation: methoxide/methanol transesterifies the acetate, releasing methyl acetate.</t>
        </is>
      </c>
      <c r="E94" s="2" t="n">
        <v>4904</v>
      </c>
      <c r="F94" s="2" t="inlineStr">
        <is>
          <t>atom balance (starting materials + CO = product + by-products) holds in 6 of 6 recorded examples; reagent supplies CO</t>
        </is>
      </c>
    </row>
    <row r="95">
      <c r="A95" s="3" t="inlineStr">
        <is>
          <t>CC=O</t>
        </is>
      </c>
      <c r="B95" s="3" t="inlineStr">
        <is>
          <t>NN</t>
        </is>
      </c>
      <c r="C95" s="3" t="inlineStr">
        <is>
          <t>CC(=O)NN</t>
        </is>
      </c>
      <c r="D95" s="2" t="inlineStr">
        <is>
          <t>Hydrazine removes the acetyl group as acetohydrazide.</t>
        </is>
      </c>
      <c r="E95" s="2" t="n">
        <v>4904</v>
      </c>
      <c r="F95" s="2" t="inlineStr">
        <is>
          <t>atom balance (starting materials + NN = product + by-products) holds in 6 of 6 recorded examples; reagent supplies NN</t>
        </is>
      </c>
    </row>
    <row r="96">
      <c r="A96" s="3" t="inlineStr">
        <is>
          <t>O.O=[SH]Cl</t>
        </is>
      </c>
      <c r="B96" s="3" t="inlineStr"/>
      <c r="C96" s="3" t="inlineStr">
        <is>
          <t>O=S=O.Cl</t>
        </is>
      </c>
      <c r="D96" s="2" t="inlineStr">
        <is>
          <t>Thionyl chloride converts the OH (acid or alcohol) into the chloride, releasing SO2 and HCl gases.</t>
        </is>
      </c>
      <c r="E96" s="2" t="n">
        <v>4728</v>
      </c>
      <c r="F96" s="2" t="inlineStr">
        <is>
          <t>atom balance (starting materials + O=S(Cl)Cl = product + by-products) holds in 6 of 6 recorded examples; reagent supplies O=S(Cl)Cl</t>
        </is>
      </c>
    </row>
    <row r="97">
      <c r="A97" s="3" t="inlineStr">
        <is>
          <t>N</t>
        </is>
      </c>
      <c r="B97" s="3" t="inlineStr">
        <is>
          <t>O=S=O</t>
        </is>
      </c>
      <c r="C97" s="3" t="inlineStr">
        <is>
          <t>N#N.2*O</t>
        </is>
      </c>
      <c r="D97" s="2" t="inlineStr">
        <is>
          <t>Meerwein chlorosulfonylation: the diazonium salt (HNO2/HCl) reacts with SO2 (Cu catalysis) to the sulfonyl chloride, releasing N2 and water.</t>
        </is>
      </c>
      <c r="E97" s="2" t="n">
        <v>4591</v>
      </c>
      <c r="F97" s="2" t="inlineStr">
        <is>
          <t>atom balance (starting materials + O=NO.Cl.O=S=O = product + by-products) holds in 6 of 6 recorded examples; reagent supplies O=NO.Cl.O=S=O</t>
        </is>
      </c>
    </row>
    <row r="98">
      <c r="A98" s="3" t="inlineStr">
        <is>
          <t>N</t>
        </is>
      </c>
      <c r="B98" s="3" t="inlineStr">
        <is>
          <t>[I-]</t>
        </is>
      </c>
      <c r="C98" s="3" t="inlineStr">
        <is>
          <t>N#N.2*O</t>
        </is>
      </c>
      <c r="D98" s="2" t="inlineStr">
        <is>
          <t>Diazotisation (HNO2) then iodide (Sandmeyer-type): the amine N2 leaves as nitrogen gas and the nitrite oxygens as water.</t>
        </is>
      </c>
      <c r="E98" s="2" t="n">
        <v>4591</v>
      </c>
      <c r="F98" s="2" t="inlineStr">
        <is>
          <t>atom balance (starting materials + O=NO.I = product + by-products) holds in 6 of 6 recorded examples; reagent supplies O=NO.I</t>
        </is>
      </c>
    </row>
    <row r="99">
      <c r="A99" s="3" t="inlineStr">
        <is>
          <t>N</t>
        </is>
      </c>
      <c r="B99" s="3" t="inlineStr">
        <is>
          <t>I</t>
        </is>
      </c>
      <c r="C99" s="3" t="inlineStr">
        <is>
          <t>N#N.2*O</t>
        </is>
      </c>
      <c r="D99" s="2" t="inlineStr">
        <is>
          <t>Diazotisation (HNO2) then iodide (Sandmeyer-type): the amine N2 leaves as nitrogen gas and the nitrite oxygens as water.</t>
        </is>
      </c>
      <c r="E99" s="2" t="n">
        <v>4591</v>
      </c>
      <c r="F99" s="2" t="inlineStr">
        <is>
          <t>atom balance (starting materials + O=NO.I = product + by-products) holds in 5 of 6 recorded examples; reagent supplies O=NO.I</t>
        </is>
      </c>
    </row>
    <row r="100">
      <c r="A100" s="3" t="inlineStr">
        <is>
          <t>N</t>
        </is>
      </c>
      <c r="B100" s="3" t="inlineStr">
        <is>
          <t>O=[PH2]O</t>
        </is>
      </c>
      <c r="C100" s="3" t="inlineStr">
        <is>
          <t>N#N.O=[PH](O)O.O</t>
        </is>
      </c>
      <c r="D100" s="2" t="inlineStr">
        <is>
          <t>Deamination: the diazonium salt is reduced by hypophosphorous acid, releasing N2, phosphorous acid and water.</t>
        </is>
      </c>
      <c r="E100" s="2" t="n">
        <v>4591</v>
      </c>
      <c r="F100" s="2" t="inlineStr">
        <is>
          <t>atom balance (starting materials + O=NO.O=[PH2]O = product + by-products) holds in 6 of 6 recorded examples; reagent supplies O=NO.O=[PH2]O</t>
        </is>
      </c>
    </row>
    <row r="101">
      <c r="A101" s="3" t="inlineStr">
        <is>
          <t>N</t>
        </is>
      </c>
      <c r="B101" s="3" t="inlineStr">
        <is>
          <t>O=PO</t>
        </is>
      </c>
      <c r="C101" s="3" t="inlineStr">
        <is>
          <t>N#N.O=[PH](O)O.O</t>
        </is>
      </c>
      <c r="D101" s="2" t="inlineStr">
        <is>
          <t>Deamination: the diazonium salt is reduced by hypophosphorous acid, releasing N2, phosphorous acid and water.</t>
        </is>
      </c>
      <c r="E101" s="2" t="n">
        <v>4591</v>
      </c>
      <c r="F101" s="2" t="inlineStr">
        <is>
          <t>atom balance (starting materials + O=NO.O=[PH2]O = product + by-products) holds in 6 of 6 recorded examples; reagent supplies O=NO.O=[PH2]O</t>
        </is>
      </c>
    </row>
    <row r="102">
      <c r="A102" s="3" t="inlineStr">
        <is>
          <t>N</t>
        </is>
      </c>
      <c r="B102" s="3" t="inlineStr">
        <is>
          <t>Br</t>
        </is>
      </c>
      <c r="C102" s="3" t="inlineStr">
        <is>
          <t>N#N.2*O</t>
        </is>
      </c>
      <c r="D102" s="2" t="inlineStr">
        <is>
          <t>Sandmeyer bromination: diazotisation (nitrite/HBr) and CuBr release N2 and water.</t>
        </is>
      </c>
      <c r="E102" s="2" t="n">
        <v>4591</v>
      </c>
      <c r="F102" s="2" t="inlineStr">
        <is>
          <t>atom balance (starting materials + O=NO.Br = product + by-products) holds in 5 of 6 recorded examples; reagent supplies O=NO.Br</t>
        </is>
      </c>
    </row>
    <row r="103">
      <c r="A103" s="3" t="inlineStr">
        <is>
          <t>N</t>
        </is>
      </c>
      <c r="B103" s="3" t="inlineStr">
        <is>
          <t>[Br-]</t>
        </is>
      </c>
      <c r="C103" s="3" t="inlineStr">
        <is>
          <t>N#N.2*O</t>
        </is>
      </c>
      <c r="D103" s="2" t="inlineStr">
        <is>
          <t>Sandmeyer bromination: diazotisation (nitrite/HBr) and CuBr release N2 and water.</t>
        </is>
      </c>
      <c r="E103" s="2" t="n">
        <v>4591</v>
      </c>
      <c r="F103" s="2" t="inlineStr">
        <is>
          <t>atom balance (starting materials + O=NO.Br = product + by-products) holds in 6 of 6 recorded examples; reagent supplies O=NO.Br</t>
        </is>
      </c>
    </row>
    <row r="104">
      <c r="A104" s="3" t="inlineStr">
        <is>
          <t>N</t>
        </is>
      </c>
      <c r="B104" s="3" t="inlineStr">
        <is>
          <t>[Cu][Br]</t>
        </is>
      </c>
      <c r="C104" s="3" t="inlineStr">
        <is>
          <t>N#N.2*O</t>
        </is>
      </c>
      <c r="D104" s="2" t="inlineStr">
        <is>
          <t>Sandmeyer bromination: diazotisation (nitrite/HBr) and CuBr release N2 and water.</t>
        </is>
      </c>
      <c r="E104" s="2" t="n">
        <v>4591</v>
      </c>
      <c r="F104" s="2" t="inlineStr">
        <is>
          <t>atom balance (starting materials + O=NO.Br = product + by-products) holds in 6 of 6 recorded examples; reagent supplies O=NO.Br</t>
        </is>
      </c>
    </row>
    <row r="105">
      <c r="A105" s="3" t="inlineStr">
        <is>
          <t>N</t>
        </is>
      </c>
      <c r="B105" s="3" t="inlineStr">
        <is>
          <t>[Br][Cu][Br]</t>
        </is>
      </c>
      <c r="C105" s="3" t="inlineStr">
        <is>
          <t>N#N.2*O</t>
        </is>
      </c>
      <c r="D105" s="2" t="inlineStr">
        <is>
          <t>Sandmeyer bromination: diazotisation (nitrite/HBr) and CuBr release N2 and water.</t>
        </is>
      </c>
      <c r="E105" s="2" t="n">
        <v>4591</v>
      </c>
      <c r="F105" s="2" t="inlineStr">
        <is>
          <t>atom balance (starting materials + O=NO.Br = product + by-products) holds in 5 of 6 recorded examples; reagent supplies O=NO.Br</t>
        </is>
      </c>
    </row>
    <row r="106">
      <c r="A106" s="3" t="inlineStr">
        <is>
          <t>N</t>
        </is>
      </c>
      <c r="B106" s="3" t="inlineStr">
        <is>
          <t>[Br][Cu]</t>
        </is>
      </c>
      <c r="C106" s="3" t="inlineStr">
        <is>
          <t>N#N.2*O</t>
        </is>
      </c>
      <c r="D106" s="2" t="inlineStr">
        <is>
          <t>Sandmeyer bromination: diazotisation (nitrite/HBr) and CuBr release N2 and water.</t>
        </is>
      </c>
      <c r="E106" s="2" t="n">
        <v>4591</v>
      </c>
      <c r="F106" s="2" t="inlineStr">
        <is>
          <t>atom balance (starting materials + O=NO.Br = product + by-products) holds in 6 of 6 recorded examples; reagent supplies O=NO.Br</t>
        </is>
      </c>
    </row>
    <row r="107">
      <c r="A107" s="3" t="inlineStr">
        <is>
          <t>N</t>
        </is>
      </c>
      <c r="B107" s="3" t="inlineStr">
        <is>
          <t>F</t>
        </is>
      </c>
      <c r="C107" s="3" t="inlineStr">
        <is>
          <t>N#N.2*O</t>
        </is>
      </c>
      <c r="D107" s="2" t="inlineStr">
        <is>
          <t>Diazotisation in HF/pyridine (Balz-Schiemann type) replaces NH2 by F, releasing N2 and water.</t>
        </is>
      </c>
      <c r="E107" s="2" t="n">
        <v>4591</v>
      </c>
      <c r="F107" s="2" t="inlineStr">
        <is>
          <t>atom balance (starting materials + O=NO.F = product + by-products) holds in 6 of 6 recorded examples; reagent supplies O=NO.F</t>
        </is>
      </c>
    </row>
    <row r="108">
      <c r="A108" s="3" t="inlineStr">
        <is>
          <t>N</t>
        </is>
      </c>
      <c r="B108" s="3" t="inlineStr">
        <is>
          <t>[Cl][Cu]</t>
        </is>
      </c>
      <c r="C108" s="3" t="inlineStr">
        <is>
          <t>N#N.2*O</t>
        </is>
      </c>
      <c r="D108" s="2" t="inlineStr">
        <is>
          <t>Sandmeyer chlorination: diazotisation (nitrite/HCl) and CuCl release N2 and water.</t>
        </is>
      </c>
      <c r="E108" s="2" t="n">
        <v>4591</v>
      </c>
      <c r="F108" s="2" t="inlineStr">
        <is>
          <t>atom balance (starting materials + O=NO.Cl = product + by-products) holds in 6 of 6 recorded examples; reagent supplies O=NO.Cl</t>
        </is>
      </c>
    </row>
    <row r="109">
      <c r="A109" s="3" t="inlineStr">
        <is>
          <t>N</t>
        </is>
      </c>
      <c r="B109" s="3" t="inlineStr">
        <is>
          <t>[Cu][Cl]</t>
        </is>
      </c>
      <c r="C109" s="3" t="inlineStr">
        <is>
          <t>N#N.2*O</t>
        </is>
      </c>
      <c r="D109" s="2" t="inlineStr">
        <is>
          <t>Sandmeyer chlorination: diazotisation (nitrite/HCl) and CuCl release N2 and water.</t>
        </is>
      </c>
      <c r="E109" s="2" t="n">
        <v>4591</v>
      </c>
      <c r="F109" s="2" t="inlineStr">
        <is>
          <t>atom balance (starting materials + O=NO.Cl = product + by-products) holds in 6 of 6 recorded examples; reagent supplies O=NO.Cl</t>
        </is>
      </c>
    </row>
    <row r="110">
      <c r="A110" s="3" t="inlineStr">
        <is>
          <t>N</t>
        </is>
      </c>
      <c r="B110" s="3" t="inlineStr">
        <is>
          <t>CC(C)CCON=O</t>
        </is>
      </c>
      <c r="C110" s="3" t="inlineStr">
        <is>
          <t>N#N.CC(C)CCO.O</t>
        </is>
      </c>
      <c r="D110" s="2" t="inlineStr">
        <is>
          <t>Reductive deamination with isoamyl nitrite: the aryl radical takes H from the solvent, releasing N2, isoamyl alcohol and water.</t>
        </is>
      </c>
      <c r="E110" s="2" t="n">
        <v>4591</v>
      </c>
      <c r="F110" s="2" t="inlineStr">
        <is>
          <t>atom balance (starting materials + CC(C)CCON=O.[H][H] = product + by-products) holds in 5 of 6 recorded examples; reagent supplies CC(C)CCON=O.[H][H]</t>
        </is>
      </c>
    </row>
    <row r="111">
      <c r="A111" s="3" t="inlineStr">
        <is>
          <t>N</t>
        </is>
      </c>
      <c r="B111" s="3" t="inlineStr">
        <is>
          <t>NS(N)(=O)=O</t>
        </is>
      </c>
      <c r="C111" s="3" t="inlineStr">
        <is>
          <t>N</t>
        </is>
      </c>
      <c r="D111" s="2" t="inlineStr">
        <is>
          <t>Sulfamide transfers H2NSO2 to the amine, releasing ammonia.</t>
        </is>
      </c>
      <c r="E111" s="2" t="n">
        <v>4591</v>
      </c>
      <c r="F111" s="2" t="inlineStr">
        <is>
          <t>atom balance (starting materials + NS(N)(=O)=O = product + by-products) holds in 6 of 6 recorded examples; reagent supplies NS(N)(=O)=O</t>
        </is>
      </c>
    </row>
    <row r="112">
      <c r="A112" s="3" t="inlineStr">
        <is>
          <t>Br.O</t>
        </is>
      </c>
      <c r="B112" s="3" t="inlineStr"/>
      <c r="C112" s="3" t="inlineStr">
        <is>
          <t>Br.O</t>
        </is>
      </c>
      <c r="D112" s="2" t="inlineStr">
        <is>
          <t>Hantzsch-type cyclocondensation of an alpha-bromoketone (thiazole, imidazopyridine) releases HBr and water.</t>
        </is>
      </c>
      <c r="E112" s="2" t="n">
        <v>4536</v>
      </c>
      <c r="F112" s="2" t="inlineStr">
        <is>
          <t>atom balance (starting materials + nothing = product + by-products) holds in 6 of 6 recorded examples</t>
        </is>
      </c>
    </row>
    <row r="113">
      <c r="A113" s="3" t="inlineStr">
        <is>
          <t>Cl.O</t>
        </is>
      </c>
      <c r="B113" s="3" t="inlineStr"/>
      <c r="C113" s="3" t="inlineStr">
        <is>
          <t>Cl.O</t>
        </is>
      </c>
      <c r="D113" s="2" t="inlineStr">
        <is>
          <t>Acylation or alkylation followed by cyclodehydration (benzoxazole, imidazole, thiazole) releases HCl and water.</t>
        </is>
      </c>
      <c r="E113" s="2" t="n">
        <v>4455</v>
      </c>
      <c r="F113" s="2" t="inlineStr">
        <is>
          <t>atom balance (starting materials + nothing = product + by-products) holds in 5 of 6 recorded examples</t>
        </is>
      </c>
    </row>
    <row r="114">
      <c r="A114" s="3" t="inlineStr">
        <is>
          <t>[O-]</t>
        </is>
      </c>
      <c r="B114" s="3" t="inlineStr">
        <is>
          <t>O=[N+]([O-])O</t>
        </is>
      </c>
      <c r="C114" s="3" t="inlineStr">
        <is>
          <t>O</t>
        </is>
      </c>
      <c r="D114" s="2" t="inlineStr">
        <is>
          <t>Electrophilic nitration: nitric acid (or nitrate + H2SO4) delivers NO2+ and the replaced H leaves in water.</t>
        </is>
      </c>
      <c r="E114" s="2" t="n">
        <v>4308</v>
      </c>
      <c r="F114" s="2" t="inlineStr">
        <is>
          <t>atom balance (starting materials + O=[N+]([O-])O = product + by-products) holds in 6 of 6 recorded examples; reagent supplies O=[N+]([O-])O</t>
        </is>
      </c>
    </row>
    <row r="115">
      <c r="A115" s="3" t="inlineStr">
        <is>
          <t>[O-]</t>
        </is>
      </c>
      <c r="B115" s="3" t="inlineStr">
        <is>
          <t>O=[N+]([O-])[O-]</t>
        </is>
      </c>
      <c r="C115" s="3" t="inlineStr">
        <is>
          <t>O</t>
        </is>
      </c>
      <c r="D115" s="2" t="inlineStr">
        <is>
          <t>Electrophilic nitration: nitric acid (or nitrate + H2SO4) delivers NO2+ and the replaced H leaves in water.</t>
        </is>
      </c>
      <c r="E115" s="2" t="n">
        <v>4308</v>
      </c>
      <c r="F115" s="2" t="inlineStr">
        <is>
          <t>atom balance (starting materials + O=[N+]([O-])O = product + by-products) holds in 6 of 6 recorded examples; reagent supplies O=[N+]([O-])O</t>
        </is>
      </c>
    </row>
    <row r="116">
      <c r="A116" s="3" t="inlineStr">
        <is>
          <t>[O-]</t>
        </is>
      </c>
      <c r="B116" s="3" t="inlineStr">
        <is>
          <t>O=N[O-]</t>
        </is>
      </c>
      <c r="C116" s="3" t="inlineStr">
        <is>
          <t>O</t>
        </is>
      </c>
      <c r="D116" s="2" t="inlineStr">
        <is>
          <t>Nitrosation with nitrous acid (NaNO2/acid) gives the C- or N-nitroso compound and water.</t>
        </is>
      </c>
      <c r="E116" s="2" t="n">
        <v>4308</v>
      </c>
      <c r="F116" s="2" t="inlineStr">
        <is>
          <t>atom balance (starting materials + O=NO = product + by-products) holds in 6 of 6 recorded examples; reagent supplies O=NO</t>
        </is>
      </c>
    </row>
    <row r="117">
      <c r="A117" s="3" t="inlineStr">
        <is>
          <t>[O-]</t>
        </is>
      </c>
      <c r="B117" s="3" t="inlineStr">
        <is>
          <t>COP(OC)OC</t>
        </is>
      </c>
      <c r="C117" s="3" t="inlineStr">
        <is>
          <t>COP(=O)(OC)OC</t>
        </is>
      </c>
      <c r="D117" s="2" t="inlineStr">
        <is>
          <t>Trimethyl phosphite deoxygenates the N-oxide (or furoxan) and is oxidised to trimethyl phosphate.</t>
        </is>
      </c>
      <c r="E117" s="2" t="n">
        <v>4308</v>
      </c>
      <c r="F117" s="2" t="inlineStr">
        <is>
          <t>atom balance (starting materials + COP(OC)OC = product + by-products) holds in 2 of 2 recorded examples; reagent supplies COP(OC)OC</t>
        </is>
      </c>
    </row>
    <row r="118">
      <c r="A118" s="3" t="inlineStr">
        <is>
          <t>[O-]</t>
        </is>
      </c>
      <c r="B118" s="3" t="inlineStr">
        <is>
          <t>CCOP(OCC)OCC</t>
        </is>
      </c>
      <c r="C118" s="3" t="inlineStr">
        <is>
          <t>CCOP(=O)(OCC)OCC</t>
        </is>
      </c>
      <c r="D118" s="2" t="inlineStr">
        <is>
          <t>Triethyl phosphite deoxygenates the N-oxide (or furoxan) and is oxidised to triethyl phosphate.</t>
        </is>
      </c>
      <c r="E118" s="2" t="n">
        <v>4308</v>
      </c>
      <c r="F118" s="2" t="inlineStr">
        <is>
          <t>atom balance (starting materials + CCOP(OCC)OCC = product + by-products) holds in 6 of 6 recorded examples; reagent supplies CCOP(OCC)OCC</t>
        </is>
      </c>
    </row>
    <row r="119">
      <c r="A119" s="3" t="inlineStr">
        <is>
          <t>[O-]</t>
        </is>
      </c>
      <c r="B119" s="3" t="inlineStr">
        <is>
          <t>[Fe]</t>
        </is>
      </c>
      <c r="C119" s="3" t="inlineStr">
        <is>
          <t>[Fe+2].O</t>
        </is>
      </c>
      <c r="D119" s="2" t="inlineStr">
        <is>
          <t>Iron/acid deoxygenates the N-oxide; the oxygen leaves as water and iron as Fe(II).</t>
        </is>
      </c>
      <c r="E119" s="2" t="n">
        <v>4308</v>
      </c>
      <c r="F119" s="2" t="inlineStr">
        <is>
          <t>atom balance (starting materials + [Fe].2*[H+] = product + by-products) holds in 5 of 6 recorded examples; reagent supplies [Fe].2*[H+]</t>
        </is>
      </c>
    </row>
    <row r="120">
      <c r="A120" s="3" t="inlineStr">
        <is>
          <t>[O-]</t>
        </is>
      </c>
      <c r="B120" s="3" t="inlineStr">
        <is>
          <t>ClP(Cl)Cl</t>
        </is>
      </c>
      <c r="C120" s="3" t="inlineStr">
        <is>
          <t>O=P(Cl)(Cl)Cl</t>
        </is>
      </c>
      <c r="D120" s="2" t="inlineStr">
        <is>
          <t>PCl3 deoxygenates the N-oxide and is oxidised to POCl3.</t>
        </is>
      </c>
      <c r="E120" s="2" t="n">
        <v>4308</v>
      </c>
      <c r="F120" s="2" t="inlineStr">
        <is>
          <t>atom balance (starting materials + ClP(Cl)Cl = product + by-products) holds in 6 of 6 recorded examples; reagent supplies ClP(Cl)Cl</t>
        </is>
      </c>
    </row>
    <row r="121">
      <c r="A121" s="3" t="inlineStr">
        <is>
          <t>[O-]</t>
        </is>
      </c>
      <c r="B121" s="3" t="inlineStr">
        <is>
          <t>[O-]Cl</t>
        </is>
      </c>
      <c r="C121" s="3" t="inlineStr">
        <is>
          <t>[OH-]</t>
        </is>
      </c>
      <c r="D121" s="2" t="inlineStr">
        <is>
          <t>Hypochlorite chlorinates the substrate (Cl+ transfer); the replaced H leaves with the oxygen as hydroxide.</t>
        </is>
      </c>
      <c r="E121" s="2" t="n">
        <v>4308</v>
      </c>
      <c r="F121" s="2" t="inlineStr">
        <is>
          <t>atom balance (starting materials + [O-]Cl = product + by-products) holds in 6 of 6 recorded examples; reagent supplies [O-]Cl</t>
        </is>
      </c>
    </row>
    <row r="122">
      <c r="A122" s="3" t="inlineStr">
        <is>
          <t>Cl.Cl</t>
        </is>
      </c>
      <c r="B122" s="3" t="inlineStr"/>
      <c r="C122" s="3" t="inlineStr">
        <is>
          <t>2*Cl</t>
        </is>
      </c>
      <c r="D122" s="2" t="inlineStr">
        <is>
          <t>Two chlorides are displaced (e.g. phosgene/thiophosgene, chloroacetyl chloride cyclisation), releasing two HCl.</t>
        </is>
      </c>
      <c r="E122" s="2" t="n">
        <v>4050</v>
      </c>
      <c r="F122" s="2" t="inlineStr">
        <is>
          <t>atom balance (starting materials + nothing = product + by-products) holds in 5 of 6 recorded examples</t>
        </is>
      </c>
    </row>
    <row r="123">
      <c r="A123" s="3" t="inlineStr">
        <is>
          <t>CC1(C)OBOC1(C)C.Cl</t>
        </is>
      </c>
      <c r="B123" s="3" t="inlineStr"/>
      <c r="C123" s="3" t="inlineStr">
        <is>
          <t>CC(C)(O)C(C)(C)O.OB(O)O.Cl</t>
        </is>
      </c>
      <c r="D123" s="2" t="inlineStr">
        <is>
          <t>Suzuki coupling with a pinacol boronate: boron ends as boric acid and pinacol after aqueous base, chloride as HCl (neutralised).</t>
        </is>
      </c>
      <c r="E123" s="2" t="n">
        <v>3803</v>
      </c>
      <c r="F123" s="2" t="inlineStr">
        <is>
          <t>atom balance (starting materials + 3*O = product + by-products) holds in 6 of 6 recorded examples; reagent supplies 3*O</t>
        </is>
      </c>
    </row>
    <row r="124">
      <c r="A124" s="3" t="inlineStr">
        <is>
          <t>O=COCc1ccccc1</t>
        </is>
      </c>
      <c r="B124" s="3" t="inlineStr"/>
      <c r="C124" s="3" t="inlineStr">
        <is>
          <t>Cc1ccccc1.O=C=O</t>
        </is>
      </c>
      <c r="D124" s="2" t="inlineStr">
        <is>
          <t>Hydrogenolysis of the Cbz group releases toluene and the carbamic acid, which loses CO2.</t>
        </is>
      </c>
      <c r="E124" s="2" t="n">
        <v>3678</v>
      </c>
      <c r="F124" s="2" t="inlineStr">
        <is>
          <t>atom balance (starting materials + [H][H] = product + by-products) holds in 6 of 6 recorded examples; reagent supplies [H][H]</t>
        </is>
      </c>
    </row>
    <row r="125">
      <c r="A125" s="3" t="inlineStr">
        <is>
          <t>O=COCc1ccccc1</t>
        </is>
      </c>
      <c r="B125" s="3" t="inlineStr">
        <is>
          <t>Br</t>
        </is>
      </c>
      <c r="C125" s="3" t="inlineStr">
        <is>
          <t>BrCc1ccccc1.O=C=O</t>
        </is>
      </c>
      <c r="D125" s="2" t="inlineStr">
        <is>
          <t>HBr/AcOH cleaves the Cbz group, releasing benzyl bromide and CO2.</t>
        </is>
      </c>
      <c r="E125" s="2" t="n">
        <v>3678</v>
      </c>
      <c r="F125" s="2" t="inlineStr">
        <is>
          <t>atom balance (starting materials + Br = product + by-products) holds in 6 of 6 recorded examples; reagent supplies Br</t>
        </is>
      </c>
    </row>
    <row r="126">
      <c r="A126" s="3" t="inlineStr">
        <is>
          <t>O=COCc1ccccc1</t>
        </is>
      </c>
      <c r="B126" s="3" t="inlineStr">
        <is>
          <t>C[Si](C)(C)I</t>
        </is>
      </c>
      <c r="C126" s="3" t="inlineStr">
        <is>
          <t>ICc1ccccc1.O=C=O.C[Si](C)(C)O</t>
        </is>
      </c>
      <c r="D126" s="2" t="inlineStr">
        <is>
          <t>TMSI cleaves the Cbz group to benzyl iodide and the silyl carbamate, which work-up turns into CO2 and trimethylsilanol.</t>
        </is>
      </c>
      <c r="E126" s="2" t="n">
        <v>3678</v>
      </c>
      <c r="F126" s="2" t="inlineStr">
        <is>
          <t>atom balance (starting materials + C[Si](C)(C)I.O = product + by-products) holds in 5 of 6 recorded examples; reagent supplies C[Si](C)(C)I.O</t>
        </is>
      </c>
    </row>
    <row r="127">
      <c r="A127" s="3" t="inlineStr">
        <is>
          <t>O.[O-].[O-]</t>
        </is>
      </c>
      <c r="B127" s="3" t="inlineStr"/>
      <c r="C127" s="3" t="inlineStr">
        <is>
          <t>[I-].O=C([O-])O</t>
        </is>
      </c>
      <c r="D127" s="2" t="inlineStr">
        <is>
          <t>Methylation with methyl iodide and carbonate base: the methyl comes from MeI, iodide is released and the carbonate takes the proton as bicarbonate.</t>
        </is>
      </c>
      <c r="E127" s="2" t="n">
        <v>3652</v>
      </c>
      <c r="F127" s="2" t="inlineStr">
        <is>
          <t>atom balance (starting materials + CI = product + by-products) holds in 6 of 6 recorded examples; reagent supplies CI</t>
        </is>
      </c>
    </row>
    <row r="128">
      <c r="A128" s="3" t="inlineStr">
        <is>
          <t>O.[O-].[O-]</t>
        </is>
      </c>
      <c r="B128" s="3" t="inlineStr">
        <is>
          <t>COS(=O)(=O)OC</t>
        </is>
      </c>
      <c r="C128" s="3" t="inlineStr">
        <is>
          <t>COS(=O)(=O)[O-].O=C([O-])O</t>
        </is>
      </c>
      <c r="D128" s="2" t="inlineStr">
        <is>
          <t>Methylation with dimethyl sulfate and carbonate base releases methyl sulfate and bicarbonate.</t>
        </is>
      </c>
      <c r="E128" s="2" t="n">
        <v>3652</v>
      </c>
      <c r="F128" s="2" t="inlineStr">
        <is>
          <t>atom balance (starting materials + COS(=O)(=O)OC = product + by-products) holds in 6 of 6 recorded examples; reagent supplies COS(=O)(=O)OC</t>
        </is>
      </c>
    </row>
    <row r="129">
      <c r="A129" s="3" t="inlineStr">
        <is>
          <t>OOCc1cccc(Cl)c1</t>
        </is>
      </c>
      <c r="B129" s="3" t="inlineStr"/>
      <c r="C129" s="3" t="inlineStr">
        <is>
          <t>O=C(O)c1cccc(Cl)c1</t>
        </is>
      </c>
      <c r="D129" s="2" t="inlineStr">
        <is>
          <t>mCPBA transfers one oxygen (N-oxide, sulfoxide, epoxide) and is reduced to 3-chlorobenzoic acid.</t>
        </is>
      </c>
      <c r="E129" s="2" t="n">
        <v>3532</v>
      </c>
      <c r="F129" s="2" t="inlineStr">
        <is>
          <t>atom balance (starting materials + nothing = product + by-products) holds in 6 of 6 recorded examples</t>
        </is>
      </c>
    </row>
    <row r="130">
      <c r="A130" s="3" t="inlineStr">
        <is>
          <t>O.O=[PH](Cl)Cl</t>
        </is>
      </c>
      <c r="B130" s="3" t="inlineStr"/>
      <c r="C130" s="3" t="inlineStr">
        <is>
          <t>O=P(O)(O)O.2*Cl</t>
        </is>
      </c>
      <c r="D130" s="2" t="inlineStr">
        <is>
          <t>POCl3 converts the hydroxy-heteroarene/lactam into the chloride; the phosphorus waste is hydrolysed on work-up to phosphoric acid and HCl.</t>
        </is>
      </c>
      <c r="E130" s="2" t="n">
        <v>3375</v>
      </c>
      <c r="F130" s="2" t="inlineStr">
        <is>
          <t>atom balance (starting materials + O=P(Cl)(Cl)Cl.2*O = product + by-products) holds in 6 of 6 recorded examples; reagent supplies O=P(Cl)(Cl)Cl.2*O</t>
        </is>
      </c>
    </row>
    <row r="131">
      <c r="A131" s="3" t="inlineStr">
        <is>
          <t>[N+]=[N-]</t>
        </is>
      </c>
      <c r="B131" s="3" t="inlineStr">
        <is>
          <t>[H][H]</t>
        </is>
      </c>
      <c r="C131" s="3" t="inlineStr">
        <is>
          <t>N#N</t>
        </is>
      </c>
      <c r="D131" s="2" t="inlineStr">
        <is>
          <t>Reduction of the azide to the amine takes one H2-equivalent and releases nitrogen gas.</t>
        </is>
      </c>
      <c r="E131" s="2" t="n">
        <v>3267</v>
      </c>
      <c r="F131" s="2" t="inlineStr">
        <is>
          <t>atom balance (starting materials + [H][H] = product + by-products) holds in 6 of 6 recorded examples; reagent supplies [H][H]</t>
        </is>
      </c>
    </row>
    <row r="132">
      <c r="A132" s="3" t="inlineStr">
        <is>
          <t>[N+]=[N-]</t>
        </is>
      </c>
      <c r="B132" s="3" t="inlineStr">
        <is>
          <t>[Pd]</t>
        </is>
      </c>
      <c r="C132" s="3" t="inlineStr">
        <is>
          <t>N#N</t>
        </is>
      </c>
      <c r="D132" s="2" t="inlineStr">
        <is>
          <t>Reduction of the azide to the amine takes one H2-equivalent and releases nitrogen gas.</t>
        </is>
      </c>
      <c r="E132" s="2" t="n">
        <v>3267</v>
      </c>
      <c r="F132" s="2" t="inlineStr">
        <is>
          <t>atom balance (starting materials + [H][H] = product + by-products) holds in 6 of 6 recorded examples; reagent supplies [H][H]</t>
        </is>
      </c>
    </row>
    <row r="133">
      <c r="A133" s="3" t="inlineStr">
        <is>
          <t>[N+]=[N-]</t>
        </is>
      </c>
      <c r="B133" s="3" t="inlineStr">
        <is>
          <t>[Pt]</t>
        </is>
      </c>
      <c r="C133" s="3" t="inlineStr">
        <is>
          <t>N#N</t>
        </is>
      </c>
      <c r="D133" s="2" t="inlineStr">
        <is>
          <t>Reduction of the azide to the amine takes one H2-equivalent and releases nitrogen gas.</t>
        </is>
      </c>
      <c r="E133" s="2" t="n">
        <v>3267</v>
      </c>
      <c r="F133" s="2" t="inlineStr">
        <is>
          <t>atom balance (starting materials + [H][H] = product + by-products) holds in 6 of 6 recorded examples; reagent supplies [H][H]</t>
        </is>
      </c>
    </row>
    <row r="134">
      <c r="A134" s="3" t="inlineStr">
        <is>
          <t>[N+]=[N-]</t>
        </is>
      </c>
      <c r="B134" s="3" t="inlineStr">
        <is>
          <t>[O]=[Pt]=[O]</t>
        </is>
      </c>
      <c r="C134" s="3" t="inlineStr">
        <is>
          <t>N#N</t>
        </is>
      </c>
      <c r="D134" s="2" t="inlineStr">
        <is>
          <t>Reduction of the azide to the amine takes one H2-equivalent and releases nitrogen gas.</t>
        </is>
      </c>
      <c r="E134" s="2" t="n">
        <v>3267</v>
      </c>
      <c r="F134" s="2" t="inlineStr">
        <is>
          <t>atom balance (starting materials + [H][H] = product + by-products) holds in 5 of 6 recorded examples; reagent supplies [H][H]</t>
        </is>
      </c>
    </row>
    <row r="135">
      <c r="A135" s="3" t="inlineStr">
        <is>
          <t>[N+]=[N-]</t>
        </is>
      </c>
      <c r="B135" s="3" t="inlineStr">
        <is>
          <t>CP(C)C</t>
        </is>
      </c>
      <c r="C135" s="3" t="inlineStr">
        <is>
          <t>N#N.CP(C)(C)=O</t>
        </is>
      </c>
      <c r="D135" s="2" t="inlineStr">
        <is>
          <t>Staudinger reduction with trimethylphosphine and water releases N2 and trimethylphosphine oxide.</t>
        </is>
      </c>
      <c r="E135" s="2" t="n">
        <v>3267</v>
      </c>
      <c r="F135" s="2" t="inlineStr">
        <is>
          <t>atom balance (starting materials + CP(C)C.O = product + by-products) holds in 5 of 6 recorded examples; reagent supplies CP(C)C.O</t>
        </is>
      </c>
    </row>
    <row r="136">
      <c r="A136" s="3" t="inlineStr">
        <is>
          <t>C[SiH](C)C(C)(C)C</t>
        </is>
      </c>
      <c r="B136" s="3" t="inlineStr"/>
      <c r="C136" s="3" t="inlineStr">
        <is>
          <t>C[Si](C)(O)C(C)(C)C</t>
        </is>
      </c>
      <c r="D136" s="2" t="inlineStr">
        <is>
          <t>Acidic removal of the TBS group: water releases t-butyldimethylsilanol.</t>
        </is>
      </c>
      <c r="E136" s="2" t="n">
        <v>3220</v>
      </c>
      <c r="F136" s="2" t="inlineStr">
        <is>
          <t>atom balance (starting materials + O = product + by-products) holds in 5 of 6 recorded examples; reagent supplies O</t>
        </is>
      </c>
    </row>
    <row r="137">
      <c r="A137" s="3" t="inlineStr">
        <is>
          <t>C[SiH](C)C(C)(C)C</t>
        </is>
      </c>
      <c r="B137" s="3" t="inlineStr">
        <is>
          <t>[F-]</t>
        </is>
      </c>
      <c r="C137" s="3" t="inlineStr">
        <is>
          <t>C[Si](C)(F)C(C)(C)C</t>
        </is>
      </c>
      <c r="D137" s="2" t="inlineStr">
        <is>
          <t>Fluoride (TBAF, HF) attacks silicon and removes the TBS group as t-butyldimethylsilyl fluoride; the O/N takes a proton on work-up.</t>
        </is>
      </c>
      <c r="E137" s="2" t="n">
        <v>3220</v>
      </c>
      <c r="F137" s="2" t="inlineStr">
        <is>
          <t>atom balance (starting materials + F = product + by-products) holds in 6 of 6 recorded examples; reagent supplies F</t>
        </is>
      </c>
    </row>
    <row r="138">
      <c r="A138" s="3" t="inlineStr">
        <is>
          <t>I.OBO</t>
        </is>
      </c>
      <c r="B138" s="3" t="inlineStr"/>
      <c r="C138" s="3" t="inlineStr">
        <is>
          <t>OB(O)O.I</t>
        </is>
      </c>
      <c r="D138" s="2" t="inlineStr">
        <is>
          <t>Suzuki coupling: the aryl iodide and boronic acid join; boron ends as boric acid and iodide as HI, both taken up by the base.</t>
        </is>
      </c>
      <c r="E138" s="2" t="n">
        <v>3177</v>
      </c>
      <c r="F138" s="2" t="inlineStr">
        <is>
          <t>atom balance (starting materials + O = product + by-products) holds in 6 of 6 recorded examples; reagent supplies O</t>
        </is>
      </c>
    </row>
    <row r="139">
      <c r="A139" s="3" t="inlineStr">
        <is>
          <t>Cc1ccc(S(=O)(=O)O)cc1</t>
        </is>
      </c>
      <c r="B139" s="3" t="inlineStr"/>
      <c r="C139" s="3" t="inlineStr">
        <is>
          <t>Cc1ccc(S(=O)(=O)O)cc1</t>
        </is>
      </c>
      <c r="D139" s="2" t="inlineStr">
        <is>
          <t>The tosylate is displaced by the nucleophile and leaves as p-toluenesulfonic acid (as its salt with the base).</t>
        </is>
      </c>
      <c r="E139" s="2" t="n">
        <v>3013</v>
      </c>
      <c r="F139" s="2" t="inlineStr">
        <is>
          <t>atom balance (starting materials + nothing = product + by-products) holds in 6 of 6 recorded examples</t>
        </is>
      </c>
    </row>
    <row r="140">
      <c r="A140" s="3" t="inlineStr">
        <is>
          <t>Cc1ccc(S(=O)(=O)O)cc1</t>
        </is>
      </c>
      <c r="B140" s="3" t="inlineStr">
        <is>
          <t>[N-]=[N+]=[N-]</t>
        </is>
      </c>
      <c r="C140" s="3" t="inlineStr">
        <is>
          <t>Cc1ccc(S(=O)(=O)[O-])cc1</t>
        </is>
      </c>
      <c r="D140" s="2" t="inlineStr">
        <is>
          <t>SN2 displacement of the tosylate by azide ion releases the tosylate anion.</t>
        </is>
      </c>
      <c r="E140" s="2" t="n">
        <v>3013</v>
      </c>
      <c r="F140" s="2" t="inlineStr">
        <is>
          <t>atom balance (starting materials + [N-]=[N+]=[N-] = product + by-products) holds in 5 of 6 recorded examples; reagent supplies [N-]=[N+]=[N-]</t>
        </is>
      </c>
    </row>
    <row r="141">
      <c r="A141" s="3" t="inlineStr">
        <is>
          <t>[Mg][Br]</t>
        </is>
      </c>
      <c r="B141" s="3" t="inlineStr"/>
      <c r="C141" s="3" t="inlineStr">
        <is>
          <t>O[Mg]Br</t>
        </is>
      </c>
      <c r="D141" s="2" t="inlineStr">
        <is>
          <t>Grignard addition to the carbonyl gives the magnesium alkoxide; aqueous work-up protonates it and leaves Mg(OH)Br.</t>
        </is>
      </c>
      <c r="E141" s="2" t="n">
        <v>2792</v>
      </c>
      <c r="F141" s="2" t="inlineStr">
        <is>
          <t>atom balance (starting materials + O = product + by-products) holds in 6 of 6 recorded examples; reagent supplies O</t>
        </is>
      </c>
    </row>
    <row r="142">
      <c r="A142" s="3" t="inlineStr">
        <is>
          <t>[Mg][Br]</t>
        </is>
      </c>
      <c r="B142" s="3" t="inlineStr">
        <is>
          <t>[NH4+]</t>
        </is>
      </c>
      <c r="C142" s="3" t="inlineStr">
        <is>
          <t>N.Cl[Mg]Br</t>
        </is>
      </c>
      <c r="D142" s="2" t="inlineStr">
        <is>
          <t>Grignard addition then ammonium chloride quench: the alkoxide takes a proton from NH4+, releasing ammonia and magnesium halide.</t>
        </is>
      </c>
      <c r="E142" s="2" t="n">
        <v>2792</v>
      </c>
      <c r="F142" s="2" t="inlineStr">
        <is>
          <t>atom balance (starting materials + [NH4+].[Cl-] = product + by-products) holds in 6 of 6 recorded examples; reagent supplies [NH4+].[Cl-]</t>
        </is>
      </c>
    </row>
    <row r="143">
      <c r="A143" s="3" t="inlineStr">
        <is>
          <t>[Mg][Br]</t>
        </is>
      </c>
      <c r="B143" s="3" t="inlineStr">
        <is>
          <t>Cl</t>
        </is>
      </c>
      <c r="C143" s="3" t="inlineStr">
        <is>
          <t>Cl[Mg]Br</t>
        </is>
      </c>
      <c r="D143" s="2" t="inlineStr">
        <is>
          <t>Grignard addition then dilute HCl work-up protonates the alkoxide and leaves magnesium halide.</t>
        </is>
      </c>
      <c r="E143" s="2" t="n">
        <v>2792</v>
      </c>
      <c r="F143" s="2" t="inlineStr">
        <is>
          <t>atom balance (starting materials + Cl = product + by-products) holds in 5 of 6 recorded examples; reagent supplies Cl</t>
        </is>
      </c>
    </row>
    <row r="144">
      <c r="A144" s="3" t="inlineStr">
        <is>
          <t>C[SiH](C)C</t>
        </is>
      </c>
      <c r="B144" s="3" t="inlineStr"/>
      <c r="C144" s="3" t="inlineStr">
        <is>
          <t>C[Si](C)(C)O</t>
        </is>
      </c>
      <c r="D144" s="2" t="inlineStr">
        <is>
          <t>Hydrolytic removal of the TMS group (silyl ether, TMS adduct, TMS-azide/isocyanate) releases trimethylsilanol (which dimerises to hexamethyldisiloxane).</t>
        </is>
      </c>
      <c r="E144" s="2" t="n">
        <v>2681</v>
      </c>
      <c r="F144" s="2" t="inlineStr">
        <is>
          <t>atom balance (starting materials + O = product + by-products) holds in 6 of 6 recorded examples; reagent supplies O</t>
        </is>
      </c>
    </row>
    <row r="145">
      <c r="A145" s="3" t="inlineStr">
        <is>
          <t>C[SiH](C)C</t>
        </is>
      </c>
      <c r="B145" s="3" t="inlineStr">
        <is>
          <t>[F-]</t>
        </is>
      </c>
      <c r="C145" s="3" t="inlineStr">
        <is>
          <t>C[Si](C)(C)F</t>
        </is>
      </c>
      <c r="D145" s="2" t="inlineStr">
        <is>
          <t>Fluoride removes the TMS group as trimethylsilyl fluoride; the carbon/oxygen takes a proton on work-up.</t>
        </is>
      </c>
      <c r="E145" s="2" t="n">
        <v>2681</v>
      </c>
      <c r="F145" s="2" t="inlineStr">
        <is>
          <t>atom balance (starting materials + F = product + by-products) holds in 6 of 6 recorded examples; reagent supplies F</t>
        </is>
      </c>
    </row>
    <row r="146">
      <c r="A146" s="3" t="inlineStr">
        <is>
          <t>CCO.O</t>
        </is>
      </c>
      <c r="B146" s="3" t="inlineStr">
        <is>
          <t>[AlH4-]</t>
        </is>
      </c>
      <c r="C146" s="3" t="inlineStr">
        <is>
          <t>CCO.O</t>
        </is>
      </c>
      <c r="D146" s="2" t="inlineStr">
        <is>
          <t>LiAlH4 reduces the ethyl carbamate to the N-methyl amine (three H2-equivalents), releasing ethanol and water.</t>
        </is>
      </c>
      <c r="E146" s="2" t="n">
        <v>2552</v>
      </c>
      <c r="F146" s="2" t="inlineStr">
        <is>
          <t>atom balance (starting materials + 3*[H][H] = product + by-products) holds in 1 of 1 recorded examples; reagent supplies 3*[H][H]</t>
        </is>
      </c>
    </row>
    <row r="147">
      <c r="A147" s="3" t="inlineStr">
        <is>
          <t>CCO.O</t>
        </is>
      </c>
      <c r="B147" s="3" t="inlineStr">
        <is>
          <t>COCC[O][AlH2-][O]CCOC</t>
        </is>
      </c>
      <c r="C147" s="3" t="inlineStr">
        <is>
          <t>CCO.O</t>
        </is>
      </c>
      <c r="D147" s="2" t="inlineStr">
        <is>
          <t>LiAlH4 reduces the ethyl carbamate to the N-methyl amine (three H2-equivalents), releasing ethanol and water.</t>
        </is>
      </c>
      <c r="E147" s="2" t="n">
        <v>2552</v>
      </c>
      <c r="F147" s="2" t="inlineStr">
        <is>
          <t>atom balance (starting materials + 3*[H][H] = product + by-products) holds in 2 of 2 recorded examples; reagent supplies 3*[H][H]</t>
        </is>
      </c>
    </row>
    <row r="148">
      <c r="A148" s="3" t="inlineStr">
        <is>
          <t>CCO.O</t>
        </is>
      </c>
      <c r="B148" s="3" t="inlineStr">
        <is>
          <t>NN</t>
        </is>
      </c>
      <c r="C148" s="3" t="inlineStr">
        <is>
          <t>CCO.O</t>
        </is>
      </c>
      <c r="D148" s="2" t="inlineStr">
        <is>
          <t>Hydrazine condenses with the beta-keto ester to the pyrazolone, releasing ethanol and water.</t>
        </is>
      </c>
      <c r="E148" s="2" t="n">
        <v>2552</v>
      </c>
      <c r="F148" s="2" t="inlineStr">
        <is>
          <t>atom balance (starting materials + NN = product + by-products) holds in 6 of 6 recorded examples; reagent supplies NN</t>
        </is>
      </c>
    </row>
    <row r="149">
      <c r="A149" s="3" t="inlineStr">
        <is>
          <t>CS</t>
        </is>
      </c>
      <c r="B149" s="3" t="inlineStr"/>
      <c r="C149" s="3" t="inlineStr">
        <is>
          <t>CS</t>
        </is>
      </c>
      <c r="D149" s="2" t="inlineStr">
        <is>
          <t>A methylthio group (S-methylisothiourea, methylthio-heteroarene) is displaced by an amine, releasing methanethiol.</t>
        </is>
      </c>
      <c r="E149" s="2" t="n">
        <v>2502</v>
      </c>
      <c r="F149" s="2" t="inlineStr">
        <is>
          <t>atom balance (starting materials + nothing = product + by-products) holds in 5 of 6 recorded examples</t>
        </is>
      </c>
    </row>
    <row r="150">
      <c r="A150" s="3" t="inlineStr">
        <is>
          <t>CS</t>
        </is>
      </c>
      <c r="B150" s="3" t="inlineStr">
        <is>
          <t>N</t>
        </is>
      </c>
      <c r="C150" s="3" t="inlineStr">
        <is>
          <t>CS</t>
        </is>
      </c>
      <c r="D150" s="2" t="inlineStr">
        <is>
          <t>Ammonia displaces the methylthio group, releasing methanethiol.</t>
        </is>
      </c>
      <c r="E150" s="2" t="n">
        <v>2502</v>
      </c>
      <c r="F150" s="2" t="inlineStr">
        <is>
          <t>atom balance (starting materials + N = product + by-products) holds in 5 of 6 recorded examples; reagent supplies N</t>
        </is>
      </c>
    </row>
    <row r="151">
      <c r="A151" s="3" t="inlineStr">
        <is>
          <t>CS</t>
        </is>
      </c>
      <c r="B151" s="3" t="inlineStr">
        <is>
          <t>[Ni]</t>
        </is>
      </c>
      <c r="C151" s="3" t="inlineStr">
        <is>
          <t>C.S</t>
        </is>
      </c>
      <c r="D151" s="2" t="inlineStr">
        <is>
          <t>Raney-nickel desulfurisation replaces the SMe group by H; methane and the sulfur (as H2S/nickel sulfide) are lost.</t>
        </is>
      </c>
      <c r="E151" s="2" t="n">
        <v>2502</v>
      </c>
      <c r="F151" s="2" t="inlineStr">
        <is>
          <t>atom balance (starting materials + 2*[H][H] = product + by-products) holds in 6 of 6 recorded examples; reagent supplies 2*[H][H]</t>
        </is>
      </c>
    </row>
    <row r="152">
      <c r="A152" s="3" t="inlineStr">
        <is>
          <t>CS</t>
        </is>
      </c>
      <c r="B152" s="3" t="inlineStr">
        <is>
          <t>O=C(OO)c1cccc(Cl)c1</t>
        </is>
      </c>
      <c r="C152" s="3" t="inlineStr">
        <is>
          <t>CS(=O)O.2*O=C(O)c1cccc(Cl)c1</t>
        </is>
      </c>
      <c r="D152" s="2" t="inlineStr">
        <is>
          <t>mCPBA oxidises the methylthio group to the sulfone, which is then displaced as methanesulfinic acid; mCPBA ends as 3-chlorobenzoic acid.</t>
        </is>
      </c>
      <c r="E152" s="2" t="n">
        <v>2502</v>
      </c>
      <c r="F152" s="2" t="inlineStr">
        <is>
          <t>atom balance (starting materials + 2*O=C(OO)c1cccc(Cl)c1 = product + by-products) holds in 5 of 6 recorded examples; reagent supplies 2*O=C(OO)c1cccc(Cl)c1</t>
        </is>
      </c>
    </row>
    <row r="153">
      <c r="A153" s="3" t="inlineStr">
        <is>
          <t>O=S(=O)(O)C(F)(F)F</t>
        </is>
      </c>
      <c r="B153" s="3" t="inlineStr"/>
      <c r="C153" s="3" t="inlineStr">
        <is>
          <t>O=S(=O)(O)C(F)(F)F</t>
        </is>
      </c>
      <c r="D153" s="2" t="inlineStr">
        <is>
          <t>The triflate (aryl/alkyl triflate, Tf2O, TBSOTf) is displaced and leaves as triflic acid, neutralised by the base.</t>
        </is>
      </c>
      <c r="E153" s="2" t="n">
        <v>2394</v>
      </c>
      <c r="F153" s="2" t="inlineStr">
        <is>
          <t>atom balance (starting materials + nothing = product + by-products) holds in 6 of 6 recorded examples</t>
        </is>
      </c>
    </row>
    <row r="154">
      <c r="A154" s="3" t="inlineStr">
        <is>
          <t>Br.Br</t>
        </is>
      </c>
      <c r="B154" s="3" t="inlineStr">
        <is>
          <t>CC1(C)OB(B2OC(C)(C)C(C)(C)O2)OC1(C)C</t>
        </is>
      </c>
      <c r="C154" s="3" t="inlineStr">
        <is>
          <t>2*CC(C)(O)C(C)(C)O.2*OB(O)O.2*Br</t>
        </is>
      </c>
      <c r="D154" s="2" t="inlineStr">
        <is>
          <t>One-pot Miyaura borylation/Suzuki coupling of two aryl bromides: B2pin2 links them and ends, after aqueous base, as pinacol and boric acid; both bromides leave as HBr.</t>
        </is>
      </c>
      <c r="E154" s="2" t="n">
        <v>2347</v>
      </c>
      <c r="F154" s="2" t="inlineStr">
        <is>
          <t>atom balance (starting materials + CC1(C)OB(B2OC(C)(C)C(C)(C)O2)OC1(C)C.6*O = product + by-products) holds in 6 of 6 recorded examples; reagent supplies CC1(C)OB(B2OC(C)(C)C(C)(C)O2)OC1(C)C.6*O</t>
        </is>
      </c>
    </row>
    <row r="155">
      <c r="A155" s="3" t="inlineStr">
        <is>
          <t>Br.Br</t>
        </is>
      </c>
      <c r="B155" s="3" t="inlineStr">
        <is>
          <t>[Zn+2]</t>
        </is>
      </c>
      <c r="C155" s="3" t="inlineStr">
        <is>
          <t>CCCCBr.[Li+].[Cl-].Cl[Zn]Br</t>
        </is>
      </c>
      <c r="D155" s="2" t="inlineStr">
        <is>
          <t>Bromine-lithium exchange (n-BuLi) and transmetalation to ZnCl2 give the arylzinc, which couples with the second bromide (Pd-catalysed Negishi): butyl bromide, LiCl and ZnBrCl are released.</t>
        </is>
      </c>
      <c r="E155" s="2" t="n">
        <v>2347</v>
      </c>
      <c r="F155" s="2" t="inlineStr">
        <is>
          <t>atom balance (starting materials + CCCC[Li].Cl[Zn]Cl = product + by-products) holds in 6 of 6 recorded examples; reagent supplies CCCC[Li].Cl[Zn]Cl</t>
        </is>
      </c>
    </row>
    <row r="156">
      <c r="A156" s="3" t="inlineStr">
        <is>
          <t>Br.Br</t>
        </is>
      </c>
      <c r="B156" s="3" t="inlineStr">
        <is>
          <t>C[CH](C)[Mg][Cl]</t>
        </is>
      </c>
      <c r="C156" s="3" t="inlineStr">
        <is>
          <t>CC(C)Br.Cl[Mg]Br</t>
        </is>
      </c>
      <c r="D156" s="2" t="inlineStr">
        <is>
          <t>Bromine-magnesium exchange with iPrMgCl, then (Pd/Ni-catalysed) coupling with the second bromide: isopropyl bromide and MgBrCl are released.</t>
        </is>
      </c>
      <c r="E156" s="2" t="n">
        <v>2347</v>
      </c>
      <c r="F156" s="2" t="inlineStr">
        <is>
          <t>atom balance (starting materials + CC(C)[Mg]Cl = product + by-products) holds in 6 of 6 recorded examples; reagent supplies CC(C)[Mg]Cl</t>
        </is>
      </c>
    </row>
    <row r="157">
      <c r="A157" s="3" t="inlineStr">
        <is>
          <t>Br.Br</t>
        </is>
      </c>
      <c r="B157" s="3" t="inlineStr">
        <is>
          <t>[Mg]</t>
        </is>
      </c>
      <c r="C157" s="3" t="inlineStr">
        <is>
          <t>Br[Mg]Br</t>
        </is>
      </c>
      <c r="D157" s="2" t="inlineStr">
        <is>
          <t>Grignard formation and Kumada coupling of two aryl bromides: magnesium ends as MgBr2.</t>
        </is>
      </c>
      <c r="E157" s="2" t="n">
        <v>2347</v>
      </c>
      <c r="F157" s="2" t="inlineStr">
        <is>
          <t>atom balance (starting materials + [Mg] = product + by-products) holds in 6 of 6 recorded examples; reagent supplies [Mg]</t>
        </is>
      </c>
    </row>
    <row r="158">
      <c r="A158" s="3" t="inlineStr">
        <is>
          <t>Br.Br</t>
        </is>
      </c>
      <c r="B158" s="3" t="inlineStr">
        <is>
          <t>[Li][CH2]CCC</t>
        </is>
      </c>
      <c r="C158" s="3" t="inlineStr">
        <is>
          <t>CCCCBr.[Li+].[Br-]</t>
        </is>
      </c>
      <c r="D158" s="2" t="inlineStr">
        <is>
          <t>Bromine-lithium exchange with n-BuLi then coupling with the second bromide releases butyl bromide and LiBr.</t>
        </is>
      </c>
      <c r="E158" s="2" t="n">
        <v>2347</v>
      </c>
      <c r="F158" s="2" t="inlineStr">
        <is>
          <t>atom balance (starting materials + CCCC[Li] = product + by-products) holds in 6 of 6 recorded examples; reagent supplies CCCC[Li]</t>
        </is>
      </c>
    </row>
    <row r="159">
      <c r="A159" s="3" t="inlineStr">
        <is>
          <t>C[SH](=O)=O</t>
        </is>
      </c>
      <c r="B159" s="3" t="inlineStr"/>
      <c r="C159" s="3" t="inlineStr">
        <is>
          <t>CS(=O)O</t>
        </is>
      </c>
      <c r="D159" s="2" t="inlineStr">
        <is>
          <t>SNAr displacement of a methylsulfonyl group releases methanesulfinic acid (as its salt).</t>
        </is>
      </c>
      <c r="E159" s="2" t="n">
        <v>2228</v>
      </c>
      <c r="F159" s="2" t="inlineStr">
        <is>
          <t>atom balance (starting materials + nothing = product + by-products) holds in 6 of 6 recorded examples</t>
        </is>
      </c>
    </row>
    <row r="160">
      <c r="A160" s="3" t="inlineStr">
        <is>
          <t>CC(C)(C)OC=O.O</t>
        </is>
      </c>
      <c r="B160" s="3" t="inlineStr"/>
      <c r="C160" s="3" t="inlineStr">
        <is>
          <t>C=C(C)C.O=C=O.O</t>
        </is>
      </c>
      <c r="D160" s="2" t="inlineStr">
        <is>
          <t>Amide coupling (or condensation) combined with Boc removal releases water, isobutylene and CO2.</t>
        </is>
      </c>
      <c r="E160" s="2" t="n">
        <v>2070</v>
      </c>
      <c r="F160" s="2" t="inlineStr">
        <is>
          <t>atom balance (starting materials + nothing = product + by-products) holds in 5 of 6 recorded examples</t>
        </is>
      </c>
    </row>
    <row r="161">
      <c r="A161" s="3" t="inlineStr">
        <is>
          <t>CC(C)(C)OC=O.O</t>
        </is>
      </c>
      <c r="B161" s="3" t="inlineStr">
        <is>
          <t>CC(=O)O[BH-](OC(C)=O)OC(C)=O</t>
        </is>
      </c>
      <c r="C161" s="3" t="inlineStr">
        <is>
          <t>C=C(C)C.O=C=O.O</t>
        </is>
      </c>
      <c r="D161" s="2" t="inlineStr">
        <is>
          <t>Reductive amination combined with Boc removal: the hydride supplies H2, and water, isobutylene and CO2 are released.</t>
        </is>
      </c>
      <c r="E161" s="2" t="n">
        <v>2070</v>
      </c>
      <c r="F161" s="2" t="inlineStr">
        <is>
          <t>atom balance (starting materials + [H][H] = product + by-products) holds in 6 of 6 recorded examples; reagent supplies [H][H]</t>
        </is>
      </c>
    </row>
    <row r="162">
      <c r="A162" s="3" t="inlineStr">
        <is>
          <t>CC(C)(C)OC=O.O</t>
        </is>
      </c>
      <c r="B162" s="3" t="inlineStr">
        <is>
          <t>[BH3-]C#N</t>
        </is>
      </c>
      <c r="C162" s="3" t="inlineStr">
        <is>
          <t>C=C(C)C.O=C=O.O</t>
        </is>
      </c>
      <c r="D162" s="2" t="inlineStr">
        <is>
          <t>Reductive amination combined with Boc removal: the hydride supplies H2, and water, isobutylene and CO2 are released.</t>
        </is>
      </c>
      <c r="E162" s="2" t="n">
        <v>2070</v>
      </c>
      <c r="F162" s="2" t="inlineStr">
        <is>
          <t>atom balance (starting materials + [H][H] = product + by-products) holds in 5 of 6 recorded examples; reagent supplies [H][H]</t>
        </is>
      </c>
    </row>
    <row r="163">
      <c r="A163" s="3" t="inlineStr">
        <is>
          <t>CC(C)(C)OC=O.O</t>
        </is>
      </c>
      <c r="B163" s="3" t="inlineStr">
        <is>
          <t>[BH4-]</t>
        </is>
      </c>
      <c r="C163" s="3" t="inlineStr">
        <is>
          <t>C=C(C)C.O=C=O.O</t>
        </is>
      </c>
      <c r="D163" s="2" t="inlineStr">
        <is>
          <t>Reductive amination combined with Boc removal: the hydride supplies H2, and water, isobutylene and CO2 are released.</t>
        </is>
      </c>
      <c r="E163" s="2" t="n">
        <v>2070</v>
      </c>
      <c r="F163" s="2" t="inlineStr">
        <is>
          <t>atom balance (starting materials + [H][H] = product + by-products) holds in 5 of 6 recorded examples; reagent supplies [H][H]</t>
        </is>
      </c>
    </row>
    <row r="164">
      <c r="A164" s="3" t="inlineStr">
        <is>
          <t>CCC</t>
        </is>
      </c>
      <c r="B164" s="3" t="inlineStr">
        <is>
          <t>[Al+3]</t>
        </is>
      </c>
      <c r="C164" s="3" t="inlineStr">
        <is>
          <t>CC(C)Cl</t>
        </is>
      </c>
      <c r="D164" s="2" t="inlineStr">
        <is>
          <t>AlCl3 cleaves the isopropyl aryl ether, releasing isopropyl chloride.</t>
        </is>
      </c>
      <c r="E164" s="2" t="n">
        <v>1963</v>
      </c>
      <c r="F164" s="2" t="inlineStr">
        <is>
          <t>atom balance (starting materials + Cl = product + by-products) holds in 5 of 6 recorded examples; reagent supplies Cl</t>
        </is>
      </c>
    </row>
    <row r="165">
      <c r="A165" s="3" t="inlineStr">
        <is>
          <t>CCC</t>
        </is>
      </c>
      <c r="B165" s="3" t="inlineStr">
        <is>
          <t>ClB(Cl)Cl</t>
        </is>
      </c>
      <c r="C165" s="3" t="inlineStr">
        <is>
          <t>CC(C)Cl.OB(O)O.2*Cl</t>
        </is>
      </c>
      <c r="D165" s="2" t="inlineStr">
        <is>
          <t>BCl3 cleaves the isopropyl aryl ether, releasing isopropyl chloride; work-up gives boric acid and HCl.</t>
        </is>
      </c>
      <c r="E165" s="2" t="n">
        <v>1963</v>
      </c>
      <c r="F165" s="2" t="inlineStr">
        <is>
          <t>atom balance (starting materials + ClB(Cl)Cl.3*O = product + by-products) holds in 6 of 6 recorded examples; reagent supplies ClB(Cl)Cl.3*O</t>
        </is>
      </c>
    </row>
    <row r="166">
      <c r="A166" s="3" t="inlineStr">
        <is>
          <t>OBO</t>
        </is>
      </c>
      <c r="B166" s="3" t="inlineStr"/>
      <c r="C166" s="3" t="inlineStr">
        <is>
          <t>OB(O)O</t>
        </is>
      </c>
      <c r="D166" s="2" t="inlineStr">
        <is>
          <t>Chan-Lam coupling: the Cu(II)/air oxidant supplies one O-equivalent and the boronic acid ends as boric acid.</t>
        </is>
      </c>
      <c r="E166" s="2" t="n">
        <v>1883</v>
      </c>
      <c r="F166" s="2" t="inlineStr">
        <is>
          <t>atom balance (starting materials + [O] = product + by-products) holds in 6 of 6 recorded examples; reagent supplies [O]</t>
        </is>
      </c>
    </row>
    <row r="167">
      <c r="A167" s="3" t="inlineStr">
        <is>
          <t>O=Cc1ccccc1C=O</t>
        </is>
      </c>
      <c r="B167" s="3" t="inlineStr"/>
      <c r="C167" s="3" t="inlineStr">
        <is>
          <t>O=C1NNC(=O)c2ccccc21</t>
        </is>
      </c>
      <c r="D167" s="2" t="inlineStr">
        <is>
          <t>Ing-Manske hydrazinolysis of the phthalimide frees the primary amine and releases phthalhydrazide.</t>
        </is>
      </c>
      <c r="E167" s="2" t="n">
        <v>1872</v>
      </c>
      <c r="F167" s="2" t="inlineStr">
        <is>
          <t>atom balance (starting materials + NN = product + by-products) holds in 6 of 6 recorded examples; reagent supplies NN</t>
        </is>
      </c>
    </row>
    <row r="168">
      <c r="A168" s="3" t="inlineStr">
        <is>
          <t>O=Cc1ccccc1C=O</t>
        </is>
      </c>
      <c r="B168" s="3" t="inlineStr">
        <is>
          <t>CNN</t>
        </is>
      </c>
      <c r="C168" s="3" t="inlineStr">
        <is>
          <t>CN1NC(=O)c2ccccc2C1=O</t>
        </is>
      </c>
      <c r="D168" s="2" t="inlineStr">
        <is>
          <t>Methylhydrazine cleaves the phthalimide, releasing N-methylphthalhydrazide.</t>
        </is>
      </c>
      <c r="E168" s="2" t="n">
        <v>1872</v>
      </c>
      <c r="F168" s="2" t="inlineStr">
        <is>
          <t>atom balance (starting materials + CNN = product + by-products) holds in 5 of 6 recorded examples; reagent supplies CNN</t>
        </is>
      </c>
    </row>
    <row r="169">
      <c r="A169" s="3" t="inlineStr">
        <is>
          <t>CC1(C)OBOC1(C)C.I</t>
        </is>
      </c>
      <c r="B169" s="3" t="inlineStr"/>
      <c r="C169" s="3" t="inlineStr">
        <is>
          <t>CC(C)(O)C(C)(C)O.OB(O)O.I</t>
        </is>
      </c>
      <c r="D169" s="2" t="inlineStr">
        <is>
          <t>Suzuki coupling with a pinacol boronate: boron ends as boric acid and pinacol after aqueous base, iodide as HI (neutralised).</t>
        </is>
      </c>
      <c r="E169" s="2" t="n">
        <v>1846</v>
      </c>
      <c r="F169" s="2" t="inlineStr">
        <is>
          <t>atom balance (starting materials + 3*O = product + by-products) holds in 6 of 6 recorded examples; reagent supplies 3*O</t>
        </is>
      </c>
    </row>
    <row r="170">
      <c r="A170" s="3" t="inlineStr">
        <is>
          <t>S</t>
        </is>
      </c>
      <c r="B170" s="3" t="inlineStr">
        <is>
          <t>N</t>
        </is>
      </c>
      <c r="C170" s="3" t="inlineStr">
        <is>
          <t>S</t>
        </is>
      </c>
      <c r="D170" s="2" t="inlineStr">
        <is>
          <t>Ammonia converts the thiourea/thioamide into the guanidine/amidine, releasing H2S.</t>
        </is>
      </c>
      <c r="E170" s="2" t="n">
        <v>1831</v>
      </c>
      <c r="F170" s="2" t="inlineStr">
        <is>
          <t>atom balance (starting materials + N = product + by-products) holds in 6 of 6 recorded examples; reagent supplies N</t>
        </is>
      </c>
    </row>
    <row r="171">
      <c r="A171" s="3" t="inlineStr">
        <is>
          <t>S</t>
        </is>
      </c>
      <c r="B171" s="3" t="inlineStr">
        <is>
          <t>NN</t>
        </is>
      </c>
      <c r="C171" s="3" t="inlineStr">
        <is>
          <t>S</t>
        </is>
      </c>
      <c r="D171" s="2" t="inlineStr">
        <is>
          <t>Hydrazine displaces the thione/thiol sulfur, releasing H2S.</t>
        </is>
      </c>
      <c r="E171" s="2" t="n">
        <v>1831</v>
      </c>
      <c r="F171" s="2" t="inlineStr">
        <is>
          <t>atom balance (starting materials + NN = product + by-products) holds in 6 of 6 recorded examples; reagent supplies NN</t>
        </is>
      </c>
    </row>
    <row r="172">
      <c r="A172" s="3" t="inlineStr">
        <is>
          <t>S</t>
        </is>
      </c>
      <c r="B172" s="3" t="inlineStr">
        <is>
          <t>NO</t>
        </is>
      </c>
      <c r="C172" s="3" t="inlineStr">
        <is>
          <t>S</t>
        </is>
      </c>
      <c r="D172" s="2" t="inlineStr">
        <is>
          <t>Hydroxylamine converts the thioamide into the amidoxime, releasing H2S.</t>
        </is>
      </c>
      <c r="E172" s="2" t="n">
        <v>1831</v>
      </c>
      <c r="F172" s="2" t="inlineStr">
        <is>
          <t>atom balance (starting materials + NO = product + by-products) holds in 5 of 6 recorded examples; reagent supplies NO</t>
        </is>
      </c>
    </row>
    <row r="173">
      <c r="A173" s="3" t="inlineStr">
        <is>
          <t>CO.CO</t>
        </is>
      </c>
      <c r="B173" s="3" t="inlineStr"/>
      <c r="C173" s="3" t="inlineStr">
        <is>
          <t>2*CO</t>
        </is>
      </c>
      <c r="D173" s="2" t="inlineStr">
        <is>
          <t>DMF-DMA, 2,2-dimethoxypropane or an orthoester condenses and releases two methanol.</t>
        </is>
      </c>
      <c r="E173" s="2" t="n">
        <v>1802</v>
      </c>
      <c r="F173" s="2" t="inlineStr">
        <is>
          <t>atom balance (starting materials + nothing = product + by-products) holds in 5 of 6 recorded examples</t>
        </is>
      </c>
    </row>
    <row r="174">
      <c r="A174" s="3" t="inlineStr">
        <is>
          <t>CO.CO</t>
        </is>
      </c>
      <c r="B174" s="3" t="inlineStr">
        <is>
          <t>[Al+3]</t>
        </is>
      </c>
      <c r="C174" s="3" t="inlineStr">
        <is>
          <t>2*CO</t>
        </is>
      </c>
      <c r="D174" s="2" t="inlineStr">
        <is>
          <t>Hydride reduction of a dimethyl diester to the diol takes four H2-equivalents and releases two methanol.</t>
        </is>
      </c>
      <c r="E174" s="2" t="n">
        <v>1802</v>
      </c>
      <c r="F174" s="2" t="inlineStr">
        <is>
          <t>atom balance (starting materials + 4*[H][H] = product + by-products) holds in 6 of 6 recorded examples; reagent supplies 4*[H][H]</t>
        </is>
      </c>
    </row>
    <row r="175">
      <c r="A175" s="3" t="inlineStr">
        <is>
          <t>CO.CO</t>
        </is>
      </c>
      <c r="B175" s="3" t="inlineStr">
        <is>
          <t>[AlH4-]</t>
        </is>
      </c>
      <c r="C175" s="3" t="inlineStr">
        <is>
          <t>2*CO</t>
        </is>
      </c>
      <c r="D175" s="2" t="inlineStr">
        <is>
          <t>Hydride reduction of a dimethyl diester to the diol takes four H2-equivalents and releases two methanol.</t>
        </is>
      </c>
      <c r="E175" s="2" t="n">
        <v>1802</v>
      </c>
      <c r="F175" s="2" t="inlineStr">
        <is>
          <t>atom balance (starting materials + 4*[H][H] = product + by-products) holds in 1 of 1 recorded examples; reagent supplies 4*[H][H]</t>
        </is>
      </c>
    </row>
    <row r="176">
      <c r="A176" s="3" t="inlineStr">
        <is>
          <t>CO.CO</t>
        </is>
      </c>
      <c r="B176" s="3" t="inlineStr">
        <is>
          <t>CC(C)[CH2][Al+][CH2]C(C)C</t>
        </is>
      </c>
      <c r="C176" s="3" t="inlineStr">
        <is>
          <t>2*CO</t>
        </is>
      </c>
      <c r="D176" s="2" t="inlineStr">
        <is>
          <t>Hydride reduction of a dimethyl diester to the diol takes four H2-equivalents and releases two methanol.</t>
        </is>
      </c>
      <c r="E176" s="2" t="n">
        <v>1802</v>
      </c>
      <c r="F176" s="2" t="inlineStr">
        <is>
          <t>atom balance (starting materials + 4*[H][H] = product + by-products) holds in 1 of 1 recorded examples; reagent supplies 4*[H][H]</t>
        </is>
      </c>
    </row>
    <row r="177">
      <c r="A177" s="3" t="inlineStr">
        <is>
          <t>CNC</t>
        </is>
      </c>
      <c r="B177" s="3" t="inlineStr"/>
      <c r="C177" s="3" t="inlineStr">
        <is>
          <t>CNC</t>
        </is>
      </c>
      <c r="D177" s="2" t="inlineStr">
        <is>
          <t>Formylation with DMF (aryllithium or Vilsmeier) delivers CHO and releases dimethylamine after work-up.</t>
        </is>
      </c>
      <c r="E177" s="2" t="n">
        <v>1683</v>
      </c>
      <c r="F177" s="2" t="inlineStr">
        <is>
          <t>atom balance (starting materials + nothing = product + by-products) holds in 6 of 6 recorded examples</t>
        </is>
      </c>
    </row>
    <row r="178">
      <c r="A178" s="3" t="inlineStr">
        <is>
          <t>C1CCOCC1</t>
        </is>
      </c>
      <c r="B178" s="3" t="inlineStr"/>
      <c r="C178" s="3" t="inlineStr">
        <is>
          <t>OC1CCCCO1</t>
        </is>
      </c>
      <c r="D178" s="2" t="inlineStr">
        <is>
          <t>Acid hydrolysis of the THP group frees the alcohol/NH and releases 2-hydroxytetrahydropyran (5-hydroxypentanal).</t>
        </is>
      </c>
      <c r="E178" s="2" t="n">
        <v>1638</v>
      </c>
      <c r="F178" s="2" t="inlineStr">
        <is>
          <t>atom balance (starting materials + O = product + by-products) holds in 6 of 6 recorded examples; reagent supplies O</t>
        </is>
      </c>
    </row>
    <row r="179">
      <c r="A179" s="3" t="inlineStr">
        <is>
          <t>Br.CCC[CH2][Sn]([CH2]CCC)[CH2]CCC</t>
        </is>
      </c>
      <c r="B179" s="3" t="inlineStr"/>
      <c r="C179" s="3" t="inlineStr">
        <is>
          <t>CCCC[Sn](Br)(CCCC)CCCC</t>
        </is>
      </c>
      <c r="D179" s="2" t="inlineStr">
        <is>
          <t>Stille coupling: the organostannane transfers its group to the aryl bromide and tributyltin bromide is released.</t>
        </is>
      </c>
      <c r="E179" s="2" t="n">
        <v>1572</v>
      </c>
      <c r="F179" s="2" t="inlineStr">
        <is>
          <t>atom balance (starting materials + nothing = product + by-products) holds in 6 of 6 recorded examples</t>
        </is>
      </c>
    </row>
    <row r="180">
      <c r="A180" s="3" t="inlineStr">
        <is>
          <t>COc1ccc(C)cc1</t>
        </is>
      </c>
      <c r="B180" s="3" t="inlineStr"/>
      <c r="C180" s="3" t="inlineStr">
        <is>
          <t>COc1ccc(CO)cc1</t>
        </is>
      </c>
      <c r="D180" s="2" t="inlineStr">
        <is>
          <t>TFA removes the PMB group as the 4-methoxybenzyl cation, which ends as 4-methoxybenzyl alcohol after aqueous work-up.</t>
        </is>
      </c>
      <c r="E180" s="2" t="n">
        <v>1564</v>
      </c>
      <c r="F180" s="2" t="inlineStr">
        <is>
          <t>atom balance (starting materials + O = product + by-products) holds in 6 of 6 recorded examples; reagent supplies O</t>
        </is>
      </c>
    </row>
    <row r="181">
      <c r="A181" s="3" t="inlineStr">
        <is>
          <t>COc1ccc(C)cc1</t>
        </is>
      </c>
      <c r="B181" s="3" t="inlineStr">
        <is>
          <t>COc1ccccc1</t>
        </is>
      </c>
      <c r="C181" s="3" t="inlineStr">
        <is>
          <t>COc1ccc(Cc2ccc(OC)cc2)cc1</t>
        </is>
      </c>
      <c r="D181" s="2" t="inlineStr">
        <is>
          <t>TFA/anisole removes the PMB group; the 4-methoxybenzyl cation is trapped by anisole (Friedel-Crafts).</t>
        </is>
      </c>
      <c r="E181" s="2" t="n">
        <v>1564</v>
      </c>
      <c r="F181" s="2" t="inlineStr">
        <is>
          <t>atom balance (starting materials + COc1ccccc1 = product + by-products) holds in 6 of 6 recorded examples; reagent supplies COc1ccccc1</t>
        </is>
      </c>
    </row>
    <row r="182">
      <c r="A182" s="3" t="inlineStr">
        <is>
          <t>COc1ccc(C)cc1</t>
        </is>
      </c>
      <c r="B182" s="3" t="inlineStr">
        <is>
          <t>[Ce+4]</t>
        </is>
      </c>
      <c r="C182" s="3" t="inlineStr">
        <is>
          <t>COc1ccc(C=O)cc1.2*[Ce+3].2*[H+]</t>
        </is>
      </c>
      <c r="D182" s="2" t="inlineStr">
        <is>
          <t>CAN (two Ce(IV)) oxidatively removes the PMB group with water, releasing anisaldehyde.</t>
        </is>
      </c>
      <c r="E182" s="2" t="n">
        <v>1564</v>
      </c>
      <c r="F182" s="2" t="inlineStr">
        <is>
          <t>atom balance (starting materials + O.2*[Ce+4] = product + by-products) holds in 6 of 6 recorded examples; reagent supplies O.2*[Ce+4]</t>
        </is>
      </c>
    </row>
    <row r="183">
      <c r="A183" s="3" t="inlineStr">
        <is>
          <t>COCC[Si](C)(C)C</t>
        </is>
      </c>
      <c r="B183" s="3" t="inlineStr"/>
      <c r="C183" s="3" t="inlineStr">
        <is>
          <t>C=O.C[Si](C)(C)CCO</t>
        </is>
      </c>
      <c r="D183" s="2" t="inlineStr">
        <is>
          <t>Acid removal of the SEM group releases formaldehyde and 2-(trimethylsilyl)ethanol.</t>
        </is>
      </c>
      <c r="E183" s="2" t="n">
        <v>1504</v>
      </c>
      <c r="F183" s="2" t="inlineStr">
        <is>
          <t>atom balance (starting materials + O = product + by-products) holds in 6 of 6 recorded examples; reagent supplies O</t>
        </is>
      </c>
    </row>
    <row r="184">
      <c r="A184" s="3" t="inlineStr">
        <is>
          <t>COCC[Si](C)(C)C</t>
        </is>
      </c>
      <c r="B184" s="3" t="inlineStr">
        <is>
          <t>[F-]</t>
        </is>
      </c>
      <c r="C184" s="3" t="inlineStr">
        <is>
          <t>C=O.C=C.C[Si](C)(C)F</t>
        </is>
      </c>
      <c r="D184" s="2" t="inlineStr">
        <is>
          <t>Fluoride removal of the SEM group fragments it into formaldehyde, ethylene and trimethylsilyl fluoride.</t>
        </is>
      </c>
      <c r="E184" s="2" t="n">
        <v>1504</v>
      </c>
      <c r="F184" s="2" t="inlineStr">
        <is>
          <t>atom balance (starting materials + F = product + by-products) holds in 6 of 6 recorded examples; reagent supplies F</t>
        </is>
      </c>
    </row>
    <row r="185">
      <c r="A185" s="3" t="inlineStr">
        <is>
          <t>O.O.[O-]</t>
        </is>
      </c>
      <c r="B185" s="3" t="inlineStr">
        <is>
          <t>[Fe]</t>
        </is>
      </c>
      <c r="C185" s="3" t="inlineStr">
        <is>
          <t>3*[Fe+2].3*O</t>
        </is>
      </c>
      <c r="D185" s="2" t="inlineStr">
        <is>
          <t>Iron/acid reduces the nitro group and the amine condenses intramolecularly; three waters are released and iron ends as Fe(II).</t>
        </is>
      </c>
      <c r="E185" s="2" t="n">
        <v>1465</v>
      </c>
      <c r="F185" s="2" t="inlineStr">
        <is>
          <t>atom balance (starting materials + 3*[Fe].6*[H+] = product + by-products) holds in 6 of 6 recorded examples; reagent supplies 3*[Fe].6*[H+]</t>
        </is>
      </c>
    </row>
    <row r="186">
      <c r="A186" s="3" t="inlineStr">
        <is>
          <t>O.O.[O-]</t>
        </is>
      </c>
      <c r="B186" s="3" t="inlineStr">
        <is>
          <t>O=S([O-])S(=O)[O-]</t>
        </is>
      </c>
      <c r="C186" s="3" t="inlineStr">
        <is>
          <t>3*O</t>
        </is>
      </c>
      <c r="D186" s="2" t="inlineStr">
        <is>
          <t>Dithionite reductive cyclisation of an o-nitroaniline with an aldehyde: nitro reduction and condensation/oxidation release three waters (net two H2-equivalents).</t>
        </is>
      </c>
      <c r="E186" s="2" t="n">
        <v>1465</v>
      </c>
      <c r="F186" s="2" t="inlineStr">
        <is>
          <t>atom balance (starting materials + 2*[H][H] = product + by-products) holds in 6 of 6 recorded examples; reagent supplies 2*[H][H]</t>
        </is>
      </c>
    </row>
    <row r="187">
      <c r="A187" s="3" t="inlineStr">
        <is>
          <t>O.O.[O-]</t>
        </is>
      </c>
      <c r="B187" s="3" t="inlineStr">
        <is>
          <t>CI</t>
        </is>
      </c>
      <c r="C187" s="3" t="inlineStr">
        <is>
          <t>[I-].O=C=O.O</t>
        </is>
      </c>
      <c r="D187" s="2" t="inlineStr">
        <is>
          <t>Methylation with methyl iodide; the bicarbonate recorded as a starting material takes the proton and leaves as CO2 and water.</t>
        </is>
      </c>
      <c r="E187" s="2" t="n">
        <v>1465</v>
      </c>
      <c r="F187" s="2" t="inlineStr">
        <is>
          <t>atom balance (starting materials + CI = product + by-products) holds in 6 of 6 recorded examples; reagent supplies CI</t>
        </is>
      </c>
    </row>
    <row r="188">
      <c r="A188" s="3" t="inlineStr">
        <is>
          <t>O.O.[O-]</t>
        </is>
      </c>
      <c r="B188" s="3" t="inlineStr">
        <is>
          <t>O=S(=O)(O)O</t>
        </is>
      </c>
      <c r="C188" s="3" t="inlineStr">
        <is>
          <t>O.O=C([O-])O</t>
        </is>
      </c>
      <c r="D188" s="2" t="inlineStr">
        <is>
          <t>Fischer esterification in methanol releases water; the bicarbonate recorded among the starting materials is a work-up base and is returned.</t>
        </is>
      </c>
      <c r="E188" s="2" t="n">
        <v>1465</v>
      </c>
      <c r="F188" s="2" t="inlineStr">
        <is>
          <t>atom balance (starting materials + CO = product + by-products) holds in 5 of 6 recorded examples; reagent supplies CO</t>
        </is>
      </c>
    </row>
    <row r="189">
      <c r="A189" s="3" t="inlineStr">
        <is>
          <t>O.O.[O-]</t>
        </is>
      </c>
      <c r="B189" s="3" t="inlineStr">
        <is>
          <t>O=S(Cl)Cl</t>
        </is>
      </c>
      <c r="C189" s="3" t="inlineStr">
        <is>
          <t>O=S=O.2*Cl.O=C([O-])O</t>
        </is>
      </c>
      <c r="D189" s="2" t="inlineStr">
        <is>
          <t>Thionyl chloride in methanol esterifies the acid (via the acid chloride or the HCl it generates); the acid OH and the SOCl2 end as SO2 and HCl, not water. The bicarbonate recorded among the starting materials is a work-up base and is returned.</t>
        </is>
      </c>
      <c r="E189" s="2" t="n">
        <v>1465</v>
      </c>
      <c r="F189" s="2" t="inlineStr">
        <is>
          <t>atom balance (starting materials + CO.O=S(Cl)Cl = product + by-products) holds in 5 of 6 recorded examples; reagent supplies CO.O=S(Cl)Cl</t>
        </is>
      </c>
    </row>
    <row r="190">
      <c r="A190" s="3" t="inlineStr">
        <is>
          <t>CO.O</t>
        </is>
      </c>
      <c r="B190" s="3" t="inlineStr">
        <is>
          <t>NN</t>
        </is>
      </c>
      <c r="C190" s="3" t="inlineStr">
        <is>
          <t>CO.O</t>
        </is>
      </c>
      <c r="D190" s="2" t="inlineStr">
        <is>
          <t>Hydrazine condenses with the keto ester (pyrazolone/phthalazinone), releasing methanol and water.</t>
        </is>
      </c>
      <c r="E190" s="2" t="n">
        <v>1429</v>
      </c>
      <c r="F190" s="2" t="inlineStr">
        <is>
          <t>atom balance (starting materials + NN = product + by-products) holds in 5 of 6 recorded examples; reagent supplies NN</t>
        </is>
      </c>
    </row>
    <row r="191">
      <c r="A191" s="3" t="inlineStr">
        <is>
          <t>CO.O</t>
        </is>
      </c>
      <c r="B191" s="3" t="inlineStr">
        <is>
          <t>COCC[O][AlH2-][O]CCOC</t>
        </is>
      </c>
      <c r="C191" s="3" t="inlineStr">
        <is>
          <t>CO.O</t>
        </is>
      </c>
      <c r="D191" s="2" t="inlineStr">
        <is>
          <t>LiAlH4 reduces the methyl carbamate to the N-methyl amine (three H2-equivalents), releasing methanol and water.</t>
        </is>
      </c>
      <c r="E191" s="2" t="n">
        <v>1429</v>
      </c>
      <c r="F191" s="2" t="inlineStr">
        <is>
          <t>atom balance (starting materials + 3*[H][H] = product + by-products) holds in 1 of 1 recorded examples; reagent supplies 3*[H][H]</t>
        </is>
      </c>
    </row>
    <row r="192">
      <c r="A192" s="3" t="inlineStr">
        <is>
          <t>Br.Cl</t>
        </is>
      </c>
      <c r="B192" s="3" t="inlineStr">
        <is>
          <t>CC1(C)OB(B2OC(C)(C)C(C)(C)O2)OC1(C)C</t>
        </is>
      </c>
      <c r="C192" s="3" t="inlineStr">
        <is>
          <t>2*CC(C)(O)C(C)(C)O.2*OB(O)O.Br.Cl</t>
        </is>
      </c>
      <c r="D192" s="2" t="inlineStr">
        <is>
          <t>One-pot Miyaura borylation/Suzuki coupling of an aryl bromide with an aryl chloride: B2pin2 ends as pinacol and boric acid after aqueous base; the halides leave as HBr and HCl.</t>
        </is>
      </c>
      <c r="E192" s="2" t="n">
        <v>1388</v>
      </c>
      <c r="F192" s="2" t="inlineStr">
        <is>
          <t>atom balance (starting materials + CC1(C)OB(B2OC(C)(C)C(C)(C)O2)OC1(C)C.6*O = product + by-products) holds in 6 of 6 recorded examples; reagent supplies CC1(C)OB(B2OC(C)(C)C(C)(C)O2)OC1(C)C.6*O</t>
        </is>
      </c>
    </row>
    <row r="193">
      <c r="A193" s="3" t="inlineStr">
        <is>
          <t>Br.Cl</t>
        </is>
      </c>
      <c r="B193" s="3" t="inlineStr">
        <is>
          <t>[Li][CH2]CCC</t>
        </is>
      </c>
      <c r="C193" s="3" t="inlineStr">
        <is>
          <t>CCCCBr.[Li+].[Cl-]</t>
        </is>
      </c>
      <c r="D193" s="2" t="inlineStr">
        <is>
          <t>Bromine-lithium exchange with n-BuLi, then the aryllithium displaces chloride from the electrophile (stannyl/silyl/acyl chloride): butyl bromide and LiCl are released.</t>
        </is>
      </c>
      <c r="E193" s="2" t="n">
        <v>1388</v>
      </c>
      <c r="F193" s="2" t="inlineStr">
        <is>
          <t>atom balance (starting materials + CCCC[Li] = product + by-products) holds in 6 of 6 recorded examples; reagent supplies CCCC[Li]</t>
        </is>
      </c>
    </row>
    <row r="194">
      <c r="A194" s="3" t="inlineStr">
        <is>
          <t>Br.Cl</t>
        </is>
      </c>
      <c r="B194" s="3" t="inlineStr">
        <is>
          <t>[Mg]</t>
        </is>
      </c>
      <c r="C194" s="3" t="inlineStr">
        <is>
          <t>Cl[Mg]Br</t>
        </is>
      </c>
      <c r="D194" s="2" t="inlineStr">
        <is>
          <t>The Grignard reagent formed from the bromide displaces chloride from the electrophile, leaving magnesium bromide chloride.</t>
        </is>
      </c>
      <c r="E194" s="2" t="n">
        <v>1388</v>
      </c>
      <c r="F194" s="2" t="inlineStr">
        <is>
          <t>atom balance (starting materials + [Mg] = product + by-products) holds in 5 of 6 recorded examples; reagent supplies [Mg]</t>
        </is>
      </c>
    </row>
    <row r="195">
      <c r="A195" s="3" t="inlineStr">
        <is>
          <t>Br.Cl</t>
        </is>
      </c>
      <c r="B195" s="3" t="inlineStr">
        <is>
          <t>[Zn]</t>
        </is>
      </c>
      <c r="C195" s="3" t="inlineStr">
        <is>
          <t>Cl[Zn]Br</t>
        </is>
      </c>
      <c r="D195" s="2" t="inlineStr">
        <is>
          <t>The organozinc formed from the bromide couples with the chloride (Negishi), leaving zinc bromide chloride.</t>
        </is>
      </c>
      <c r="E195" s="2" t="n">
        <v>1388</v>
      </c>
      <c r="F195" s="2" t="inlineStr">
        <is>
          <t>atom balance (starting materials + [Zn] = product + by-products) holds in 6 of 6 recorded examples; reagent supplies [Zn]</t>
        </is>
      </c>
    </row>
    <row r="196">
      <c r="A196" s="3" t="inlineStr">
        <is>
          <t>CCO[PH](=O)OCC.O</t>
        </is>
      </c>
      <c r="B196" s="3" t="inlineStr"/>
      <c r="C196" s="3" t="inlineStr">
        <is>
          <t>CCOP(=O)(O)OCC</t>
        </is>
      </c>
      <c r="D196" s="2" t="inlineStr">
        <is>
          <t>Horner-Wadsworth-Emmons olefination releases diethyl phosphate (as its salt).</t>
        </is>
      </c>
      <c r="E196" s="2" t="n">
        <v>1379</v>
      </c>
      <c r="F196" s="2" t="inlineStr">
        <is>
          <t>atom balance (starting materials + nothing = product + by-products) holds in 6 of 6 recorded examples</t>
        </is>
      </c>
    </row>
    <row r="197">
      <c r="A197" s="3" t="inlineStr">
        <is>
          <t>C.O.O</t>
        </is>
      </c>
      <c r="B197" s="3" t="inlineStr">
        <is>
          <t>O=S(=O)([O-])OOS(=O)(=O)[O-]</t>
        </is>
      </c>
      <c r="C197" s="3" t="inlineStr">
        <is>
          <t>O=C=O.O</t>
        </is>
      </c>
      <c r="D197" s="2" t="inlineStr">
        <is>
          <t>Minisci decarboxylative alkylation: the carboxylic acid loses CO2, the oxidant (persulfate/Ag+, H2O2/Fe) takes the ring H as water.</t>
        </is>
      </c>
      <c r="E197" s="2" t="n">
        <v>1323</v>
      </c>
      <c r="F197" s="2" t="inlineStr">
        <is>
          <t>atom balance (starting materials + [O] = product + by-products) holds in 6 of 6 recorded examples; reagent supplies [O]</t>
        </is>
      </c>
    </row>
    <row r="198">
      <c r="A198" s="3" t="inlineStr">
        <is>
          <t>C.O.O</t>
        </is>
      </c>
      <c r="B198" s="3" t="inlineStr">
        <is>
          <t>[Ag+]</t>
        </is>
      </c>
      <c r="C198" s="3" t="inlineStr">
        <is>
          <t>O=C=O.O</t>
        </is>
      </c>
      <c r="D198" s="2" t="inlineStr">
        <is>
          <t>Minisci decarboxylative alkylation: the carboxylic acid loses CO2, the oxidant (persulfate/Ag+, H2O2/Fe) takes the ring H as water.</t>
        </is>
      </c>
      <c r="E198" s="2" t="n">
        <v>1323</v>
      </c>
      <c r="F198" s="2" t="inlineStr">
        <is>
          <t>atom balance (starting materials + [O] = product + by-products) holds in 6 of 6 recorded examples; reagent supplies [O]</t>
        </is>
      </c>
    </row>
    <row r="199">
      <c r="A199" s="3" t="inlineStr">
        <is>
          <t>C.O.O</t>
        </is>
      </c>
      <c r="B199" s="3" t="inlineStr">
        <is>
          <t>NN</t>
        </is>
      </c>
      <c r="C199" s="3" t="inlineStr">
        <is>
          <t>CO.O</t>
        </is>
      </c>
      <c r="D199" s="2" t="inlineStr">
        <is>
          <t>Hydrazine condenses with the keto ester (pyrazolone), releasing methanol and water.</t>
        </is>
      </c>
      <c r="E199" s="2" t="n">
        <v>1323</v>
      </c>
      <c r="F199" s="2" t="inlineStr">
        <is>
          <t>atom balance (starting materials + NN = product + by-products) holds in 6 of 6 recorded examples; reagent supplies NN</t>
        </is>
      </c>
    </row>
    <row r="200">
      <c r="A200" s="3" t="inlineStr">
        <is>
          <t>C.O.O</t>
        </is>
      </c>
      <c r="B200" s="3" t="inlineStr">
        <is>
          <t>[BH3-]C#N</t>
        </is>
      </c>
      <c r="C200" s="3" t="inlineStr">
        <is>
          <t>O.CC(=O)O</t>
        </is>
      </c>
      <c r="D200" s="2" t="inlineStr">
        <is>
          <t>Reductive N-methylation with formaldehyde and a hydride: water is released and the acetic acid recorded as a starting material is returned.</t>
        </is>
      </c>
      <c r="E200" s="2" t="n">
        <v>1323</v>
      </c>
      <c r="F200" s="2" t="inlineStr">
        <is>
          <t>atom balance (starting materials + C=O.[H][H] = product + by-products) holds in 5 of 6 recorded examples; reagent supplies C=O.[H][H]</t>
        </is>
      </c>
    </row>
    <row r="201">
      <c r="A201" s="3" t="inlineStr">
        <is>
          <t>O.c1ccc([P+](c2ccccc2)c2ccccc2)cc1</t>
        </is>
      </c>
      <c r="B201" s="3" t="inlineStr"/>
      <c r="C201" s="3" t="inlineStr">
        <is>
          <t>O=P(c1ccccc1)(c1ccccc1)c1ccccc1.[H+]</t>
        </is>
      </c>
      <c r="D201" s="2" t="inlineStr">
        <is>
          <t>Wittig olefination: the phosphonium salt is deprotonated by the base (which takes the H+) and the ylide gives the alkene and triphenylphosphine oxide.</t>
        </is>
      </c>
      <c r="E201" s="2" t="n">
        <v>1280</v>
      </c>
      <c r="F201" s="2" t="inlineStr">
        <is>
          <t>atom balance (starting materials + nothing = product + by-products) holds in 6 of 6 recorded examples</t>
        </is>
      </c>
    </row>
    <row r="202">
      <c r="A202" s="3" t="inlineStr">
        <is>
          <t>C.C</t>
        </is>
      </c>
      <c r="B202" s="3" t="inlineStr">
        <is>
          <t>Br</t>
        </is>
      </c>
      <c r="C202" s="3" t="inlineStr">
        <is>
          <t>2*CBr</t>
        </is>
      </c>
      <c r="D202" s="2" t="inlineStr">
        <is>
          <t>HBr cleaves both methyl ethers, releasing two methyl bromide.</t>
        </is>
      </c>
      <c r="E202" s="2" t="n">
        <v>1274</v>
      </c>
      <c r="F202" s="2" t="inlineStr">
        <is>
          <t>atom balance (starting materials + 2*Br = product + by-products) holds in 6 of 6 recorded examples; reagent supplies 2*Br</t>
        </is>
      </c>
    </row>
    <row r="203">
      <c r="A203" s="3" t="inlineStr">
        <is>
          <t>C.C</t>
        </is>
      </c>
      <c r="B203" s="3" t="inlineStr">
        <is>
          <t>[Al+3]</t>
        </is>
      </c>
      <c r="C203" s="3" t="inlineStr">
        <is>
          <t>2*CCl</t>
        </is>
      </c>
      <c r="D203" s="2" t="inlineStr">
        <is>
          <t>AlCl3 cleaves both methyl ethers, releasing two methyl chloride.</t>
        </is>
      </c>
      <c r="E203" s="2" t="n">
        <v>1274</v>
      </c>
      <c r="F203" s="2" t="inlineStr">
        <is>
          <t>atom balance (starting materials + 2*Cl = product + by-products) holds in 6 of 6 recorded examples; reagent supplies 2*Cl</t>
        </is>
      </c>
    </row>
    <row r="204">
      <c r="A204" s="3" t="inlineStr">
        <is>
          <t>C.C</t>
        </is>
      </c>
      <c r="B204" s="3" t="inlineStr">
        <is>
          <t>[Ce+4]</t>
        </is>
      </c>
      <c r="C204" s="3" t="inlineStr">
        <is>
          <t>2*CO.2*[Ce+3].2*[H+]</t>
        </is>
      </c>
      <c r="D204" s="2" t="inlineStr">
        <is>
          <t>CAN oxidises the dimethoxyarene to the quinone: two Ce(IV) and water release two methanol.</t>
        </is>
      </c>
      <c r="E204" s="2" t="n">
        <v>1274</v>
      </c>
      <c r="F204" s="2" t="inlineStr">
        <is>
          <t>atom balance (starting materials + 2*O.2*[Ce+4] = product + by-products) holds in 6 of 6 recorded examples; reagent supplies 2*O.2*[Ce+4]</t>
        </is>
      </c>
    </row>
    <row r="205">
      <c r="A205" s="3" t="inlineStr">
        <is>
          <t>C.C</t>
        </is>
      </c>
      <c r="B205" s="3" t="inlineStr">
        <is>
          <t>[Ce]</t>
        </is>
      </c>
      <c r="C205" s="3" t="inlineStr">
        <is>
          <t>2*CO.2*[Ce+3].2*[H+]</t>
        </is>
      </c>
      <c r="D205" s="2" t="inlineStr">
        <is>
          <t>CAN oxidises the dimethoxyarene to the quinone: two Ce(IV) and water release two methanol.</t>
        </is>
      </c>
      <c r="E205" s="2" t="n">
        <v>1274</v>
      </c>
      <c r="F205" s="2" t="inlineStr">
        <is>
          <t>atom balance (starting materials + 2*O.2*[Ce+4] = product + by-products) holds in 6 of 6 recorded examples; reagent supplies 2*O.2*[Ce+4]</t>
        </is>
      </c>
    </row>
    <row r="206">
      <c r="A206" s="3" t="inlineStr">
        <is>
          <t>C.C</t>
        </is>
      </c>
      <c r="B206" s="3" t="inlineStr">
        <is>
          <t>O=[N+]([O-])[O-]</t>
        </is>
      </c>
      <c r="C206" s="3" t="inlineStr">
        <is>
          <t>2*CO.2*[Ce+3].2*[H+]</t>
        </is>
      </c>
      <c r="D206" s="2" t="inlineStr">
        <is>
          <t>CAN oxidises the dimethoxyarene to the quinone: two Ce(IV) and water release two methanol.</t>
        </is>
      </c>
      <c r="E206" s="2" t="n">
        <v>1274</v>
      </c>
      <c r="F206" s="2" t="inlineStr">
        <is>
          <t>atom balance (starting materials + 2*O.2*[Ce+4] = product + by-products) holds in 6 of 6 recorded examples; reagent supplies 2*O.2*[Ce+4]</t>
        </is>
      </c>
    </row>
    <row r="207">
      <c r="A207" s="3" t="inlineStr">
        <is>
          <t>C.C</t>
        </is>
      </c>
      <c r="B207" s="3" t="inlineStr">
        <is>
          <t>O=C(O)c1cccc(C(=O)O)n1</t>
        </is>
      </c>
      <c r="C207" s="3" t="inlineStr">
        <is>
          <t>2*CO.2*[Ce+3].2*[H+]</t>
        </is>
      </c>
      <c r="D207" s="2" t="inlineStr">
        <is>
          <t>CAN oxidises the dimethoxyarene to the quinone: two Ce(IV) and water release two methanol.</t>
        </is>
      </c>
      <c r="E207" s="2" t="n">
        <v>1274</v>
      </c>
      <c r="F207" s="2" t="inlineStr">
        <is>
          <t>atom balance (starting materials + 2*O.2*[Ce+4] = product + by-products) holds in 6 of 6 recorded examples; reagent supplies 2*O.2*[Ce+4]</t>
        </is>
      </c>
    </row>
    <row r="208">
      <c r="A208" s="3" t="inlineStr">
        <is>
          <t>C.C</t>
        </is>
      </c>
      <c r="B208" s="3" t="inlineStr">
        <is>
          <t>NO</t>
        </is>
      </c>
      <c r="C208" s="3" t="inlineStr">
        <is>
          <t>CNC.O</t>
        </is>
      </c>
      <c r="D208" s="2" t="inlineStr">
        <is>
          <t>Hydroxylamine cyclocondenses with the enaminone/amidine (isoxazole, oxadiazole), releasing dimethylamine and water.</t>
        </is>
      </c>
      <c r="E208" s="2" t="n">
        <v>1274</v>
      </c>
      <c r="F208" s="2" t="inlineStr">
        <is>
          <t>atom balance (starting materials + NO = product + by-products) holds in 6 of 6 recorded examples; reagent supplies NO</t>
        </is>
      </c>
    </row>
    <row r="209">
      <c r="A209" s="3" t="inlineStr">
        <is>
          <t>C.C</t>
        </is>
      </c>
      <c r="B209" s="3" t="inlineStr">
        <is>
          <t>[NH3+]O</t>
        </is>
      </c>
      <c r="C209" s="3" t="inlineStr">
        <is>
          <t>CNC.O</t>
        </is>
      </c>
      <c r="D209" s="2" t="inlineStr">
        <is>
          <t>Hydroxylamine cyclocondenses with the enaminone/amidine (isoxazole, oxadiazole), releasing dimethylamine and water.</t>
        </is>
      </c>
      <c r="E209" s="2" t="n">
        <v>1274</v>
      </c>
      <c r="F209" s="2" t="inlineStr">
        <is>
          <t>atom balance (starting materials + NO = product + by-products) holds in 3 of 3 recorded examples; reagent supplies NO</t>
        </is>
      </c>
    </row>
    <row r="210">
      <c r="A210" s="3" t="inlineStr">
        <is>
          <t>CC.O.O</t>
        </is>
      </c>
      <c r="B210" s="3" t="inlineStr">
        <is>
          <t>[NH3+]O</t>
        </is>
      </c>
      <c r="C210" s="3" t="inlineStr">
        <is>
          <t>CCO.O</t>
        </is>
      </c>
      <c r="D210" s="2" t="inlineStr">
        <is>
          <t>Hydroxylamine condenses with the beta-keto ester to the isoxazolone, releasing ethanol and water.</t>
        </is>
      </c>
      <c r="E210" s="2" t="n">
        <v>1273</v>
      </c>
      <c r="F210" s="2" t="inlineStr">
        <is>
          <t>atom balance (starting materials + NO = product + by-products) holds in 1 of 1 recorded examples; reagent supplies NO</t>
        </is>
      </c>
    </row>
    <row r="211">
      <c r="A211" s="3" t="inlineStr">
        <is>
          <t>CC.O.O</t>
        </is>
      </c>
      <c r="B211" s="3" t="inlineStr">
        <is>
          <t>NN</t>
        </is>
      </c>
      <c r="C211" s="3" t="inlineStr">
        <is>
          <t>CCO.O</t>
        </is>
      </c>
      <c r="D211" s="2" t="inlineStr">
        <is>
          <t>Hydrazine condenses with the keto ester to the pyrazolone/pyridazinone, releasing ethanol and water.</t>
        </is>
      </c>
      <c r="E211" s="2" t="n">
        <v>1273</v>
      </c>
      <c r="F211" s="2" t="inlineStr">
        <is>
          <t>atom balance (starting materials + NN = product + by-products) holds in 6 of 6 recorded examples; reagent supplies NN</t>
        </is>
      </c>
    </row>
    <row r="212">
      <c r="A212" s="3" t="inlineStr">
        <is>
          <t>O=CO</t>
        </is>
      </c>
      <c r="B212" s="3" t="inlineStr"/>
      <c r="C212" s="3" t="inlineStr">
        <is>
          <t>O=C=O</t>
        </is>
      </c>
      <c r="D212" s="2" t="inlineStr">
        <is>
          <t>Decarboxylation (or ethylene-carbonate hydroxyethylation) releases carbon dioxide.</t>
        </is>
      </c>
      <c r="E212" s="2" t="n">
        <v>1259</v>
      </c>
      <c r="F212" s="2" t="inlineStr">
        <is>
          <t>atom balance (starting materials + nothing = product + by-products) holds in 6 of 6 recorded examples</t>
        </is>
      </c>
    </row>
    <row r="213">
      <c r="A213" s="3" t="inlineStr">
        <is>
          <t>O=CO</t>
        </is>
      </c>
      <c r="B213" s="3" t="inlineStr">
        <is>
          <t>O=S(=O)([O-])OOS(=O)(=O)[O-]</t>
        </is>
      </c>
      <c r="C213" s="3" t="inlineStr">
        <is>
          <t>O=C=O.O</t>
        </is>
      </c>
      <c r="D213" s="2" t="inlineStr">
        <is>
          <t>Minisci decarboxylative alkylation: the carboxylic acid loses CO2 and the oxidant takes the ring H as water.</t>
        </is>
      </c>
      <c r="E213" s="2" t="n">
        <v>1259</v>
      </c>
      <c r="F213" s="2" t="inlineStr">
        <is>
          <t>atom balance (starting materials + [O] = product + by-products) holds in 6 of 6 recorded examples; reagent supplies [O]</t>
        </is>
      </c>
    </row>
    <row r="214">
      <c r="A214" s="3" t="inlineStr">
        <is>
          <t>O=CO</t>
        </is>
      </c>
      <c r="B214" s="3" t="inlineStr">
        <is>
          <t>[Ag+]</t>
        </is>
      </c>
      <c r="C214" s="3" t="inlineStr">
        <is>
          <t>O=C=O.O</t>
        </is>
      </c>
      <c r="D214" s="2" t="inlineStr">
        <is>
          <t>Minisci decarboxylative alkylation: the carboxylic acid loses CO2 and the oxidant takes the ring H as water.</t>
        </is>
      </c>
      <c r="E214" s="2" t="n">
        <v>1259</v>
      </c>
      <c r="F214" s="2" t="inlineStr">
        <is>
          <t>atom balance (starting materials + [O] = product + by-products) holds in 6 of 6 recorded examples; reagent supplies [O]</t>
        </is>
      </c>
    </row>
    <row r="215">
      <c r="A215" s="3" t="inlineStr">
        <is>
          <t>O=CO</t>
        </is>
      </c>
      <c r="B215" s="3" t="inlineStr">
        <is>
          <t>CC(=O)O[BH-](OC(C)=O)OC(C)=O</t>
        </is>
      </c>
      <c r="C215" s="3" t="inlineStr">
        <is>
          <t>O.CC(=O)O</t>
        </is>
      </c>
      <c r="D215" s="2" t="inlineStr">
        <is>
          <t>Reductive N-methylation with formaldehyde and a hydride: water is released and the acetic acid recorded as a starting material is returned.</t>
        </is>
      </c>
      <c r="E215" s="2" t="n">
        <v>1259</v>
      </c>
      <c r="F215" s="2" t="inlineStr">
        <is>
          <t>atom balance (starting materials + C=O.[H][H] = product + by-products) holds in 6 of 6 recorded examples; reagent supplies C=O.[H][H]</t>
        </is>
      </c>
    </row>
    <row r="216">
      <c r="A216" s="3" t="inlineStr">
        <is>
          <t>O=CO</t>
        </is>
      </c>
      <c r="B216" s="3" t="inlineStr">
        <is>
          <t>[BH3-]C#N</t>
        </is>
      </c>
      <c r="C216" s="3" t="inlineStr">
        <is>
          <t>O.CC(=O)O</t>
        </is>
      </c>
      <c r="D216" s="2" t="inlineStr">
        <is>
          <t>Reductive N-methylation with formaldehyde and a hydride: water is released and the acetic acid recorded as a starting material is returned.</t>
        </is>
      </c>
      <c r="E216" s="2" t="n">
        <v>1259</v>
      </c>
      <c r="F216" s="2" t="inlineStr">
        <is>
          <t>atom balance (starting materials + C=O.[H][H] = product + by-products) holds in 6 of 6 recorded examples; reagent supplies C=O.[H][H]</t>
        </is>
      </c>
    </row>
    <row r="217">
      <c r="A217" s="3" t="inlineStr">
        <is>
          <t>O=CO</t>
        </is>
      </c>
      <c r="B217" s="3" t="inlineStr">
        <is>
          <t>[BH4-]</t>
        </is>
      </c>
      <c r="C217" s="3" t="inlineStr">
        <is>
          <t>O=C=O</t>
        </is>
      </c>
      <c r="D217" s="2" t="inlineStr">
        <is>
          <t>Borohydride reduces the 4-quinolone-3-carboxylic acid (a vinylogous beta-keto acid) at the enone and the resulting beta-keto acid decarboxylates: one H2-equivalent is added and CO2 is released.</t>
        </is>
      </c>
      <c r="E217" s="2" t="n">
        <v>1259</v>
      </c>
      <c r="F217" s="2" t="inlineStr">
        <is>
          <t>atom balance (starting materials + [H][H] = product + by-products) holds in 5 of 6 recorded examples; reagent supplies [H][H]</t>
        </is>
      </c>
    </row>
    <row r="218">
      <c r="A218" s="3" t="inlineStr">
        <is>
          <t>N.O</t>
        </is>
      </c>
      <c r="B218" s="3" t="inlineStr"/>
      <c r="C218" s="3" t="inlineStr">
        <is>
          <t>N.O</t>
        </is>
      </c>
      <c r="D218" s="2" t="inlineStr">
        <is>
          <t>Fischer indole synthesis: the arylhydrazone forms with loss of water and the [3,3]-rearrangement/cyclisation expels ammonia.</t>
        </is>
      </c>
      <c r="E218" s="2" t="n">
        <v>1245</v>
      </c>
      <c r="F218" s="2" t="inlineStr">
        <is>
          <t>atom balance (starting materials + nothing = product + by-products) holds in 6 of 6 recorded examples</t>
        </is>
      </c>
    </row>
    <row r="219">
      <c r="A219" s="3" t="inlineStr">
        <is>
          <t>Cc1ccc([SH](=O)=O)cc1</t>
        </is>
      </c>
      <c r="B219" s="3" t="inlineStr"/>
      <c r="C219" s="3" t="inlineStr">
        <is>
          <t>Cc1ccc(S(=O)(=O)O)cc1</t>
        </is>
      </c>
      <c r="D219" s="2" t="inlineStr">
        <is>
          <t>Basic hydrolysis of the N-tosyl group frees the NH and releases p-toluenesulfonic acid (as tosylate).</t>
        </is>
      </c>
      <c r="E219" s="2" t="n">
        <v>1243</v>
      </c>
      <c r="F219" s="2" t="inlineStr">
        <is>
          <t>atom balance (starting materials + O = product + by-products) holds in 5 of 6 recorded examples; reagent supplies O</t>
        </is>
      </c>
    </row>
    <row r="220">
      <c r="A220" s="3" t="inlineStr">
        <is>
          <t>Cc1ccc([SH](=O)=O)cc1</t>
        </is>
      </c>
      <c r="B220" s="3" t="inlineStr">
        <is>
          <t>[Cs+]</t>
        </is>
      </c>
      <c r="C220" s="3" t="inlineStr">
        <is>
          <t>COS(=O)(=O)c1ccc(C)cc1</t>
        </is>
      </c>
      <c r="D220" s="2" t="inlineStr">
        <is>
          <t>Caesium carbonate in methanol/THF removes the N-tosyl group from the indole, azaindole or pyrrole: the alkoxide attacks sulfur and the tosyl leaves as methyl tosylate.</t>
        </is>
      </c>
      <c r="E220" s="2" t="n">
        <v>1243</v>
      </c>
      <c r="F220" s="2" t="inlineStr">
        <is>
          <t>atom balance (starting materials + CO = product + by-products) holds in 6 of 6 recorded examples; reagent supplies CO</t>
        </is>
      </c>
    </row>
    <row r="221">
      <c r="A221" s="3" t="inlineStr">
        <is>
          <t>Cc1ccc([SH](=O)=O)cc1</t>
        </is>
      </c>
      <c r="B221" s="3" t="inlineStr">
        <is>
          <t>O=C([O-])[O-]</t>
        </is>
      </c>
      <c r="C221" s="3" t="inlineStr">
        <is>
          <t>Cc1ccc(S(=O)O)cc1</t>
        </is>
      </c>
      <c r="D221" s="2" t="inlineStr">
        <is>
          <t>TosMIC chemistry (van Leusen oxazole/imidazole/pyrrole synthesis) or sulfone elimination expels p-toluenesulfinic acid (as its salt).</t>
        </is>
      </c>
      <c r="E221" s="2" t="n">
        <v>1243</v>
      </c>
      <c r="F221" s="2" t="inlineStr">
        <is>
          <t>atom balance (starting materials + nothing = product + by-products) holds in 5 of 6 recorded examples</t>
        </is>
      </c>
    </row>
    <row r="222">
      <c r="A222" s="3" t="inlineStr">
        <is>
          <t>Cc1ccc([SH](=O)=O)cc1</t>
        </is>
      </c>
      <c r="B222" s="3" t="inlineStr">
        <is>
          <t>[H-]</t>
        </is>
      </c>
      <c r="C222" s="3" t="inlineStr">
        <is>
          <t>Cc1ccc(S(=O)O)cc1</t>
        </is>
      </c>
      <c r="D222" s="2" t="inlineStr">
        <is>
          <t>TosMIC chemistry (van Leusen oxazole/imidazole/pyrrole synthesis) or sulfone elimination expels p-toluenesulfinic acid (as its salt).</t>
        </is>
      </c>
      <c r="E222" s="2" t="n">
        <v>1243</v>
      </c>
      <c r="F222" s="2" t="inlineStr">
        <is>
          <t>atom balance (starting materials + nothing = product + by-products) holds in 5 of 6 recorded examples</t>
        </is>
      </c>
    </row>
    <row r="223">
      <c r="A223" s="3" t="inlineStr">
        <is>
          <t>Cc1ccc([SH](=O)=O)cc1</t>
        </is>
      </c>
      <c r="B223" s="3" t="inlineStr">
        <is>
          <t>[Na]</t>
        </is>
      </c>
      <c r="C223" s="3" t="inlineStr">
        <is>
          <t>Cc1ccc(S(=O)O)cc1</t>
        </is>
      </c>
      <c r="D223" s="2" t="inlineStr">
        <is>
          <t>Reductive (sodium/naphthalene) N-detosylation releases p-toluenesulfinic acid (as its salt).</t>
        </is>
      </c>
      <c r="E223" s="2" t="n">
        <v>1243</v>
      </c>
      <c r="F223" s="2" t="inlineStr">
        <is>
          <t>atom balance (starting materials + [H][H] = product + by-products) holds in 5 of 6 recorded examples; reagent supplies [H][H]</t>
        </is>
      </c>
    </row>
    <row r="224">
      <c r="A224" s="3" t="inlineStr">
        <is>
          <t>O.O=CC(=O)Cl</t>
        </is>
      </c>
      <c r="B224" s="3" t="inlineStr"/>
      <c r="C224" s="3" t="inlineStr">
        <is>
          <t>[C-]#[O+].O=C=O.Cl</t>
        </is>
      </c>
      <c r="D224" s="2" t="inlineStr">
        <is>
          <t>Oxalyl chloride converts the acid into the acid chloride, releasing CO, CO2 and HCl gases.</t>
        </is>
      </c>
      <c r="E224" s="2" t="n">
        <v>1230</v>
      </c>
      <c r="F224" s="2" t="inlineStr">
        <is>
          <t>atom balance (starting materials + nothing = product + by-products) holds in 6 of 6 recorded examples</t>
        </is>
      </c>
    </row>
    <row r="225">
      <c r="A225" s="3" t="inlineStr">
        <is>
          <t>Oc1ccccc1</t>
        </is>
      </c>
      <c r="B225" s="3" t="inlineStr"/>
      <c r="C225" s="3" t="inlineStr">
        <is>
          <t>Oc1ccccc1</t>
        </is>
      </c>
      <c r="D225" s="2" t="inlineStr">
        <is>
          <t>An amine displaces phenoxide from the phenyl carbamate/thiocarbamate, giving the urea and releasing phenol.</t>
        </is>
      </c>
      <c r="E225" s="2" t="n">
        <v>1224</v>
      </c>
      <c r="F225" s="2" t="inlineStr">
        <is>
          <t>atom balance (starting materials + nothing = product + by-products) holds in 6 of 6 recorded examples</t>
        </is>
      </c>
    </row>
    <row r="226">
      <c r="A226" s="3" t="inlineStr">
        <is>
          <t>CCOC=O</t>
        </is>
      </c>
      <c r="B226" s="3" t="inlineStr"/>
      <c r="C226" s="3" t="inlineStr">
        <is>
          <t>O=C=O.CCO</t>
        </is>
      </c>
      <c r="D226" s="2" t="inlineStr">
        <is>
          <t>Hydrolysis of the ethyl carbamate/carbonate (or a beta-keto ester with decarboxylation) releases CO2 and ethanol.</t>
        </is>
      </c>
      <c r="E226" s="2" t="n">
        <v>1205</v>
      </c>
      <c r="F226" s="2" t="inlineStr">
        <is>
          <t>atom balance (starting materials + O = product + by-products) holds in 6 of 6 recorded examples; reagent supplies O</t>
        </is>
      </c>
    </row>
    <row r="227">
      <c r="A227" s="3" t="inlineStr">
        <is>
          <t>CCOC=O</t>
        </is>
      </c>
      <c r="B227" s="3" t="inlineStr">
        <is>
          <t>Br</t>
        </is>
      </c>
      <c r="C227" s="3" t="inlineStr">
        <is>
          <t>O=C=O.CCBr</t>
        </is>
      </c>
      <c r="D227" s="2" t="inlineStr">
        <is>
          <t>HBr cleaves the ethyl carbamate, releasing CO2 and ethyl bromide.</t>
        </is>
      </c>
      <c r="E227" s="2" t="n">
        <v>1205</v>
      </c>
      <c r="F227" s="2" t="inlineStr">
        <is>
          <t>atom balance (starting materials + Br = product + by-products) holds in 6 of 6 recorded examples; reagent supplies Br</t>
        </is>
      </c>
    </row>
    <row r="228">
      <c r="A228" s="3" t="inlineStr">
        <is>
          <t>O=S(=O)(O)C(F)(F)F.OBO</t>
        </is>
      </c>
      <c r="B228" s="3" t="inlineStr"/>
      <c r="C228" s="3" t="inlineStr">
        <is>
          <t>OB(O)O.O=S(=O)(O)C(F)(F)F</t>
        </is>
      </c>
      <c r="D228" s="2" t="inlineStr">
        <is>
          <t>Suzuki coupling of the triflate: boron ends as boric acid and triflate as triflic acid, both taken up by the base.</t>
        </is>
      </c>
      <c r="E228" s="2" t="n">
        <v>1143</v>
      </c>
      <c r="F228" s="2" t="inlineStr">
        <is>
          <t>atom balance (starting materials + O = product + by-products) holds in 6 of 6 recorded examples; reagent supplies O</t>
        </is>
      </c>
    </row>
    <row r="229">
      <c r="A229" s="3" t="inlineStr">
        <is>
          <t>C.CC(C)(C)O.O</t>
        </is>
      </c>
      <c r="B229" s="3" t="inlineStr"/>
      <c r="C229" s="3" t="inlineStr">
        <is>
          <t>O=C=O.C=C(C)C</t>
        </is>
      </c>
      <c r="D229" s="2" t="inlineStr">
        <is>
          <t>Acid removes the Boc group as isobutylene and carbon dioxide.</t>
        </is>
      </c>
      <c r="E229" s="2" t="n">
        <v>1055</v>
      </c>
      <c r="F229" s="2" t="inlineStr">
        <is>
          <t>atom balance (starting materials + nothing = product + by-products) holds in 6 of 6 recorded examples</t>
        </is>
      </c>
    </row>
    <row r="230">
      <c r="A230" s="3" t="inlineStr">
        <is>
          <t>CNC.O</t>
        </is>
      </c>
      <c r="B230" s="3" t="inlineStr"/>
      <c r="C230" s="3" t="inlineStr">
        <is>
          <t>CNC.O</t>
        </is>
      </c>
      <c r="D230" s="2" t="inlineStr">
        <is>
          <t>An enaminone (dimethylamino-methylene ketone) cyclocondenses with a binucleophile, releasing dimethylamine and water.</t>
        </is>
      </c>
      <c r="E230" s="2" t="n">
        <v>1053</v>
      </c>
      <c r="F230" s="2" t="inlineStr">
        <is>
          <t>atom balance (starting materials + nothing = product + by-products) holds in 6 of 6 recorded examples</t>
        </is>
      </c>
    </row>
    <row r="231">
      <c r="A231" s="3" t="inlineStr">
        <is>
          <t>Cl.Cl.Cl.O=COC(Cl)(Cl)Cl</t>
        </is>
      </c>
      <c r="B231" s="3" t="inlineStr"/>
      <c r="C231" s="3" t="inlineStr">
        <is>
          <t>2*O=C=O.6*Cl</t>
        </is>
      </c>
      <c r="D231" s="2" t="inlineStr">
        <is>
          <t>Triphosgene supplies one carbonyl; the other two phosgene-equivalents and the two N-H/O-H protons end as CO2 and HCl after aqueous work-up.</t>
        </is>
      </c>
      <c r="E231" s="2" t="n">
        <v>1035</v>
      </c>
      <c r="F231" s="2" t="inlineStr">
        <is>
          <t>atom balance (starting materials + 2*O = product + by-products) holds in 6 of 6 recorded examples; reagent supplies 2*O</t>
        </is>
      </c>
    </row>
    <row r="232">
      <c r="A232" s="3" t="inlineStr">
        <is>
          <t>c1ccc(C(c2ccccc2)c2ccccc2)cc1</t>
        </is>
      </c>
      <c r="B232" s="3" t="inlineStr"/>
      <c r="C232" s="3" t="inlineStr">
        <is>
          <t>OC(c1ccccc1)(c1ccccc1)c1ccccc1</t>
        </is>
      </c>
      <c r="D232" s="2" t="inlineStr">
        <is>
          <t>Acid removes the trityl group as the trityl cation, which ends as triphenylmethanol after aqueous work-up.</t>
        </is>
      </c>
      <c r="E232" s="2" t="n">
        <v>1029</v>
      </c>
      <c r="F232" s="2" t="inlineStr">
        <is>
          <t>atom balance (starting materials + O = product + by-products) holds in 6 of 6 recorded examples; reagent supplies O</t>
        </is>
      </c>
    </row>
    <row r="233">
      <c r="A233" s="3" t="inlineStr">
        <is>
          <t>c1ccc(C(c2ccccc2)c2ccccc2)cc1</t>
        </is>
      </c>
      <c r="B233" s="3" t="inlineStr">
        <is>
          <t>CC[SiH](CC)CC</t>
        </is>
      </c>
      <c r="C233" s="3" t="inlineStr">
        <is>
          <t>c1ccc(C(c2ccccc2)c2ccccc2)cc1</t>
        </is>
      </c>
      <c r="D233" s="2" t="inlineStr">
        <is>
          <t>TFA/triethylsilane: the trityl cation is reduced by the silane to triphenylmethane.</t>
        </is>
      </c>
      <c r="E233" s="2" t="n">
        <v>1029</v>
      </c>
      <c r="F233" s="2" t="inlineStr">
        <is>
          <t>atom balance (starting materials + [H][H] = product + by-products) holds in 5 of 6 recorded examples; reagent supplies [H][H]</t>
        </is>
      </c>
    </row>
    <row r="234">
      <c r="A234" s="3" t="inlineStr">
        <is>
          <t>C[SH]=O</t>
        </is>
      </c>
      <c r="B234" s="3" t="inlineStr"/>
      <c r="C234" s="3" t="inlineStr">
        <is>
          <t>CSO</t>
        </is>
      </c>
      <c r="D234" s="2" t="inlineStr">
        <is>
          <t>SNAr displacement of a methylsulfinyl group releases methanesulfenic acid.</t>
        </is>
      </c>
      <c r="E234" s="2" t="n">
        <v>1028</v>
      </c>
      <c r="F234" s="2" t="inlineStr">
        <is>
          <t>atom balance (starting materials + nothing = product + by-products) holds in 6 of 6 recorded examples</t>
        </is>
      </c>
    </row>
    <row r="235">
      <c r="A235" s="3" t="inlineStr">
        <is>
          <t>O.c1ccccc1</t>
        </is>
      </c>
      <c r="B235" s="3" t="inlineStr"/>
      <c r="C235" s="3" t="inlineStr">
        <is>
          <t>Oc1ccccc1</t>
        </is>
      </c>
      <c r="D235" s="2" t="inlineStr">
        <is>
          <t>An amine displaces phenoxide from the phenyl carbamate, giving the urea and releasing phenol.</t>
        </is>
      </c>
      <c r="E235" s="2" t="n">
        <v>1027</v>
      </c>
      <c r="F235" s="2" t="inlineStr">
        <is>
          <t>atom balance (starting materials + nothing = product + by-products) holds in 6 of 6 recorded examples</t>
        </is>
      </c>
    </row>
    <row r="236">
      <c r="A236" s="3" t="inlineStr">
        <is>
          <t>O=CC(F)(F)F</t>
        </is>
      </c>
      <c r="B236" s="3" t="inlineStr"/>
      <c r="C236" s="3" t="inlineStr">
        <is>
          <t>O=C(O)C(F)(F)F</t>
        </is>
      </c>
      <c r="D236" s="2" t="inlineStr">
        <is>
          <t>Basic hydrolysis/methanolysis of the trifluoroacetamide frees the amine and releases trifluoroacetic acid (as trifluoroacetate).</t>
        </is>
      </c>
      <c r="E236" s="2" t="n">
        <v>991</v>
      </c>
      <c r="F236" s="2" t="inlineStr">
        <is>
          <t>atom balance (starting materials + O = product + by-products) holds in 6 of 6 recorded examples; reagent supplies O</t>
        </is>
      </c>
    </row>
    <row r="237">
      <c r="A237" s="3" t="inlineStr">
        <is>
          <t>O=CC(F)(F)F</t>
        </is>
      </c>
      <c r="B237" s="3" t="inlineStr">
        <is>
          <t>[BH4-]</t>
        </is>
      </c>
      <c r="C237" s="3" t="inlineStr">
        <is>
          <t>OCC(F)(F)F</t>
        </is>
      </c>
      <c r="D237" s="2" t="inlineStr">
        <is>
          <t>Sodium borohydride removes the trifluoroacetyl group reductively, releasing 2,2,2-trifluoroethanol.</t>
        </is>
      </c>
      <c r="E237" s="2" t="n">
        <v>991</v>
      </c>
      <c r="F237" s="2" t="inlineStr">
        <is>
          <t>atom balance (starting materials + 2*[H][H] = product + by-products) holds in 6 of 6 recorded examples; reagent supplies 2*[H][H]</t>
        </is>
      </c>
    </row>
    <row r="238">
      <c r="A238" s="3" t="inlineStr">
        <is>
          <t>COc1ccc(P2SP(=S)(c3ccc(OC)cc3)S2)cc1.O</t>
        </is>
      </c>
      <c r="B238" s="3" t="inlineStr"/>
      <c r="C238" s="3" t="inlineStr">
        <is>
          <t>COc1ccc(P2(=O)SP(=S)(c3ccc(OC)cc3)S2)cc1</t>
        </is>
      </c>
      <c r="D238" s="2" t="inlineStr">
        <is>
          <t>Lawesson's reagent swaps the carbonyl O for S; the reagent leaves as its oxo analogue (one P=S became P=O).</t>
        </is>
      </c>
      <c r="E238" s="2" t="n">
        <v>983</v>
      </c>
      <c r="F238" s="2" t="inlineStr">
        <is>
          <t>atom balance (starting materials + nothing = product + by-products) holds in 6 of 6 recorded examples</t>
        </is>
      </c>
    </row>
    <row r="239">
      <c r="A239" s="3" t="inlineStr">
        <is>
          <t>CC(C)C.O</t>
        </is>
      </c>
      <c r="B239" s="3" t="inlineStr"/>
      <c r="C239" s="3" t="inlineStr">
        <is>
          <t>CC(C)(C)O</t>
        </is>
      </c>
      <c r="D239" s="2" t="inlineStr">
        <is>
          <t>A t-butyl ester/carbonate is attacked by the nucleophile (aminolysis, Boc transfer) and releases t-butanol.</t>
        </is>
      </c>
      <c r="E239" s="2" t="n">
        <v>982</v>
      </c>
      <c r="F239" s="2" t="inlineStr">
        <is>
          <t>atom balance (starting materials + nothing = product + by-products) holds in 5 of 6 recorded examples</t>
        </is>
      </c>
    </row>
    <row r="240">
      <c r="A240" s="3" t="inlineStr">
        <is>
          <t>CC(C)C.O</t>
        </is>
      </c>
      <c r="B240" s="3" t="inlineStr">
        <is>
          <t>[Al+3]</t>
        </is>
      </c>
      <c r="C240" s="3" t="inlineStr">
        <is>
          <t>CC(C)(C)O</t>
        </is>
      </c>
      <c r="D240" s="2" t="inlineStr">
        <is>
          <t>Hydride reduction of the t-butyl ester to the primary alcohol takes two H2-equivalents and releases t-butanol.</t>
        </is>
      </c>
      <c r="E240" s="2" t="n">
        <v>982</v>
      </c>
      <c r="F240" s="2" t="inlineStr">
        <is>
          <t>atom balance (starting materials + 2*[H][H] = product + by-products) holds in 5 of 6 recorded examples; reagent supplies 2*[H][H]</t>
        </is>
      </c>
    </row>
    <row r="241">
      <c r="A241" s="3" t="inlineStr">
        <is>
          <t>CC(C)C.O</t>
        </is>
      </c>
      <c r="B241" s="3" t="inlineStr">
        <is>
          <t>[BH4-]</t>
        </is>
      </c>
      <c r="C241" s="3" t="inlineStr">
        <is>
          <t>CC(C)(C)O</t>
        </is>
      </c>
      <c r="D241" s="2" t="inlineStr">
        <is>
          <t>Hydride reduction of the t-butyl ester to the primary alcohol takes two H2-equivalents and releases t-butanol.</t>
        </is>
      </c>
      <c r="E241" s="2" t="n">
        <v>982</v>
      </c>
      <c r="F241" s="2" t="inlineStr">
        <is>
          <t>atom balance (starting materials + 2*[H][H] = product + by-products) holds in 5 of 6 recorded examples; reagent supplies 2*[H][H]</t>
        </is>
      </c>
    </row>
    <row r="242">
      <c r="A242" s="3" t="inlineStr">
        <is>
          <t>CC(C)C.O</t>
        </is>
      </c>
      <c r="B242" s="3" t="inlineStr">
        <is>
          <t>CC(C)[CH2][AlH][CH2]C(C)C</t>
        </is>
      </c>
      <c r="C242" s="3" t="inlineStr">
        <is>
          <t>CC(C)(C)O</t>
        </is>
      </c>
      <c r="D242" s="2" t="inlineStr">
        <is>
          <t>Hydride reduction of the t-butyl ester to the primary alcohol takes two H2-equivalents and releases t-butanol.</t>
        </is>
      </c>
      <c r="E242" s="2" t="n">
        <v>982</v>
      </c>
      <c r="F242" s="2" t="inlineStr">
        <is>
          <t>atom balance (starting materials + 2*[H][H] = product + by-products) holds in 2 of 2 recorded examples; reagent supplies 2*[H][H]</t>
        </is>
      </c>
    </row>
    <row r="243">
      <c r="A243" s="3" t="inlineStr">
        <is>
          <t>BrPBr.O</t>
        </is>
      </c>
      <c r="B243" s="3" t="inlineStr"/>
      <c r="C243" s="3" t="inlineStr">
        <is>
          <t>O=[PH](O)O.2*Br</t>
        </is>
      </c>
      <c r="D243" s="2" t="inlineStr">
        <is>
          <t>PBr3 converts the alcohol into the bromide; the phosphorus waste is hydrolysed on work-up to phosphorous acid and HBr.</t>
        </is>
      </c>
      <c r="E243" s="2" t="n">
        <v>901</v>
      </c>
      <c r="F243" s="2" t="inlineStr">
        <is>
          <t>atom balance (starting materials + BrP(Br)Br.2*O = product + by-products) holds in 6 of 6 recorded examples; reagent supplies BrP(Br)Br.2*O</t>
        </is>
      </c>
    </row>
    <row r="244">
      <c r="A244" s="3" t="inlineStr">
        <is>
          <t>C.Cl</t>
        </is>
      </c>
      <c r="B244" s="3" t="inlineStr"/>
      <c r="C244" s="3" t="inlineStr">
        <is>
          <t>CCl</t>
        </is>
      </c>
      <c r="D244" s="2" t="inlineStr">
        <is>
          <t>An N-/O-methyl group is cleaved by the acyl chloride/chloroformate (von Braun-type, Friedel-Crafts with demethylation, Arbuzov), releasing methyl chloride.</t>
        </is>
      </c>
      <c r="E244" s="2" t="n">
        <v>890</v>
      </c>
      <c r="F244" s="2" t="inlineStr">
        <is>
          <t>atom balance (starting materials + nothing = product + by-products) holds in 6 of 6 recorded examples</t>
        </is>
      </c>
    </row>
    <row r="245">
      <c r="A245" s="3" t="inlineStr">
        <is>
          <t>BrC(Br)Br.O</t>
        </is>
      </c>
      <c r="B245" s="3" t="inlineStr"/>
      <c r="C245" s="3" t="inlineStr">
        <is>
          <t>BrC(Br)Br.O=P(c1ccccc1)(c1ccccc1)c1ccccc1</t>
        </is>
      </c>
      <c r="D245" s="2" t="inlineStr">
        <is>
          <t>Appel reaction: PPh3/CBr4 converts the alcohol into the bromide, releasing bromoform and triphenylphosphine oxide.</t>
        </is>
      </c>
      <c r="E245" s="2" t="n">
        <v>880</v>
      </c>
      <c r="F245" s="2" t="inlineStr">
        <is>
          <t>atom balance (starting materials + c1ccc(P(c2ccccc2)c2ccccc2)cc1 = product + by-products) holds in 6 of 6 recorded examples; reagent supplies c1ccc(P(c2ccccc2)c2ccccc2)cc1</t>
        </is>
      </c>
    </row>
    <row r="246">
      <c r="A246" s="3" t="inlineStr">
        <is>
          <t>Br.CNC</t>
        </is>
      </c>
      <c r="B246" s="3" t="inlineStr">
        <is>
          <t>[Li][C](C)(C)C</t>
        </is>
      </c>
      <c r="C246" s="3" t="inlineStr">
        <is>
          <t>C=C(C)C.CC(C)C.[Li+].[Br-].CNC.[Li+].[OH-]</t>
        </is>
      </c>
      <c r="D246" s="2" t="inlineStr">
        <is>
          <t>Two t-BuLi exchange the bromide (giving isobutylene, isobutane and LiBr); DMF formylation and work-up release dimethylamine and LiOH.</t>
        </is>
      </c>
      <c r="E246" s="2" t="n">
        <v>866</v>
      </c>
      <c r="F246" s="2" t="inlineStr">
        <is>
          <t>atom balance (starting materials + 2*CC(C)(C)[Li].O = product + by-products) holds in 6 of 6 recorded examples; reagent supplies 2*CC(C)(C)[Li].O</t>
        </is>
      </c>
    </row>
    <row r="247">
      <c r="A247" s="3" t="inlineStr">
        <is>
          <t>Br.CNC</t>
        </is>
      </c>
      <c r="B247" s="3" t="inlineStr">
        <is>
          <t>[Mg]</t>
        </is>
      </c>
      <c r="C247" s="3" t="inlineStr">
        <is>
          <t>CNC.O[Mg]Br</t>
        </is>
      </c>
      <c r="D247" s="2" t="inlineStr">
        <is>
          <t>The Grignard reagent from the bromide is formylated by DMF; work-up releases dimethylamine and Mg(OH)Br.</t>
        </is>
      </c>
      <c r="E247" s="2" t="n">
        <v>866</v>
      </c>
      <c r="F247" s="2" t="inlineStr">
        <is>
          <t>atom balance (starting materials + [Mg].O = product + by-products) holds in 6 of 6 recorded examples; reagent supplies [Mg].O</t>
        </is>
      </c>
    </row>
    <row r="248">
      <c r="A248" s="3" t="inlineStr">
        <is>
          <t>Br.CNC</t>
        </is>
      </c>
      <c r="B248" s="3" t="inlineStr">
        <is>
          <t>CCN(CC)CC</t>
        </is>
      </c>
      <c r="C248" s="3" t="inlineStr">
        <is>
          <t>Br.CN(C)C=O</t>
        </is>
      </c>
      <c r="D248" s="2" t="inlineStr">
        <is>
          <t>Pd-catalysed carbonylation: CO inserts into the aryl-Pd bond and the alcohol, amine or water traps the acyl-palladium (ester, amide or acid); bromide leaves as HBr, taken up by Et3N. The DMF recorded as a starting material is the solvent and is returned.</t>
        </is>
      </c>
      <c r="E248" s="2" t="n">
        <v>866</v>
      </c>
      <c r="F248" s="2" t="inlineStr">
        <is>
          <t>atom balance (starting materials + [C-]#[O+] = product + by-products) holds in 6 of 6 recorded examples; reagent supplies [C-]#[O+]</t>
        </is>
      </c>
    </row>
    <row r="249">
      <c r="A249" s="3" t="inlineStr">
        <is>
          <t>OC(Cl)(Cl)Cl.OC(Cl)(Cl)Cl</t>
        </is>
      </c>
      <c r="B249" s="3" t="inlineStr"/>
      <c r="C249" s="3" t="inlineStr">
        <is>
          <t>2*O=C=O.6*Cl</t>
        </is>
      </c>
      <c r="D249" s="2" t="inlineStr">
        <is>
          <t>Triphosgene supplies one carbonyl; the other two phosgene-equivalents and the two N-H/O-H protons end as CO2 and HCl after aqueous work-up.</t>
        </is>
      </c>
      <c r="E249" s="2" t="n">
        <v>864</v>
      </c>
      <c r="F249" s="2" t="inlineStr">
        <is>
          <t>atom balance (starting materials + 2*O = product + by-products) holds in 6 of 6 recorded examples; reagent supplies 2*O</t>
        </is>
      </c>
    </row>
    <row r="250">
      <c r="A250" s="3" t="inlineStr">
        <is>
          <t>COC</t>
        </is>
      </c>
      <c r="B250" s="3" t="inlineStr"/>
      <c r="C250" s="3" t="inlineStr">
        <is>
          <t>C=O.CO</t>
        </is>
      </c>
      <c r="D250" s="2" t="inlineStr">
        <is>
          <t>Acid hydrolysis of the MOM group frees the OH/NH and releases formaldehyde and methanol.</t>
        </is>
      </c>
      <c r="E250" s="2" t="n">
        <v>819</v>
      </c>
      <c r="F250" s="2" t="inlineStr">
        <is>
          <t>atom balance (starting materials + O = product + by-products) holds in 6 of 6 recorded examples; reagent supplies O</t>
        </is>
      </c>
    </row>
    <row r="251">
      <c r="A251" s="3" t="inlineStr">
        <is>
          <t>CCO.CCO</t>
        </is>
      </c>
      <c r="B251" s="3" t="inlineStr"/>
      <c r="C251" s="3" t="inlineStr">
        <is>
          <t>2*CCO</t>
        </is>
      </c>
      <c r="D251" s="2" t="inlineStr">
        <is>
          <t>A diethyl acetal or orthoester cyclises/condenses (or an amidine forms from DMF-diethylacetal) releasing two ethanol.</t>
        </is>
      </c>
      <c r="E251" s="2" t="n">
        <v>816</v>
      </c>
      <c r="F251" s="2" t="inlineStr">
        <is>
          <t>atom balance (starting materials + nothing = product + by-products) holds in 5 of 6 recorded examples</t>
        </is>
      </c>
    </row>
    <row r="252">
      <c r="A252" s="3" t="inlineStr">
        <is>
          <t>CCO.CCO</t>
        </is>
      </c>
      <c r="B252" s="3" t="inlineStr">
        <is>
          <t>CC(C)[CH2][Al+][CH2]C(C)C</t>
        </is>
      </c>
      <c r="C252" s="3" t="inlineStr">
        <is>
          <t>2*CCO</t>
        </is>
      </c>
      <c r="D252" s="2" t="inlineStr">
        <is>
          <t>Hydride reduction of a diethyl diester to the diol takes four H2-equivalents and releases two ethanol.</t>
        </is>
      </c>
      <c r="E252" s="2" t="n">
        <v>816</v>
      </c>
      <c r="F252" s="2" t="inlineStr">
        <is>
          <t>atom balance (starting materials + 4*[H][H] = product + by-products) holds in 5 of 5 recorded examples; reagent supplies 4*[H][H]</t>
        </is>
      </c>
    </row>
    <row r="253">
      <c r="A253" s="3" t="inlineStr">
        <is>
          <t>CCO.CCO</t>
        </is>
      </c>
      <c r="B253" s="3" t="inlineStr">
        <is>
          <t>COCC[O][AlH2-][O]CCOC</t>
        </is>
      </c>
      <c r="C253" s="3" t="inlineStr">
        <is>
          <t>2*CCO</t>
        </is>
      </c>
      <c r="D253" s="2" t="inlineStr">
        <is>
          <t>Hydride reduction of a diethyl diester to the diol takes four H2-equivalents and releases two ethanol.</t>
        </is>
      </c>
      <c r="E253" s="2" t="n">
        <v>816</v>
      </c>
      <c r="F253" s="2" t="inlineStr">
        <is>
          <t>atom balance (starting materials + 4*[H][H] = product + by-products) holds in 1 of 1 recorded examples; reagent supplies 4*[H][H]</t>
        </is>
      </c>
    </row>
    <row r="254">
      <c r="A254" s="3" t="inlineStr">
        <is>
          <t>O=Cc1ccccc1</t>
        </is>
      </c>
      <c r="B254" s="3" t="inlineStr"/>
      <c r="C254" s="3" t="inlineStr">
        <is>
          <t>O=C(O)c1ccccc1</t>
        </is>
      </c>
      <c r="D254" s="2" t="inlineStr">
        <is>
          <t>Hydrolysis of the benzoate ester or benzamide releases benzoic acid (as benzoate).</t>
        </is>
      </c>
      <c r="E254" s="2" t="n">
        <v>811</v>
      </c>
      <c r="F254" s="2" t="inlineStr">
        <is>
          <t>atom balance (starting materials + O = product + by-products) holds in 6 of 6 recorded examples; reagent supplies O</t>
        </is>
      </c>
    </row>
    <row r="255">
      <c r="A255" s="3" t="inlineStr">
        <is>
          <t>O=Cc1ccccc1</t>
        </is>
      </c>
      <c r="B255" s="3" t="inlineStr">
        <is>
          <t>C[O-]</t>
        </is>
      </c>
      <c r="C255" s="3" t="inlineStr">
        <is>
          <t>COC(=O)c1ccccc1</t>
        </is>
      </c>
      <c r="D255" s="2" t="inlineStr">
        <is>
          <t>Methoxide/methanol removes the benzoyl group by transesterification, releasing methyl benzoate.</t>
        </is>
      </c>
      <c r="E255" s="2" t="n">
        <v>811</v>
      </c>
      <c r="F255" s="2" t="inlineStr">
        <is>
          <t>atom balance (starting materials + CO = product + by-products) holds in 5 of 6 recorded examples; reagent supplies CO</t>
        </is>
      </c>
    </row>
    <row r="256">
      <c r="A256" s="3" t="inlineStr">
        <is>
          <t>O=Cc1ccccc1</t>
        </is>
      </c>
      <c r="B256" s="3" t="inlineStr">
        <is>
          <t>N</t>
        </is>
      </c>
      <c r="C256" s="3" t="inlineStr">
        <is>
          <t>NC(=O)c1ccccc1</t>
        </is>
      </c>
      <c r="D256" s="2" t="inlineStr">
        <is>
          <t>Ammonia removes the benzoyl group as benzamide.</t>
        </is>
      </c>
      <c r="E256" s="2" t="n">
        <v>811</v>
      </c>
      <c r="F256" s="2" t="inlineStr">
        <is>
          <t>atom balance (starting materials + N = product + by-products) holds in 6 of 6 recorded examples; reagent supplies N</t>
        </is>
      </c>
    </row>
    <row r="257">
      <c r="A257" s="3" t="inlineStr">
        <is>
          <t>O=[SH](=O)O</t>
        </is>
      </c>
      <c r="B257" s="3" t="inlineStr">
        <is>
          <t>O=S(=O)(O)O</t>
        </is>
      </c>
      <c r="C257" s="3" t="inlineStr"/>
      <c r="D257" s="2" t="inlineStr">
        <is>
          <t>Acid-promoted hydration of the nitrile to the primary amide (H2SO4) adds one water and releases nothing.</t>
        </is>
      </c>
      <c r="E257" s="2" t="n">
        <v>792</v>
      </c>
      <c r="F257" s="2" t="inlineStr">
        <is>
          <t>atom balance (starting materials + O = product + by-products) holds in 6 of 6 recorded examples; reagent supplies O</t>
        </is>
      </c>
    </row>
    <row r="258">
      <c r="A258" s="3" t="inlineStr">
        <is>
          <t>CCN(CC)[SH](F)F.O</t>
        </is>
      </c>
      <c r="B258" s="3" t="inlineStr"/>
      <c r="C258" s="3" t="inlineStr">
        <is>
          <t>CCN(CC)S(=O)F.F</t>
        </is>
      </c>
      <c r="D258" s="2" t="inlineStr">
        <is>
          <t>DAST deoxyfluorination replaces OH by F, releasing diethylaminosulfinyl fluoride and HF.</t>
        </is>
      </c>
      <c r="E258" s="2" t="n">
        <v>783</v>
      </c>
      <c r="F258" s="2" t="inlineStr">
        <is>
          <t>atom balance (starting materials + nothing = product + by-products) holds in 6 of 6 recorded examples</t>
        </is>
      </c>
    </row>
    <row r="259">
      <c r="A259" s="3" t="inlineStr">
        <is>
          <t>Br.C.C=O</t>
        </is>
      </c>
      <c r="B259" s="3" t="inlineStr"/>
      <c r="C259" s="3" t="inlineStr">
        <is>
          <t>CN(C)C=O.[Br-]</t>
        </is>
      </c>
      <c r="D259" s="2" t="inlineStr">
        <is>
          <t>Pd-catalysed cyanation: cyanide from Zn(CN)2 replaces bromide; the DMF recorded as a starting material is only the solvent and is returned.</t>
        </is>
      </c>
      <c r="E259" s="2" t="n">
        <v>779</v>
      </c>
      <c r="F259" s="2" t="inlineStr">
        <is>
          <t>atom balance (starting materials + [C-]#N = product + by-products) holds in 6 of 6 recorded examples; reagent supplies [C-]#N</t>
        </is>
      </c>
    </row>
    <row r="260">
      <c r="A260" s="3" t="inlineStr">
        <is>
          <t>CNOC</t>
        </is>
      </c>
      <c r="B260" s="3" t="inlineStr">
        <is>
          <t>[H-]</t>
        </is>
      </c>
      <c r="C260" s="3" t="inlineStr">
        <is>
          <t>CNOC</t>
        </is>
      </c>
      <c r="D260" s="2" t="inlineStr">
        <is>
          <t>Hydride reduction of the Weinreb amide to the aldehyde (one H2-equivalent) releases N,O-dimethylhydroxylamine.</t>
        </is>
      </c>
      <c r="E260" s="2" t="n">
        <v>761</v>
      </c>
      <c r="F260" s="2" t="inlineStr">
        <is>
          <t>atom balance (starting materials + [H][H] = product + by-products) holds in 6 of 6 recorded examples; reagent supplies [H][H]</t>
        </is>
      </c>
    </row>
    <row r="261">
      <c r="A261" s="3" t="inlineStr">
        <is>
          <t>CNOC</t>
        </is>
      </c>
      <c r="B261" s="3" t="inlineStr">
        <is>
          <t>[Al+3]</t>
        </is>
      </c>
      <c r="C261" s="3" t="inlineStr">
        <is>
          <t>CNOC</t>
        </is>
      </c>
      <c r="D261" s="2" t="inlineStr">
        <is>
          <t>Hydride reduction of the Weinreb amide to the aldehyde (one H2-equivalent) releases N,O-dimethylhydroxylamine.</t>
        </is>
      </c>
      <c r="E261" s="2" t="n">
        <v>761</v>
      </c>
      <c r="F261" s="2" t="inlineStr">
        <is>
          <t>atom balance (starting materials + [H][H] = product + by-products) holds in 6 of 6 recorded examples; reagent supplies [H][H]</t>
        </is>
      </c>
    </row>
    <row r="262">
      <c r="A262" s="3" t="inlineStr">
        <is>
          <t>CNOC</t>
        </is>
      </c>
      <c r="B262" s="3" t="inlineStr">
        <is>
          <t>CC(C)[CH2][AlH][CH2]C(C)C</t>
        </is>
      </c>
      <c r="C262" s="3" t="inlineStr">
        <is>
          <t>CNOC</t>
        </is>
      </c>
      <c r="D262" s="2" t="inlineStr">
        <is>
          <t>Hydride reduction of the Weinreb amide to the aldehyde (one H2-equivalent) releases N,O-dimethylhydroxylamine.</t>
        </is>
      </c>
      <c r="E262" s="2" t="n">
        <v>761</v>
      </c>
      <c r="F262" s="2" t="inlineStr">
        <is>
          <t>atom balance (starting materials + [H][H] = product + by-products) holds in 6 of 6 recorded examples; reagent supplies [H][H]</t>
        </is>
      </c>
    </row>
    <row r="263">
      <c r="A263" s="3" t="inlineStr">
        <is>
          <t>CNOC</t>
        </is>
      </c>
      <c r="B263" s="3" t="inlineStr">
        <is>
          <t>CC(C)[CH2][Al+][CH2]C(C)C</t>
        </is>
      </c>
      <c r="C263" s="3" t="inlineStr">
        <is>
          <t>CNOC</t>
        </is>
      </c>
      <c r="D263" s="2" t="inlineStr">
        <is>
          <t>Hydride reduction of the Weinreb amide to the aldehyde (one H2-equivalent) releases N,O-dimethylhydroxylamine.</t>
        </is>
      </c>
      <c r="E263" s="2" t="n">
        <v>761</v>
      </c>
      <c r="F263" s="2" t="inlineStr">
        <is>
          <t>atom balance (starting materials + [H][H] = product + by-products) holds in 5 of 6 recorded examples; reagent supplies [H][H]</t>
        </is>
      </c>
    </row>
    <row r="264">
      <c r="A264" s="3" t="inlineStr">
        <is>
          <t>C[SH](=O)=O.O</t>
        </is>
      </c>
      <c r="B264" s="3" t="inlineStr"/>
      <c r="C264" s="3" t="inlineStr">
        <is>
          <t>CS(=O)(=O)O</t>
        </is>
      </c>
      <c r="D264" s="2" t="inlineStr">
        <is>
          <t>The mesylate (or MsCl) is displaced by the nucleophile or chloride and leaves as methanesulfonic acid, neutralised by the base.</t>
        </is>
      </c>
      <c r="E264" s="2" t="n">
        <v>752</v>
      </c>
      <c r="F264" s="2" t="inlineStr">
        <is>
          <t>atom balance (starting materials + nothing = product + by-products) holds in 6 of 6 recorded examples</t>
        </is>
      </c>
    </row>
    <row r="265">
      <c r="A265" s="3" t="inlineStr">
        <is>
          <t>O=[SH](=O)c1ccccc1</t>
        </is>
      </c>
      <c r="B265" s="3" t="inlineStr"/>
      <c r="C265" s="3" t="inlineStr">
        <is>
          <t>O=S(=O)(O)c1ccccc1</t>
        </is>
      </c>
      <c r="D265" s="2" t="inlineStr">
        <is>
          <t>Basic hydrolysis of the N-phenylsulfonyl group frees the NH and releases benzenesulfonic acid (as its salt).</t>
        </is>
      </c>
      <c r="E265" s="2" t="n">
        <v>747</v>
      </c>
      <c r="F265" s="2" t="inlineStr">
        <is>
          <t>atom balance (starting materials + O = product + by-products) holds in 6 of 6 recorded examples; reagent supplies O</t>
        </is>
      </c>
    </row>
    <row r="266">
      <c r="A266" s="3" t="inlineStr">
        <is>
          <t>O=[SH](=O)c1ccccc1</t>
        </is>
      </c>
      <c r="B266" s="3" t="inlineStr">
        <is>
          <t>[F-]</t>
        </is>
      </c>
      <c r="C266" s="3" t="inlineStr">
        <is>
          <t>O=S(=O)(F)c1ccccc1</t>
        </is>
      </c>
      <c r="D266" s="2" t="inlineStr">
        <is>
          <t>Fluoride (TBAF) attacks sulfur and removes the N-phenylsulfonyl group as benzenesulfonyl fluoride.</t>
        </is>
      </c>
      <c r="E266" s="2" t="n">
        <v>747</v>
      </c>
      <c r="F266" s="2" t="inlineStr">
        <is>
          <t>atom balance (starting materials + F = product + by-products) holds in 5 of 6 recorded examples; reagent supplies F</t>
        </is>
      </c>
    </row>
    <row r="267">
      <c r="A267" s="3" t="inlineStr">
        <is>
          <t>O=[SH](=O)c1ccccc1</t>
        </is>
      </c>
      <c r="B267" s="3" t="inlineStr">
        <is>
          <t>C[O][Na]</t>
        </is>
      </c>
      <c r="C267" s="3" t="inlineStr">
        <is>
          <t>COS(=O)(=O)c1ccccc1</t>
        </is>
      </c>
      <c r="D267" s="2" t="inlineStr">
        <is>
          <t>Sodium methoxide removes the N-phenylsulfonyl group by attack at sulfur, releasing methyl benzenesulfonate.</t>
        </is>
      </c>
      <c r="E267" s="2" t="n">
        <v>747</v>
      </c>
      <c r="F267" s="2" t="inlineStr">
        <is>
          <t>atom balance (starting materials + CO = product + by-products) holds in 1 of 1 recorded examples; reagent supplies CO</t>
        </is>
      </c>
    </row>
    <row r="268">
      <c r="A268" s="3" t="inlineStr">
        <is>
          <t>CC(C)(C)OC=O.Cl</t>
        </is>
      </c>
      <c r="B268" s="3" t="inlineStr"/>
      <c r="C268" s="3" t="inlineStr">
        <is>
          <t>Cl.O=C=O.C=C(C)C</t>
        </is>
      </c>
      <c r="D268" s="2" t="inlineStr">
        <is>
          <t>Sulfonylation/SNAr releases HCl and the Boc group is lost in the same sequence as CO2 and isobutylene.</t>
        </is>
      </c>
      <c r="E268" s="2" t="n">
        <v>722</v>
      </c>
      <c r="F268" s="2" t="inlineStr">
        <is>
          <t>atom balance (starting materials + nothing = product + by-products) holds in 6 of 6 recorded examples</t>
        </is>
      </c>
    </row>
    <row r="269">
      <c r="A269" s="3" t="inlineStr">
        <is>
          <t>[Mg][Cl]</t>
        </is>
      </c>
      <c r="B269" s="3" t="inlineStr">
        <is>
          <t>[NH4+]</t>
        </is>
      </c>
      <c r="C269" s="3" t="inlineStr">
        <is>
          <t>Cl[Mg]Cl.N</t>
        </is>
      </c>
      <c r="D269" s="2" t="inlineStr">
        <is>
          <t>Grignard (RMgCl) addition to a carbonyl followed by NH4Cl quench protonates the alkoxide, leaving magnesium chloride and ammonia.</t>
        </is>
      </c>
      <c r="E269" s="2" t="n">
        <v>696</v>
      </c>
      <c r="F269" s="2" t="inlineStr">
        <is>
          <t>atom balance (starting materials + [Cl-].[NH4+] = product + by-products) holds in 6 of 6 recorded examples; reagent supplies [Cl-].[NH4+]</t>
        </is>
      </c>
    </row>
    <row r="270">
      <c r="A270" s="3" t="inlineStr">
        <is>
          <t>[Mg][Cl]</t>
        </is>
      </c>
      <c r="B270" s="3" t="inlineStr"/>
      <c r="C270" s="3" t="inlineStr">
        <is>
          <t>O[Mg]Cl</t>
        </is>
      </c>
      <c r="D270" s="2" t="inlineStr">
        <is>
          <t>Grignard (RMgCl) addition to a carbonyl; aqueous work-up protonates the magnesium alkoxide, leaving Mg(OH)Cl.</t>
        </is>
      </c>
      <c r="E270" s="2" t="n">
        <v>696</v>
      </c>
      <c r="F270" s="2" t="inlineStr">
        <is>
          <t>atom balance (starting materials + O = product + by-products) holds in 6 of 6 recorded examples; reagent supplies O</t>
        </is>
      </c>
    </row>
    <row r="271">
      <c r="A271" s="3" t="inlineStr">
        <is>
          <t>O=[N+][O-]</t>
        </is>
      </c>
      <c r="B271" s="3" t="inlineStr"/>
      <c r="C271" s="3" t="inlineStr">
        <is>
          <t>O=NO</t>
        </is>
      </c>
      <c r="D271" s="2" t="inlineStr">
        <is>
          <t>SNAr displacement of an activated aromatic nitro group releases nitrite (HNO2, as its salt with the base).</t>
        </is>
      </c>
      <c r="E271" s="2" t="n">
        <v>694</v>
      </c>
      <c r="F271" s="2" t="inlineStr">
        <is>
          <t>atom balance (starting materials + nothing = product + by-products) holds in 6 of 6 recorded examples</t>
        </is>
      </c>
    </row>
    <row r="272">
      <c r="A272" s="3" t="inlineStr">
        <is>
          <t>COc1ccc(C)cc1.Cl</t>
        </is>
      </c>
      <c r="B272" s="3" t="inlineStr"/>
      <c r="C272" s="3" t="inlineStr">
        <is>
          <t>COc1ccc(CCl)cc1</t>
        </is>
      </c>
      <c r="D272" s="2" t="inlineStr">
        <is>
          <t>SNAr releases HCl, and the N/O-PMB group is removed by strong acid in the same sequence (e.g. HCl or TFA with heating); the 4-methoxybenzyl cation is captured by chloride as 4-methoxybenzyl chloride.</t>
        </is>
      </c>
      <c r="E272" s="2" t="n">
        <v>686</v>
      </c>
      <c r="F272" s="2" t="inlineStr">
        <is>
          <t>atom balance (starting materials + nothing = product + by-products) holds in 6 of 6 recorded examples</t>
        </is>
      </c>
    </row>
    <row r="273">
      <c r="A273" s="3" t="inlineStr">
        <is>
          <t>COC=O</t>
        </is>
      </c>
      <c r="B273" s="3" t="inlineStr">
        <is>
          <t>N</t>
        </is>
      </c>
      <c r="C273" s="3" t="inlineStr">
        <is>
          <t>COC(N)=O</t>
        </is>
      </c>
      <c r="D273" s="2" t="inlineStr">
        <is>
          <t>Ammonia cleaves an N/O-methoxycarbonyl group by aminolysis, releasing methyl carbamate.</t>
        </is>
      </c>
      <c r="E273" s="2" t="n">
        <v>684</v>
      </c>
      <c r="F273" s="2" t="inlineStr">
        <is>
          <t>atom balance (starting materials + N = product + by-products) holds in 5 of 6 recorded examples; reagent supplies N</t>
        </is>
      </c>
    </row>
    <row r="274">
      <c r="A274" s="3" t="inlineStr">
        <is>
          <t>COC=O</t>
        </is>
      </c>
      <c r="B274" s="3" t="inlineStr">
        <is>
          <t>Br</t>
        </is>
      </c>
      <c r="C274" s="3" t="inlineStr">
        <is>
          <t>O=C=O.CBr</t>
        </is>
      </c>
      <c r="D274" s="2" t="inlineStr">
        <is>
          <t>HBr cleaves a methyl carbamate/ester: bromide dealkylates the methyl (MeBr) and the carbamic/beta-keto acid loses CO2.</t>
        </is>
      </c>
      <c r="E274" s="2" t="n">
        <v>684</v>
      </c>
      <c r="F274" s="2" t="inlineStr">
        <is>
          <t>atom balance (starting materials + Br = product + by-products) holds in 6 of 6 recorded examples; reagent supplies Br</t>
        </is>
      </c>
    </row>
    <row r="275">
      <c r="A275" s="3" t="inlineStr">
        <is>
          <t>COC=O</t>
        </is>
      </c>
      <c r="B275" s="3" t="inlineStr"/>
      <c r="C275" s="3" t="inlineStr">
        <is>
          <t>O=C=O.CO</t>
        </is>
      </c>
      <c r="D275" s="2" t="inlineStr">
        <is>
          <t>Hydrolysis and decarboxylation (or Krapcho dealkoxycarbonylation) of a methoxycarbonyl group releases CO2 and methanol.</t>
        </is>
      </c>
      <c r="E275" s="2" t="n">
        <v>684</v>
      </c>
      <c r="F275" s="2" t="inlineStr">
        <is>
          <t>atom balance (starting materials + O = product + by-products) holds in 6 of 6 recorded examples; reagent supplies O</t>
        </is>
      </c>
    </row>
    <row r="276">
      <c r="A276" s="3" t="inlineStr">
        <is>
          <t>C.CO</t>
        </is>
      </c>
      <c r="B276" s="3" t="inlineStr"/>
      <c r="C276" s="3" t="inlineStr">
        <is>
          <t>2*CO</t>
        </is>
      </c>
      <c r="D276" s="2" t="inlineStr">
        <is>
          <t>Acid hydrolysis of a dimethyl acetal/ketal regenerates the carbonyl and releases two methanol.</t>
        </is>
      </c>
      <c r="E276" s="2" t="n">
        <v>664</v>
      </c>
      <c r="F276" s="2" t="inlineStr">
        <is>
          <t>atom balance (starting materials + O = product + by-products) holds in 6 of 6 recorded examples; reagent supplies O</t>
        </is>
      </c>
    </row>
    <row r="277">
      <c r="A277" s="3" t="inlineStr">
        <is>
          <t>O.c1ccc(P(c2ccccc2)c2ccccc2)cc1</t>
        </is>
      </c>
      <c r="B277" s="3" t="inlineStr"/>
      <c r="C277" s="3" t="inlineStr">
        <is>
          <t>O=P(c1ccccc1)(c1ccccc1)c1ccccc1</t>
        </is>
      </c>
      <c r="D277" s="2" t="inlineStr">
        <is>
          <t>Wittig olefination with a stabilised phosphorane releases triphenylphosphine oxide.</t>
        </is>
      </c>
      <c r="E277" s="2" t="n">
        <v>648</v>
      </c>
      <c r="F277" s="2" t="inlineStr">
        <is>
          <t>atom balance (starting materials + nothing = product + by-products) holds in 6 of 6 recorded examples</t>
        </is>
      </c>
    </row>
    <row r="278">
      <c r="A278" s="3" t="inlineStr">
        <is>
          <t>O.O=C1CCC(=O)N1</t>
        </is>
      </c>
      <c r="B278" s="3" t="inlineStr">
        <is>
          <t>c1ccc(P(c2ccccc2)c2ccccc2)cc1</t>
        </is>
      </c>
      <c r="C278" s="3" t="inlineStr">
        <is>
          <t>O=C1CCC(=O)N1.O=P(c1ccccc1)(c1ccccc1)c1ccccc1</t>
        </is>
      </c>
      <c r="D278" s="2" t="inlineStr">
        <is>
          <t>Appel-type bromination with NBS/PPh3 converts the alcohol to the bromide, releasing succinimide and triphenylphosphine oxide.</t>
        </is>
      </c>
      <c r="E278" s="2" t="n">
        <v>647</v>
      </c>
      <c r="F278" s="2" t="inlineStr">
        <is>
          <t>atom balance (starting materials + c1ccc(P(c2ccccc2)c2ccccc2)cc1 = product + by-products) holds in 6 of 6 recorded examples; reagent supplies c1ccc(P(c2ccccc2)c2ccccc2)cc1</t>
        </is>
      </c>
    </row>
    <row r="279">
      <c r="A279" s="3" t="inlineStr">
        <is>
          <t>O.O=C1CCC(=O)N1</t>
        </is>
      </c>
      <c r="B279" s="3" t="inlineStr"/>
      <c r="C279" s="3" t="inlineStr">
        <is>
          <t>O=C1CCC(=O)N1O</t>
        </is>
      </c>
      <c r="D279" s="2" t="inlineStr">
        <is>
          <t>Aminolysis of an N-hydroxysuccinimide (NHS) ester or carbonate releases N-hydroxysuccinimide.</t>
        </is>
      </c>
      <c r="E279" s="2" t="n">
        <v>647</v>
      </c>
      <c r="F279" s="2" t="inlineStr">
        <is>
          <t>atom balance (starting materials + nothing = product + by-products) holds in 6 of 6 recorded examples</t>
        </is>
      </c>
    </row>
    <row r="280">
      <c r="A280" s="3" t="inlineStr">
        <is>
          <t>COS(=O)(=O)O</t>
        </is>
      </c>
      <c r="B280" s="3" t="inlineStr"/>
      <c r="C280" s="3" t="inlineStr">
        <is>
          <t>COS(=O)(=O)O</t>
        </is>
      </c>
      <c r="D280" s="2" t="inlineStr">
        <is>
          <t>Methylation with dimethyl sulfate releases methyl hydrogen sulfate (as methylsulfate salt with the base).</t>
        </is>
      </c>
      <c r="E280" s="2" t="n">
        <v>646</v>
      </c>
      <c r="F280" s="2" t="inlineStr">
        <is>
          <t>atom balance (starting materials + nothing = product + by-products) holds in 5 of 6 recorded examples</t>
        </is>
      </c>
    </row>
    <row r="281">
      <c r="A281" s="3" t="inlineStr">
        <is>
          <t>CCO.CCO.CCO</t>
        </is>
      </c>
      <c r="B281" s="3" t="inlineStr"/>
      <c r="C281" s="3" t="inlineStr">
        <is>
          <t>3*CCO</t>
        </is>
      </c>
      <c r="D281" s="2" t="inlineStr">
        <is>
          <t>Condensation/cyclisation with triethyl orthoformate releases three ethanol.</t>
        </is>
      </c>
      <c r="E281" s="2" t="n">
        <v>642</v>
      </c>
      <c r="F281" s="2" t="inlineStr">
        <is>
          <t>atom balance (starting materials + nothing = product + by-products) holds in 5 of 6 recorded examples</t>
        </is>
      </c>
    </row>
    <row r="282">
      <c r="A282" s="3" t="inlineStr">
        <is>
          <t>O.O=CO</t>
        </is>
      </c>
      <c r="B282" s="3" t="inlineStr"/>
      <c r="C282" s="3" t="inlineStr">
        <is>
          <t>O=C=O.O</t>
        </is>
      </c>
      <c r="D282" s="2" t="inlineStr">
        <is>
          <t>Knoevenagel-Doebner condensation with a malonic acid half (decarboxylative) releases CO2 and water.</t>
        </is>
      </c>
      <c r="E282" s="2" t="n">
        <v>638</v>
      </c>
      <c r="F282" s="2" t="inlineStr">
        <is>
          <t>atom balance (starting materials + nothing = product + by-products) holds in 5 of 6 recorded examples</t>
        </is>
      </c>
    </row>
    <row r="283">
      <c r="A283" s="3" t="inlineStr">
        <is>
          <t>Br.C</t>
        </is>
      </c>
      <c r="B283" s="3" t="inlineStr">
        <is>
          <t>O=C([O-])[O-]</t>
        </is>
      </c>
      <c r="C283" s="3" t="inlineStr">
        <is>
          <t>Br.CO</t>
        </is>
      </c>
      <c r="D283" s="2" t="inlineStr">
        <is>
          <t>Alkylation with methyl bromoacetate releases HBr (as the carbonate salt) and the ester is hydrolysed on work-up, releasing methanol.</t>
        </is>
      </c>
      <c r="E283" s="2" t="n">
        <v>637</v>
      </c>
      <c r="F283" s="2" t="inlineStr">
        <is>
          <t>atom balance (starting materials + O = product + by-products) holds in 5 of 6 recorded examples; reagent supplies O</t>
        </is>
      </c>
    </row>
    <row r="284">
      <c r="A284" s="3" t="inlineStr">
        <is>
          <t>Br.C</t>
        </is>
      </c>
      <c r="B284" s="3" t="inlineStr">
        <is>
          <t>[H-]</t>
        </is>
      </c>
      <c r="C284" s="3" t="inlineStr">
        <is>
          <t>Br.CO</t>
        </is>
      </c>
      <c r="D284" s="2" t="inlineStr">
        <is>
          <t>NaH-mediated alkylation releases HBr (NaBr + H2) and the methyl ester is hydrolysed, releasing methanol.</t>
        </is>
      </c>
      <c r="E284" s="2" t="n">
        <v>637</v>
      </c>
      <c r="F284" s="2" t="inlineStr">
        <is>
          <t>atom balance (starting materials + O = product + by-products) holds in 6 of 6 recorded examples; reagent supplies O</t>
        </is>
      </c>
    </row>
    <row r="285">
      <c r="A285" s="3" t="inlineStr">
        <is>
          <t>Br.C</t>
        </is>
      </c>
      <c r="B285" s="3" t="inlineStr"/>
      <c r="C285" s="3" t="inlineStr">
        <is>
          <t>CBr</t>
        </is>
      </c>
      <c r="D285" s="2" t="inlineStr">
        <is>
          <t>Michaelis-Arbuzov reaction of trimethyl phosphite with an alkyl bromide (or N-alkylation of a 2-methoxypyridine by an alkyl bromide, with bromide O-demethylating the pyridinium salt to the N-alkyl-2-pyridone) releases methyl bromide.</t>
        </is>
      </c>
      <c r="E285" s="2" t="n">
        <v>637</v>
      </c>
      <c r="F285" s="2" t="inlineStr">
        <is>
          <t>atom balance (starting materials + nothing = product + by-products) holds in 6 of 6 recorded examples</t>
        </is>
      </c>
    </row>
    <row r="286">
      <c r="A286" s="3" t="inlineStr">
        <is>
          <t>Br.CNOC</t>
        </is>
      </c>
      <c r="B286" s="3" t="inlineStr">
        <is>
          <t>C[CH](C)[Mg][Cl]</t>
        </is>
      </c>
      <c r="C286" s="3" t="inlineStr">
        <is>
          <t>CC(C)Br.CNOC.O[Mg]Cl</t>
        </is>
      </c>
      <c r="D286" s="2" t="inlineStr">
        <is>
          <t>Br/Mg exchange with iPrMgCl (giving iPrBr), addition to the Weinreb amide and aqueous work-up release N,O-dimethylhydroxylamine and Mg(OH)Cl.</t>
        </is>
      </c>
      <c r="E286" s="2" t="n">
        <v>611</v>
      </c>
      <c r="F286" s="2" t="inlineStr">
        <is>
          <t>atom balance (starting materials + CC(C)[Mg]Cl.O = product + by-products) holds in 6 of 6 recorded examples; reagent supplies CC(C)[Mg]Cl.O</t>
        </is>
      </c>
    </row>
    <row r="287">
      <c r="A287" s="3" t="inlineStr">
        <is>
          <t>Br.CNOC</t>
        </is>
      </c>
      <c r="B287" s="3" t="inlineStr">
        <is>
          <t>[Li][C](C)(C)C</t>
        </is>
      </c>
      <c r="C287" s="3" t="inlineStr">
        <is>
          <t>[Li]Br.CC(C)C.C=C(C)C.CNOC.[Li]O</t>
        </is>
      </c>
      <c r="D287" s="2" t="inlineStr">
        <is>
          <t>Br/Li exchange with two tBuLi (giving LiBr, isobutane, isobutene), addition to the Weinreb amide and work-up release N,O-dimethylhydroxylamine.</t>
        </is>
      </c>
      <c r="E287" s="2" t="n">
        <v>611</v>
      </c>
      <c r="F287" s="2" t="inlineStr">
        <is>
          <t>atom balance (starting materials + 2*[Li]C(C)(C)C.O = product + by-products) holds in 6 of 6 recorded examples; reagent supplies 2*[Li]C(C)(C)C.O</t>
        </is>
      </c>
    </row>
    <row r="288">
      <c r="A288" s="3" t="inlineStr">
        <is>
          <t>Br.CNOC</t>
        </is>
      </c>
      <c r="B288" s="3" t="inlineStr"/>
      <c r="C288" s="3" t="inlineStr">
        <is>
          <t>CCCCBr.CNOC.[Li]O</t>
        </is>
      </c>
      <c r="D288" s="2" t="inlineStr">
        <is>
          <t>Br/Li exchange with n-BuLi (giving n-BuBr), addition of the aryllithium to the Weinreb amide and aqueous work-up release N,O-dimethylhydroxylamine.</t>
        </is>
      </c>
      <c r="E288" s="2" t="n">
        <v>611</v>
      </c>
      <c r="F288" s="2" t="inlineStr">
        <is>
          <t>atom balance (starting materials + [Li]CCCC.O = product + by-products) holds in 6 of 6 recorded examples; reagent supplies [Li]CCCC.O</t>
        </is>
      </c>
    </row>
    <row r="289">
      <c r="A289" s="3" t="inlineStr">
        <is>
          <t>Br.CC</t>
        </is>
      </c>
      <c r="B289" s="3" t="inlineStr">
        <is>
          <t>[OH-]</t>
        </is>
      </c>
      <c r="C289" s="3" t="inlineStr">
        <is>
          <t>Br.CCO</t>
        </is>
      </c>
      <c r="D289" s="2" t="inlineStr">
        <is>
          <t>Alkylation with ethyl bromoacetate releases HBr and the ethyl ester is saponified, releasing ethanol.</t>
        </is>
      </c>
      <c r="E289" s="2" t="n">
        <v>607</v>
      </c>
      <c r="F289" s="2" t="inlineStr">
        <is>
          <t>atom balance (starting materials + O = product + by-products) holds in 6 of 6 recorded examples; reagent supplies O</t>
        </is>
      </c>
    </row>
    <row r="290">
      <c r="A290" s="3" t="inlineStr">
        <is>
          <t>Br.CC</t>
        </is>
      </c>
      <c r="B290" s="3" t="inlineStr">
        <is>
          <t>O=C([O-])[O-]</t>
        </is>
      </c>
      <c r="C290" s="3" t="inlineStr">
        <is>
          <t>Br.CCO</t>
        </is>
      </c>
      <c r="D290" s="2" t="inlineStr">
        <is>
          <t>Alkylation with ethyl bromoacetate releases HBr (as the carbonate salt) and the ester is hydrolysed, releasing ethanol.</t>
        </is>
      </c>
      <c r="E290" s="2" t="n">
        <v>607</v>
      </c>
      <c r="F290" s="2" t="inlineStr">
        <is>
          <t>atom balance (starting materials + O = product + by-products) holds in 6 of 6 recorded examples; reagent supplies O</t>
        </is>
      </c>
    </row>
    <row r="291">
      <c r="A291" s="3" t="inlineStr">
        <is>
          <t>Br.CC</t>
        </is>
      </c>
      <c r="B291" s="3" t="inlineStr">
        <is>
          <t>[H-]</t>
        </is>
      </c>
      <c r="C291" s="3" t="inlineStr">
        <is>
          <t>Br.CCO</t>
        </is>
      </c>
      <c r="D291" s="2" t="inlineStr">
        <is>
          <t>NaH-mediated alkylation with ethyl bromoacetate releases HBr and the ester is hydrolysed, releasing ethanol.</t>
        </is>
      </c>
      <c r="E291" s="2" t="n">
        <v>607</v>
      </c>
      <c r="F291" s="2" t="inlineStr">
        <is>
          <t>atom balance (starting materials + O = product + by-products) holds in 6 of 6 recorded examples; reagent supplies O</t>
        </is>
      </c>
    </row>
    <row r="292">
      <c r="A292" s="3" t="inlineStr">
        <is>
          <t>Br.CC</t>
        </is>
      </c>
      <c r="B292" s="3" t="inlineStr"/>
      <c r="C292" s="3" t="inlineStr">
        <is>
          <t>CCBr</t>
        </is>
      </c>
      <c r="D292" s="2" t="inlineStr">
        <is>
          <t>Michaelis-Arbuzov reaction of triethyl phosphite with an alkyl bromide releases ethyl bromide.</t>
        </is>
      </c>
      <c r="E292" s="2" t="n">
        <v>607</v>
      </c>
      <c r="F292" s="2" t="inlineStr">
        <is>
          <t>atom balance (starting materials + nothing = product + by-products) holds in 6 of 6 recorded examples</t>
        </is>
      </c>
    </row>
    <row r="293">
      <c r="A293" s="3" t="inlineStr">
        <is>
          <t>C.CC(=O)O[BH-](O)OC(C)=O.O</t>
        </is>
      </c>
      <c r="B293" s="3" t="inlineStr"/>
      <c r="C293" s="3" t="inlineStr">
        <is>
          <t>CC(=O)O[B-](O)(OC(C)=O)OC(C)=O</t>
        </is>
      </c>
      <c r="D293" s="2" t="inlineStr">
        <is>
          <t>Reductive N-methylation with formaldehyde and NaBH(OAc)3: iminium formation releases hydroxide and hydride transfer leaves B(OAc)3, i.e. hydroxytriacetoxyborate (boric acid and acetate after work-up).</t>
        </is>
      </c>
      <c r="E293" s="2" t="n">
        <v>596</v>
      </c>
      <c r="F293" s="2" t="inlineStr">
        <is>
          <t>atom balance (starting materials + C=O = product + by-products) holds in 6 of 6 recorded examples; reagent supplies C=O</t>
        </is>
      </c>
    </row>
    <row r="294">
      <c r="A294" s="3" t="inlineStr">
        <is>
          <t>CNOC.[Mg][Br]</t>
        </is>
      </c>
      <c r="B294" s="3" t="inlineStr">
        <is>
          <t>[NH4+]</t>
        </is>
      </c>
      <c r="C294" s="3" t="inlineStr">
        <is>
          <t>CNOC.Cl[Mg]Br.N</t>
        </is>
      </c>
      <c r="D294" s="2" t="inlineStr">
        <is>
          <t>Grignard addition to a Weinreb amide and NH4Cl quench give the ketone, N,O-dimethylhydroxylamine, magnesium halide and ammonia.</t>
        </is>
      </c>
      <c r="E294" s="2" t="n">
        <v>594</v>
      </c>
      <c r="F294" s="2" t="inlineStr">
        <is>
          <t>atom balance (starting materials + [Cl-].[NH4+] = product + by-products) holds in 5 of 6 recorded examples; reagent supplies [Cl-].[NH4+]</t>
        </is>
      </c>
    </row>
    <row r="295">
      <c r="A295" s="3" t="inlineStr">
        <is>
          <t>CNOC.[Mg][Br]</t>
        </is>
      </c>
      <c r="B295" s="3" t="inlineStr"/>
      <c r="C295" s="3" t="inlineStr">
        <is>
          <t>CNOC.O[Mg]Br</t>
        </is>
      </c>
      <c r="D295" s="2" t="inlineStr">
        <is>
          <t>Grignard addition to a Weinreb amide and aqueous work-up give the ketone, N,O-dimethylhydroxylamine and Mg(OH)Br.</t>
        </is>
      </c>
      <c r="E295" s="2" t="n">
        <v>594</v>
      </c>
      <c r="F295" s="2" t="inlineStr">
        <is>
          <t>atom balance (starting materials + O = product + by-products) holds in 6 of 6 recorded examples; reagent supplies O</t>
        </is>
      </c>
    </row>
    <row r="296">
      <c r="A296" s="3" t="inlineStr">
        <is>
          <t>Br.[Cu]</t>
        </is>
      </c>
      <c r="B296" s="3" t="inlineStr"/>
      <c r="C296" s="3" t="inlineStr">
        <is>
          <t>Br[Cu]</t>
        </is>
      </c>
      <c r="D296" s="2" t="inlineStr">
        <is>
          <t>Rosenmund-von Braun cyanation of an aryl bromide with CuCN releases copper(I) bromide.</t>
        </is>
      </c>
      <c r="E296" s="2" t="n">
        <v>584</v>
      </c>
      <c r="F296" s="2" t="inlineStr">
        <is>
          <t>atom balance (starting materials + nothing = product + by-products) holds in 6 of 6 recorded examples</t>
        </is>
      </c>
    </row>
    <row r="297">
      <c r="A297" s="3" t="inlineStr">
        <is>
          <t>O.O=[SH](=O)C(F)(F)F</t>
        </is>
      </c>
      <c r="B297" s="3" t="inlineStr"/>
      <c r="C297" s="3" t="inlineStr">
        <is>
          <t>O=S(=O)(O)C(F)(F)F</t>
        </is>
      </c>
      <c r="D297" s="2" t="inlineStr">
        <is>
          <t>Triflation (or triflamide formation) with triflic anhydride releases triflic acid, taken up by the amine base.</t>
        </is>
      </c>
      <c r="E297" s="2" t="n">
        <v>584</v>
      </c>
      <c r="F297" s="2" t="inlineStr">
        <is>
          <t>atom balance (starting materials + nothing = product + by-products) holds in 6 of 6 recorded examples</t>
        </is>
      </c>
    </row>
    <row r="298">
      <c r="A298" s="3" t="inlineStr">
        <is>
          <t>Cc1ccccc1.Cc1ccccc1</t>
        </is>
      </c>
      <c r="B298" s="3" t="inlineStr"/>
      <c r="C298" s="3" t="inlineStr">
        <is>
          <t>2*Cc1ccccc1</t>
        </is>
      </c>
      <c r="D298" s="2" t="inlineStr">
        <is>
          <t>Hydrogenolysis of two benzyl groups (N,N-dibenzyl or two O-benzyl ethers) over Pd releases two toluene.</t>
        </is>
      </c>
      <c r="E298" s="2" t="n">
        <v>583</v>
      </c>
      <c r="F298" s="2" t="inlineStr">
        <is>
          <t>atom balance (starting materials + 2*[H][H] = product + by-products) holds in 6 of 6 recorded examples; reagent supplies 2*[H][H]</t>
        </is>
      </c>
    </row>
    <row r="299">
      <c r="A299" s="3" t="inlineStr">
        <is>
          <t>C=CC</t>
        </is>
      </c>
      <c r="B299" s="3" t="inlineStr">
        <is>
          <t>C1COCCN1</t>
        </is>
      </c>
      <c r="C299" s="3" t="inlineStr">
        <is>
          <t>C=CCN1CCOCC1</t>
        </is>
      </c>
      <c r="D299" s="2" t="inlineStr">
        <is>
          <t>Pd(0)-catalysed deallylation with morpholine as allyl scavenger releases N-allylmorpholine.</t>
        </is>
      </c>
      <c r="E299" s="2" t="n">
        <v>581</v>
      </c>
      <c r="F299" s="2" t="inlineStr">
        <is>
          <t>atom balance (starting materials + C1COCCN1 = product + by-products) holds in 6 of 6 recorded examples; reagent supplies C1COCCN1</t>
        </is>
      </c>
    </row>
    <row r="300">
      <c r="A300" s="3" t="inlineStr">
        <is>
          <t>C=CC</t>
        </is>
      </c>
      <c r="B300" s="3" t="inlineStr">
        <is>
          <t>CN1C(=O)CC(=O)N(C)C1=O</t>
        </is>
      </c>
      <c r="C300" s="3" t="inlineStr">
        <is>
          <t>C=CCC1C(=O)N(C)C(=O)N(C)C1=O</t>
        </is>
      </c>
      <c r="D300" s="2" t="inlineStr">
        <is>
          <t>Pd(0)-catalysed deallylation with N,N-dimethylbarbituric acid as scavenger releases 5-allyl-1,3-dimethylbarbituric acid.</t>
        </is>
      </c>
      <c r="E300" s="2" t="n">
        <v>581</v>
      </c>
      <c r="F300" s="2" t="inlineStr">
        <is>
          <t>atom balance (starting materials + CN1C(=O)CC(=O)N(C)C1=O = product + by-products) holds in 6 of 6 recorded examples; reagent supplies CN1C(=O)CC(=O)N(C)C1=O</t>
        </is>
      </c>
    </row>
    <row r="301">
      <c r="A301" s="3" t="inlineStr">
        <is>
          <t>C=CC</t>
        </is>
      </c>
      <c r="B301" s="3" t="inlineStr">
        <is>
          <t>O=CO</t>
        </is>
      </c>
      <c r="C301" s="3" t="inlineStr">
        <is>
          <t>C=CC.O=C=O</t>
        </is>
      </c>
      <c r="D301" s="2" t="inlineStr">
        <is>
          <t>Pd-catalysed deallylation with formic acid as hydride source releases propene and CO2.</t>
        </is>
      </c>
      <c r="E301" s="2" t="n">
        <v>581</v>
      </c>
      <c r="F301" s="2" t="inlineStr">
        <is>
          <t>atom balance (starting materials + O=CO = product + by-products) holds in 6 of 6 recorded examples; reagent supplies O=CO</t>
        </is>
      </c>
    </row>
    <row r="302">
      <c r="A302" s="3" t="inlineStr">
        <is>
          <t>C=CC</t>
        </is>
      </c>
      <c r="B302" s="3" t="inlineStr">
        <is>
          <t>[SiH3]c1ccccc1</t>
        </is>
      </c>
      <c r="C302" s="3" t="inlineStr">
        <is>
          <t>C=CC.O[SiH2]c1ccccc1</t>
        </is>
      </c>
      <c r="D302" s="2" t="inlineStr">
        <is>
          <t>Pd(0)/phenylsilane deallylation reduces the allyl group to propene; the silane ends as phenylsilanol after work-up.</t>
        </is>
      </c>
      <c r="E302" s="2" t="n">
        <v>581</v>
      </c>
      <c r="F302" s="2" t="inlineStr">
        <is>
          <t>atom balance (starting materials + [SiH3]c1ccccc1.O = product + by-products) holds in 6 of 6 recorded examples; reagent supplies [SiH3]c1ccccc1.O</t>
        </is>
      </c>
    </row>
    <row r="303">
      <c r="A303" s="3" t="inlineStr">
        <is>
          <t>C=CC</t>
        </is>
      </c>
      <c r="B303" s="3" t="inlineStr"/>
      <c r="C303" s="3" t="inlineStr">
        <is>
          <t>C=CCO</t>
        </is>
      </c>
      <c r="D303" s="2" t="inlineStr">
        <is>
          <t>Hydrolysis of an allyl ester (or isopropenyl/allyl group) releases allyl alcohol (acetone, same formula, from an N-isopropenyl group).</t>
        </is>
      </c>
      <c r="E303" s="2" t="n">
        <v>581</v>
      </c>
      <c r="F303" s="2" t="inlineStr">
        <is>
          <t>atom balance (starting materials + O = product + by-products) holds in 6 of 6 recorded examples; reagent supplies O</t>
        </is>
      </c>
    </row>
    <row r="304">
      <c r="A304" s="3" t="inlineStr">
        <is>
          <t>O=[SH](=O)Cl</t>
        </is>
      </c>
      <c r="B304" s="3" t="inlineStr">
        <is>
          <t>O=S(=O)(Cl)Cl</t>
        </is>
      </c>
      <c r="C304" s="3" t="inlineStr">
        <is>
          <t>O=S=O.Cl</t>
        </is>
      </c>
      <c r="D304" s="2" t="inlineStr">
        <is>
          <t>Chlorination of an activated C-H (or S-H) with sulfuryl chloride releases SO2 and HCl.</t>
        </is>
      </c>
      <c r="E304" s="2" t="n">
        <v>578</v>
      </c>
      <c r="F304" s="2" t="inlineStr">
        <is>
          <t>atom balance (starting materials + O=S(=O)(Cl)Cl = product + by-products) holds in 6 of 6 recorded examples; reagent supplies O=S(=O)(Cl)Cl</t>
        </is>
      </c>
    </row>
    <row r="305">
      <c r="A305" s="3" t="inlineStr">
        <is>
          <t>C[SiH](C)C=[N+]=[N-]</t>
        </is>
      </c>
      <c r="B305" s="3" t="inlineStr"/>
      <c r="C305" s="3" t="inlineStr">
        <is>
          <t>N#N.CO[Si](C)(C)C</t>
        </is>
      </c>
      <c r="D305" s="2" t="inlineStr">
        <is>
          <t>TMS-diazomethane methylation (with methanol present) gives the methyl ester/ether and releases N2 and methoxytrimethylsilane.</t>
        </is>
      </c>
      <c r="E305" s="2" t="n">
        <v>559</v>
      </c>
      <c r="F305" s="2" t="inlineStr">
        <is>
          <t>atom balance (starting materials + CO = product + by-products) holds in 6 of 6 recorded examples; reagent supplies CO</t>
        </is>
      </c>
    </row>
    <row r="306">
      <c r="A306" s="3" t="inlineStr">
        <is>
          <t>C[SiH](C)C.O</t>
        </is>
      </c>
      <c r="B306" s="3" t="inlineStr"/>
      <c r="C306" s="3" t="inlineStr">
        <is>
          <t>C[Si](C)(C)O</t>
        </is>
      </c>
      <c r="D306" s="2" t="inlineStr">
        <is>
          <t>In Strecker reactions with TMSCN (and other TMS-X transfers to an O-bearing substrate) the silyl group captures the released oxygen, leaving trimethylsilanol (hexamethyldisiloxane after work-up).</t>
        </is>
      </c>
      <c r="E306" s="2" t="n">
        <v>547</v>
      </c>
      <c r="F306" s="2" t="inlineStr">
        <is>
          <t>atom balance (starting materials + nothing = product + by-products) holds in 6 of 6 recorded examples</t>
        </is>
      </c>
    </row>
    <row r="307">
      <c r="A307" s="3" t="inlineStr">
        <is>
          <t>CC(C)(C)[SiH](c1ccccc1)c1ccccc1</t>
        </is>
      </c>
      <c r="B307" s="3" t="inlineStr"/>
      <c r="C307" s="3" t="inlineStr">
        <is>
          <t>CC(C)(C)[Si](F)(c1ccccc1)c1ccccc1</t>
        </is>
      </c>
      <c r="D307" s="2" t="inlineStr">
        <is>
          <t>TBAF removes the TBDPS group; fluoride captures silicon as TBDPS-F and work-up protonates the alkoxide.</t>
        </is>
      </c>
      <c r="E307" s="2" t="n">
        <v>544</v>
      </c>
      <c r="F307" s="2" t="inlineStr">
        <is>
          <t>atom balance (starting materials + F = product + by-products) holds in 6 of 6 recorded examples; reagent supplies F</t>
        </is>
      </c>
    </row>
    <row r="308">
      <c r="A308" s="3" t="inlineStr">
        <is>
          <t>CCC[CH2][Sn]([CH2]CCC)[CH2]CCC.Cl</t>
        </is>
      </c>
      <c r="B308" s="3" t="inlineStr"/>
      <c r="C308" s="3" t="inlineStr">
        <is>
          <t>CCCC[Sn](Cl)(CCCC)CCCC</t>
        </is>
      </c>
      <c r="D308" s="2" t="inlineStr">
        <is>
          <t>Stille coupling of a tributylstannane with an aryl chloride releases tributyltin chloride.</t>
        </is>
      </c>
      <c r="E308" s="2" t="n">
        <v>525</v>
      </c>
      <c r="F308" s="2" t="inlineStr">
        <is>
          <t>atom balance (starting materials + nothing = product + by-products) holds in 6 of 6 recorded examples</t>
        </is>
      </c>
    </row>
    <row r="309">
      <c r="A309" s="3" t="inlineStr">
        <is>
          <t>O.O=[N+]([O-])c1ccccc1</t>
        </is>
      </c>
      <c r="B309" s="3" t="inlineStr"/>
      <c r="C309" s="3" t="inlineStr">
        <is>
          <t>O=[N+]([O-])c1ccc(O)cc1</t>
        </is>
      </c>
      <c r="D309" s="2" t="inlineStr">
        <is>
          <t>Aminolysis/alcoholysis of a 4-nitrophenyl carbamate or carbonate releases 4-nitrophenol.</t>
        </is>
      </c>
      <c r="E309" s="2" t="n">
        <v>524</v>
      </c>
      <c r="F309" s="2" t="inlineStr">
        <is>
          <t>atom balance (starting materials + nothing = product + by-products) holds in 6 of 6 recorded examples</t>
        </is>
      </c>
    </row>
    <row r="310">
      <c r="A310" s="3" t="inlineStr">
        <is>
          <t>CC=O.Cl</t>
        </is>
      </c>
      <c r="B310" s="3" t="inlineStr"/>
      <c r="C310" s="3" t="inlineStr">
        <is>
          <t>Cl.CC(=O)O</t>
        </is>
      </c>
      <c r="D310" s="2" t="inlineStr">
        <is>
          <t>Acylation with acetoxyacetyl chloride (or sulfonylation with deacetylation) releases HCl, and hydrolysis of the acetate releases acetic acid.</t>
        </is>
      </c>
      <c r="E310" s="2" t="n">
        <v>515</v>
      </c>
      <c r="F310" s="2" t="inlineStr">
        <is>
          <t>atom balance (starting materials + O = product + by-products) holds in 6 of 6 recorded examples; reagent supplies O</t>
        </is>
      </c>
    </row>
    <row r="311">
      <c r="A311" s="3" t="inlineStr">
        <is>
          <t>Br.I</t>
        </is>
      </c>
      <c r="B311" s="3" t="inlineStr">
        <is>
          <t>[Zn]</t>
        </is>
      </c>
      <c r="C311" s="3" t="inlineStr">
        <is>
          <t>Br[Zn]I</t>
        </is>
      </c>
      <c r="D311" s="2" t="inlineStr">
        <is>
          <t>Negishi coupling: zinc (activated with I2) inserts into the alkyl iodide and the organozinc couples with the aryl bromide (Pd), releasing zinc bromide iodide.</t>
        </is>
      </c>
      <c r="E311" s="2" t="n">
        <v>514</v>
      </c>
      <c r="F311" s="2" t="inlineStr">
        <is>
          <t>atom balance (starting materials + [Zn] = product + by-products) holds in 6 of 6 recorded examples; reagent supplies [Zn]</t>
        </is>
      </c>
    </row>
    <row r="312">
      <c r="A312" s="3" t="inlineStr">
        <is>
          <t>Br.I</t>
        </is>
      </c>
      <c r="B312" s="3" t="inlineStr"/>
      <c r="C312" s="3" t="inlineStr">
        <is>
          <t>[Cu]Br.[Cu]I</t>
        </is>
      </c>
      <c r="D312" s="2" t="inlineStr">
        <is>
          <t>Copper-mediated reductive cross-coupling of an aryl iodide with a bromide consumes Cu(0) and releases CuBr and CuI.</t>
        </is>
      </c>
      <c r="E312" s="2" t="n">
        <v>514</v>
      </c>
      <c r="F312" s="2" t="inlineStr">
        <is>
          <t>atom balance (starting materials + 2*[Cu] = product + by-products) holds in 5 of 6 recorded examples; reagent supplies 2*[Cu]</t>
        </is>
      </c>
    </row>
    <row r="313">
      <c r="A313" s="3" t="inlineStr">
        <is>
          <t>CC1(C)OBOC1(C)C.O=S(=O)(O)C(F)(F)F</t>
        </is>
      </c>
      <c r="B313" s="3" t="inlineStr"/>
      <c r="C313" s="3" t="inlineStr">
        <is>
          <t>OB1OC(C)(C)C(C)(C)O1.O=S(=O)(O)C(F)(F)F</t>
        </is>
      </c>
      <c r="D313" s="2" t="inlineStr">
        <is>
          <t>Suzuki coupling of a pinacol boronate with an aryl/vinyl triflate releases pinB-OH (2-hydroxy-4,4,5,5-tetramethyl-1,3,2-dioxaborolane, the pinacol ester of boric acid) and triflic acid (as salts of the base).</t>
        </is>
      </c>
      <c r="E313" s="2" t="n">
        <v>513</v>
      </c>
      <c r="F313" s="2" t="inlineStr">
        <is>
          <t>atom balance (starting materials + O = product + by-products) holds in 6 of 6 recorded examples; reagent supplies O</t>
        </is>
      </c>
    </row>
    <row r="314">
      <c r="A314" s="3" t="inlineStr">
        <is>
          <t>I.O</t>
        </is>
      </c>
      <c r="B314" s="3" t="inlineStr">
        <is>
          <t>II</t>
        </is>
      </c>
      <c r="C314" s="3" t="inlineStr">
        <is>
          <t>O=P(c1ccccc1)(c1ccccc1)c1ccccc1.I</t>
        </is>
      </c>
      <c r="D314" s="2" t="inlineStr">
        <is>
          <t>Appel-type iodination (I2/PPh3/imidazole) converts the alcohol to the iodide, releasing triphenylphosphine oxide and HI (as imidazolium iodide).</t>
        </is>
      </c>
      <c r="E314" s="2" t="n">
        <v>509</v>
      </c>
      <c r="F314" s="2" t="inlineStr">
        <is>
          <t>atom balance (starting materials + II.c1ccc(P(c2ccccc2)c2ccccc2)cc1 = product + by-products) holds in 6 of 6 recorded examples; reagent supplies II.c1ccc(P(c2ccccc2)c2ccccc2)cc1</t>
        </is>
      </c>
    </row>
    <row r="315">
      <c r="A315" s="3" t="inlineStr">
        <is>
          <t>O=C1CCC(=O)N1O</t>
        </is>
      </c>
      <c r="B315" s="3" t="inlineStr"/>
      <c r="C315" s="3" t="inlineStr">
        <is>
          <t>O=C1CCC(=O)N1O</t>
        </is>
      </c>
      <c r="D315" s="2" t="inlineStr">
        <is>
          <t>Aminolysis of an N-hydroxysuccinimide ester or carbonate releases N-hydroxysuccinimide.</t>
        </is>
      </c>
      <c r="E315" s="2" t="n">
        <v>499</v>
      </c>
      <c r="F315" s="2" t="inlineStr">
        <is>
          <t>atom balance (starting materials + nothing = product + by-products) holds in 6 of 6 recorded examples</t>
        </is>
      </c>
    </row>
    <row r="316">
      <c r="A316" s="3" t="inlineStr">
        <is>
          <t>CCC[CH2][Sn]([CH2]CCC)[CH2]CCC.I</t>
        </is>
      </c>
      <c r="B316" s="3" t="inlineStr"/>
      <c r="C316" s="3" t="inlineStr">
        <is>
          <t>CCCC[Sn](I)(CCCC)CCCC</t>
        </is>
      </c>
      <c r="D316" s="2" t="inlineStr">
        <is>
          <t>Stille coupling of a tributylstannane with an aryl iodide releases tributyltin iodide.</t>
        </is>
      </c>
      <c r="E316" s="2" t="n">
        <v>499</v>
      </c>
      <c r="F316" s="2" t="inlineStr">
        <is>
          <t>atom balance (starting materials + nothing = product + by-products) holds in 6 of 6 recorded examples</t>
        </is>
      </c>
    </row>
    <row r="317">
      <c r="A317" s="3" t="inlineStr">
        <is>
          <t>CNC=O</t>
        </is>
      </c>
      <c r="B317" s="3" t="inlineStr">
        <is>
          <t>O=C(Cl)C(=O)Cl</t>
        </is>
      </c>
      <c r="C317" s="3" t="inlineStr">
        <is>
          <t>CN(C)C=O.[C-]#[O+].O=C=O.2*Cl</t>
        </is>
      </c>
      <c r="D317" s="2" t="inlineStr">
        <is>
          <t>Oxalyl chloride/cat. DMF makes the acid chloride (CO, CO2, HCl) and methanol gives the methyl ester (HCl); DMF recorded as a starting material is returned.</t>
        </is>
      </c>
      <c r="E317" s="2" t="n">
        <v>497</v>
      </c>
      <c r="F317" s="2" t="inlineStr">
        <is>
          <t>atom balance (starting materials + CO.O=C(Cl)C(=O)Cl = product + by-products) holds in 5 of 6 recorded examples; reagent supplies CO.O=C(Cl)C(=O)Cl</t>
        </is>
      </c>
    </row>
    <row r="318">
      <c r="A318" s="3" t="inlineStr">
        <is>
          <t>CNC=O</t>
        </is>
      </c>
      <c r="B318" s="3" t="inlineStr"/>
      <c r="C318" s="3" t="inlineStr">
        <is>
          <t>CN(C)C=O.I</t>
        </is>
      </c>
      <c r="D318" s="2" t="inlineStr">
        <is>
          <t>N/O-Methylation with MeI and base releases HI (as its salt); DMF solvent recorded as a starting material is returned.</t>
        </is>
      </c>
      <c r="E318" s="2" t="n">
        <v>497</v>
      </c>
      <c r="F318" s="2" t="inlineStr">
        <is>
          <t>atom balance (starting materials + CI = product + by-products) holds in 6 of 6 recorded examples; reagent supplies CI</t>
        </is>
      </c>
    </row>
    <row r="319">
      <c r="A319" s="3" t="inlineStr">
        <is>
          <t>COc1ccc(C)c(OC)c1</t>
        </is>
      </c>
      <c r="B319" s="3" t="inlineStr">
        <is>
          <t>CC[SiH](CC)CC</t>
        </is>
      </c>
      <c r="C319" s="3" t="inlineStr">
        <is>
          <t>COc1ccc(C)c(OC)c1.CC[Si](O)(CC)CC</t>
        </is>
      </c>
      <c r="D319" s="2" t="inlineStr">
        <is>
          <t>TFA cleaves the 2,4-dimethoxybenzyl (DMB) group; Et3SiH reduces the cation to 2,4-dimethoxytoluene and the silane ends as triethylsilanol.</t>
        </is>
      </c>
      <c r="E319" s="2" t="n">
        <v>494</v>
      </c>
      <c r="F319" s="2" t="inlineStr">
        <is>
          <t>atom balance (starting materials + CC[SiH](CC)CC.O = product + by-products) holds in 6 of 6 recorded examples; reagent supplies CC[SiH](CC)CC.O</t>
        </is>
      </c>
    </row>
    <row r="320">
      <c r="A320" s="3" t="inlineStr">
        <is>
          <t>COc1ccc(C)c(OC)c1</t>
        </is>
      </c>
      <c r="B320" s="3" t="inlineStr">
        <is>
          <t>COc1ccccc1</t>
        </is>
      </c>
      <c r="C320" s="3" t="inlineStr">
        <is>
          <t>COc1ccc(Cc2ccc(OC)cc2OC)cc1</t>
        </is>
      </c>
      <c r="D320" s="2" t="inlineStr">
        <is>
          <t>TFA cleaves the DMB group and the 2,4-dimethoxybenzyl cation is trapped by the anisole scavenger.</t>
        </is>
      </c>
      <c r="E320" s="2" t="n">
        <v>494</v>
      </c>
      <c r="F320" s="2" t="inlineStr">
        <is>
          <t>atom balance (starting materials + COc1ccccc1 = product + by-products) holds in 6 of 6 recorded examples; reagent supplies COc1ccccc1</t>
        </is>
      </c>
    </row>
    <row r="321">
      <c r="A321" s="3" t="inlineStr">
        <is>
          <t>COc1ccc(C)c(OC)c1</t>
        </is>
      </c>
      <c r="B321" s="3" t="inlineStr"/>
      <c r="C321" s="3" t="inlineStr">
        <is>
          <t>COc1ccc(CO)c(OC)c1</t>
        </is>
      </c>
      <c r="D321" s="2" t="inlineStr">
        <is>
          <t>Acid (TFA/HCl) cleaves the 2,4-dimethoxybenzyl (DMB) group; the cation is quenched by water to 2,4-dimethoxybenzyl alcohol.</t>
        </is>
      </c>
      <c r="E321" s="2" t="n">
        <v>494</v>
      </c>
      <c r="F321" s="2" t="inlineStr">
        <is>
          <t>atom balance (starting materials + O = product + by-products) holds in 6 of 6 recorded examples; reagent supplies O</t>
        </is>
      </c>
    </row>
    <row r="322">
      <c r="A322" s="3" t="inlineStr">
        <is>
          <t>Cl.O.[O-]</t>
        </is>
      </c>
      <c r="B322" s="3" t="inlineStr"/>
      <c r="C322" s="3" t="inlineStr">
        <is>
          <t>2*O.Cl</t>
        </is>
      </c>
      <c r="D322" s="2" t="inlineStr">
        <is>
          <t>Nitro reduction to the amine (3 H2 equivalents, giving 2 water) combined with N-acylation/sulfonylation or SNAr that releases HCl.</t>
        </is>
      </c>
      <c r="E322" s="2" t="n">
        <v>492</v>
      </c>
      <c r="F322" s="2" t="inlineStr">
        <is>
          <t>atom balance (starting materials + 3*[H][H] = product + by-products) holds in 6 of 6 recorded examples; reagent supplies 3*[H][H]</t>
        </is>
      </c>
    </row>
    <row r="323">
      <c r="A323" s="3" t="inlineStr">
        <is>
          <t>CC.CC</t>
        </is>
      </c>
      <c r="B323" s="3" t="inlineStr">
        <is>
          <t>C[Si](C)(C)Br</t>
        </is>
      </c>
      <c r="C323" s="3" t="inlineStr">
        <is>
          <t>2*CCBr.2*C[Si](C)(C)O</t>
        </is>
      </c>
      <c r="D323" s="2" t="inlineStr">
        <is>
          <t>McKenna dealkylation: TMSBr converts the diethyl phosphonate to the bis-TMS ester (releasing 2 EtBr), which water/methanol hydrolyses to the phosphonic acid.</t>
        </is>
      </c>
      <c r="E323" s="2" t="n">
        <v>484</v>
      </c>
      <c r="F323" s="2" t="inlineStr">
        <is>
          <t>atom balance (starting materials + 2*C[Si](C)(C)Br.2*O = product + by-products) holds in 6 of 6 recorded examples; reagent supplies 2*C[Si](C)(C)Br.2*O</t>
        </is>
      </c>
    </row>
    <row r="324">
      <c r="A324" s="3" t="inlineStr">
        <is>
          <t>CC.CC</t>
        </is>
      </c>
      <c r="B324" s="3" t="inlineStr">
        <is>
          <t>C[Si](C)(C)I</t>
        </is>
      </c>
      <c r="C324" s="3" t="inlineStr">
        <is>
          <t>2*CCI.2*C[Si](C)(C)O</t>
        </is>
      </c>
      <c r="D324" s="2" t="inlineStr">
        <is>
          <t>TMSI dealkylates the diethyl phosphonate (2 EtI) and the silyl ester is hydrolysed to the phosphonic acid.</t>
        </is>
      </c>
      <c r="E324" s="2" t="n">
        <v>484</v>
      </c>
      <c r="F324" s="2" t="inlineStr">
        <is>
          <t>atom balance (starting materials + 2*C[Si](C)(C)I.2*O = product + by-products) holds in 6 of 6 recorded examples; reagent supplies 2*C[Si](C)(C)I.2*O</t>
        </is>
      </c>
    </row>
    <row r="325">
      <c r="A325" s="3" t="inlineStr">
        <is>
          <t>CC.CC</t>
        </is>
      </c>
      <c r="B325" s="3" t="inlineStr"/>
      <c r="C325" s="3" t="inlineStr">
        <is>
          <t>2*CCO</t>
        </is>
      </c>
      <c r="D325" s="2" t="inlineStr">
        <is>
          <t>Hydrolysis of a diethyl phosphonate or diethyl diester (acid or base) releases two ethanol.</t>
        </is>
      </c>
      <c r="E325" s="2" t="n">
        <v>484</v>
      </c>
      <c r="F325" s="2" t="inlineStr">
        <is>
          <t>atom balance (starting materials + 2*O = product + by-products) holds in 5 of 6 recorded examples; reagent supplies 2*O</t>
        </is>
      </c>
    </row>
    <row r="326">
      <c r="A326" s="3" t="inlineStr">
        <is>
          <t>N.[BH3-]</t>
        </is>
      </c>
      <c r="B326" s="3" t="inlineStr"/>
      <c r="C326" s="3" t="inlineStr">
        <is>
          <t>N#C[BH2-]O</t>
        </is>
      </c>
      <c r="D326" s="2" t="inlineStr">
        <is>
          <t>Reductive N-methylation with formaldehyde and NaBH3CN: iminium formation releases hydroxide and hydride transfer leaves cyanoborane, i.e. hydroxy(cyano)borate (borate and cyanide after work-up).</t>
        </is>
      </c>
      <c r="E326" s="2" t="n">
        <v>477</v>
      </c>
      <c r="F326" s="2" t="inlineStr">
        <is>
          <t>atom balance (starting materials + C=O = product + by-products) holds in 6 of 6 recorded examples; reagent supplies C=O</t>
        </is>
      </c>
    </row>
    <row r="327">
      <c r="A327" s="3" t="inlineStr">
        <is>
          <t>O=[N+]([O-])c1ccc(O)cc1</t>
        </is>
      </c>
      <c r="B327" s="3" t="inlineStr"/>
      <c r="C327" s="3" t="inlineStr">
        <is>
          <t>O=[N+]([O-])c1ccc(O)cc1</t>
        </is>
      </c>
      <c r="D327" s="2" t="inlineStr">
        <is>
          <t>Aminolysis/alcoholysis of a 4-nitrophenyl carbamate, carbonate or ester releases 4-nitrophenol.</t>
        </is>
      </c>
      <c r="E327" s="2" t="n">
        <v>452</v>
      </c>
      <c r="F327" s="2" t="inlineStr">
        <is>
          <t>atom balance (starting materials + nothing = product + by-products) holds in 6 of 6 recorded examples</t>
        </is>
      </c>
    </row>
    <row r="328">
      <c r="A328" s="3" t="inlineStr">
        <is>
          <t>CC(C)(C)[SH]=O</t>
        </is>
      </c>
      <c r="B328" s="3" t="inlineStr"/>
      <c r="C328" s="3" t="inlineStr">
        <is>
          <t>CC(C)(C)S(=O)Cl</t>
        </is>
      </c>
      <c r="D328" s="2" t="inlineStr">
        <is>
          <t>HCl cleaves the N-tert-butanesulfinyl (Ellman) group, releasing tert-butanesulfinyl chloride (methyl tert-butanesulfinate in methanol).</t>
        </is>
      </c>
      <c r="E328" s="2" t="n">
        <v>448</v>
      </c>
      <c r="F328" s="2" t="inlineStr">
        <is>
          <t>atom balance (starting materials + Cl = product + by-products) holds in 6 of 6 recorded examples; reagent supplies Cl</t>
        </is>
      </c>
    </row>
    <row r="329">
      <c r="A329" s="3" t="inlineStr">
        <is>
          <t>CC(C)[SiH](C(C)C)C(C)C</t>
        </is>
      </c>
      <c r="B329" s="3" t="inlineStr">
        <is>
          <t>O=C(O)C(F)(F)F</t>
        </is>
      </c>
      <c r="C329" s="3" t="inlineStr">
        <is>
          <t>CC(C)[Si](O)(C(C)C)C(C)C</t>
        </is>
      </c>
      <c r="D329" s="2" t="inlineStr">
        <is>
          <t>Acidic removal of a TIPS group releases triisopropylsilanol after work-up.</t>
        </is>
      </c>
      <c r="E329" s="2" t="n">
        <v>417</v>
      </c>
      <c r="F329" s="2" t="inlineStr">
        <is>
          <t>atom balance (starting materials + O = product + by-products) holds in 6 of 6 recorded examples; reagent supplies O</t>
        </is>
      </c>
    </row>
    <row r="330">
      <c r="A330" s="3" t="inlineStr">
        <is>
          <t>CC(C)[SiH](C(C)C)C(C)C</t>
        </is>
      </c>
      <c r="B330" s="3" t="inlineStr"/>
      <c r="C330" s="3" t="inlineStr">
        <is>
          <t>CC(C)[Si](F)(C(C)C)C(C)C</t>
        </is>
      </c>
      <c r="D330" s="2" t="inlineStr">
        <is>
          <t>TBAF removes the TIPS group; fluoride captures silicon as TIPS-F and work-up protonates the O/N anion.</t>
        </is>
      </c>
      <c r="E330" s="2" t="n">
        <v>417</v>
      </c>
      <c r="F330" s="2" t="inlineStr">
        <is>
          <t>atom balance (starting materials + F = product + by-products) holds in 6 of 6 recorded examples; reagent supplies F</t>
        </is>
      </c>
    </row>
    <row r="331">
      <c r="A331" s="3" t="inlineStr">
        <is>
          <t>C.Cl.O</t>
        </is>
      </c>
      <c r="B331" s="3" t="inlineStr"/>
      <c r="C331" s="3" t="inlineStr">
        <is>
          <t>O.COC(C)=O.Cl</t>
        </is>
      </c>
      <c r="D331" s="2" t="inlineStr">
        <is>
          <t>Fischer esterification with acetyl chloride in methanol: AcCl generates HCl and methyl acetate, and the esterification releases water.</t>
        </is>
      </c>
      <c r="E331" s="2" t="n">
        <v>417</v>
      </c>
      <c r="F331" s="2" t="inlineStr">
        <is>
          <t>atom balance (starting materials + 2*CO = product + by-products) holds in 6 of 6 recorded examples; reagent supplies 2*CO</t>
        </is>
      </c>
    </row>
    <row r="332">
      <c r="A332" s="3" t="inlineStr">
        <is>
          <t>C#N</t>
        </is>
      </c>
      <c r="B332" s="3" t="inlineStr">
        <is>
          <t>[S-2]</t>
        </is>
      </c>
      <c r="C332" s="3" t="inlineStr">
        <is>
          <t>N#CS</t>
        </is>
      </c>
      <c r="D332" s="2" t="inlineStr">
        <is>
          <t>Sulfide reduces an aryl thiocyanate to the thiol, releasing thiocyanate (HSCN).</t>
        </is>
      </c>
      <c r="E332" s="2" t="n">
        <v>414</v>
      </c>
      <c r="F332" s="2" t="inlineStr">
        <is>
          <t>atom balance (starting materials + S = product + by-products) holds in 5 of 5 recorded examples; reagent supplies S</t>
        </is>
      </c>
    </row>
    <row r="333">
      <c r="A333" s="3" t="inlineStr">
        <is>
          <t>C#N</t>
        </is>
      </c>
      <c r="B333" s="3" t="inlineStr"/>
      <c r="C333" s="3" t="inlineStr">
        <is>
          <t>O=C=O.N</t>
        </is>
      </c>
      <c r="D333" s="2" t="inlineStr">
        <is>
          <t>Acid hydrolysis of a nitrile/cyanamide with decarboxylation (decyanation) releases CO2 and ammonia (as ammonium salt).</t>
        </is>
      </c>
      <c r="E333" s="2" t="n">
        <v>414</v>
      </c>
      <c r="F333" s="2" t="inlineStr">
        <is>
          <t>atom balance (starting materials + 2*O = product + by-products) holds in 5 of 6 recorded examples; reagent supplies 2*O</t>
        </is>
      </c>
    </row>
    <row r="334">
      <c r="A334" s="3" t="inlineStr">
        <is>
          <t>CC(C)(C)OC=O.CC(C)(C)OC=O</t>
        </is>
      </c>
      <c r="B334" s="3" t="inlineStr"/>
      <c r="C334" s="3" t="inlineStr">
        <is>
          <t>2*O=C=O.2*C=C(C)C</t>
        </is>
      </c>
      <c r="D334" s="2" t="inlineStr">
        <is>
          <t>Acidic removal of two Boc groups (N,N-di-Boc or di-Boc guanidine) releases two CO2 and two isobutylene.</t>
        </is>
      </c>
      <c r="E334" s="2" t="n">
        <v>404</v>
      </c>
      <c r="F334" s="2" t="inlineStr">
        <is>
          <t>atom balance (starting materials + nothing = product + by-products) holds in 6 of 6 recorded examples</t>
        </is>
      </c>
    </row>
    <row r="335">
      <c r="A335" s="3" t="inlineStr">
        <is>
          <t>O.S</t>
        </is>
      </c>
      <c r="B335" s="3" t="inlineStr"/>
      <c r="C335" s="3" t="inlineStr">
        <is>
          <t>S.O</t>
        </is>
      </c>
      <c r="D335" s="2" t="inlineStr">
        <is>
          <t>Condensation of a thioamide/thiolactam or rhodanine with a nucleophile (hydrazide, hydrazine, amine) releases H2S and water.</t>
        </is>
      </c>
      <c r="E335" s="2" t="n">
        <v>402</v>
      </c>
      <c r="F335" s="2" t="inlineStr">
        <is>
          <t>atom balance (starting materials + nothing = product + by-products) holds in 5 of 6 recorded examples</t>
        </is>
      </c>
    </row>
    <row r="336">
      <c r="A336" s="3" t="inlineStr">
        <is>
          <t>O.[BH3-]C</t>
        </is>
      </c>
      <c r="B336" s="3" t="inlineStr"/>
      <c r="C336" s="3" t="inlineStr">
        <is>
          <t>O.N#C[BH2]</t>
        </is>
      </c>
      <c r="D336" s="2" t="inlineStr">
        <is>
          <t>Reductive amination of a ketone with NH4OAc/NaBH3CN: imine formation releases water and hydride transfer leaves cyanoborane.</t>
        </is>
      </c>
      <c r="E336" s="2" t="n">
        <v>393</v>
      </c>
      <c r="F336" s="2" t="inlineStr">
        <is>
          <t>atom balance (starting materials + [NH4+] = product + by-products) holds in 6 of 6 recorded examples; reagent supplies [NH4+]</t>
        </is>
      </c>
    </row>
    <row r="337">
      <c r="A337" s="3" t="inlineStr">
        <is>
          <t>CO[PH](=O)OC.O</t>
        </is>
      </c>
      <c r="B337" s="3" t="inlineStr"/>
      <c r="C337" s="3" t="inlineStr">
        <is>
          <t>COP(=O)(O)OC</t>
        </is>
      </c>
      <c r="D337" s="2" t="inlineStr">
        <is>
          <t>Horner-Wadsworth-Emmons olefination with a dimethyl phosphonate releases dimethyl phosphate (as its salt).</t>
        </is>
      </c>
      <c r="E337" s="2" t="n">
        <v>392</v>
      </c>
      <c r="F337" s="2" t="inlineStr">
        <is>
          <t>atom balance (starting materials + nothing = product + by-products) holds in 6 of 6 recorded examples</t>
        </is>
      </c>
    </row>
    <row r="338">
      <c r="A338" s="3" t="inlineStr">
        <is>
          <t>CO.CO.O</t>
        </is>
      </c>
      <c r="B338" s="3" t="inlineStr"/>
      <c r="C338" s="3" t="inlineStr">
        <is>
          <t>2*CO.O</t>
        </is>
      </c>
      <c r="D338" s="2" t="inlineStr">
        <is>
          <t>Clauson-Kaas pyrrole synthesis with 2,5-dimethoxytetrahydrofuran (or a Pomeranz-Fritsch cyclisation) releases two methanol and water.</t>
        </is>
      </c>
      <c r="E338" s="2" t="n">
        <v>391</v>
      </c>
      <c r="F338" s="2" t="inlineStr">
        <is>
          <t>atom balance (starting materials + nothing = product + by-products) holds in 6 of 6 recorded examples</t>
        </is>
      </c>
    </row>
    <row r="339">
      <c r="A339" s="3" t="inlineStr">
        <is>
          <t>CC(C)[O-]</t>
        </is>
      </c>
      <c r="B339" s="3" t="inlineStr">
        <is>
          <t>COS(=O)(=O)OC</t>
        </is>
      </c>
      <c r="C339" s="3" t="inlineStr">
        <is>
          <t>CC(C)(C)O.COS(=O)(=O)[O-]</t>
        </is>
      </c>
      <c r="D339" s="2" t="inlineStr">
        <is>
          <t>KOtBu deprotonates and dimethyl sulfate methylates, releasing tert-butanol and methyl sulfate.</t>
        </is>
      </c>
      <c r="E339" s="2" t="n">
        <v>391</v>
      </c>
      <c r="F339" s="2" t="inlineStr">
        <is>
          <t>atom balance (starting materials + COS(=O)(=O)OC = product + by-products) holds in 6 of 6 recorded examples; reagent supplies COS(=O)(=O)OC</t>
        </is>
      </c>
    </row>
    <row r="340">
      <c r="A340" s="3" t="inlineStr">
        <is>
          <t>CC(C)[O-]</t>
        </is>
      </c>
      <c r="B340" s="3" t="inlineStr">
        <is>
          <t>COC(=O)C(=O)OC</t>
        </is>
      </c>
      <c r="C340" s="3" t="inlineStr">
        <is>
          <t>CC(C)(C)O.COC(=O)C(=O)[O-]</t>
        </is>
      </c>
      <c r="D340" s="2" t="inlineStr">
        <is>
          <t>KOtBu deprotonates and dimethyl oxalate methylates, releasing tert-butanol and methyl oxalate anion.</t>
        </is>
      </c>
      <c r="E340" s="2" t="n">
        <v>391</v>
      </c>
      <c r="F340" s="2" t="inlineStr">
        <is>
          <t>atom balance (starting materials + COC(=O)C(=O)OC = product + by-products) holds in 1 of 1 recorded examples; reagent supplies COC(=O)C(=O)OC</t>
        </is>
      </c>
    </row>
    <row r="341">
      <c r="A341" s="3" t="inlineStr">
        <is>
          <t>CC(C)[O-]</t>
        </is>
      </c>
      <c r="B341" s="3" t="inlineStr">
        <is>
          <t>C[S+](C)(C)=O</t>
        </is>
      </c>
      <c r="C341" s="3" t="inlineStr">
        <is>
          <t>CC(C)(C)O.CS(C)=O</t>
        </is>
      </c>
      <c r="D341" s="2" t="inlineStr">
        <is>
          <t>KOtBu generates the sulfoxonium ylide from Me3S(O)+, which transfers CH2 (Corey-Chaykovsky), releasing tert-butanol and DMSO.</t>
        </is>
      </c>
      <c r="E341" s="2" t="n">
        <v>391</v>
      </c>
      <c r="F341" s="2" t="inlineStr">
        <is>
          <t>atom balance (starting materials + C[S+](C)(C)=O = product + by-products) holds in 6 of 6 recorded examples; reagent supplies C[S+](C)(C)=O</t>
        </is>
      </c>
    </row>
    <row r="342">
      <c r="A342" s="3" t="inlineStr">
        <is>
          <t>CC(C)[O-]</t>
        </is>
      </c>
      <c r="B342" s="3" t="inlineStr"/>
      <c r="C342" s="3" t="inlineStr">
        <is>
          <t>CC(C)(C)O.[I-]</t>
        </is>
      </c>
      <c r="D342" s="2" t="inlineStr">
        <is>
          <t>KOtBu deprotonates and methyl iodide methylates, releasing tert-butanol and iodide (KI).</t>
        </is>
      </c>
      <c r="E342" s="2" t="n">
        <v>391</v>
      </c>
      <c r="F342" s="2" t="inlineStr">
        <is>
          <t>atom balance (starting materials + CI = product + by-products) holds in 6 of 6 recorded examples; reagent supplies CI</t>
        </is>
      </c>
    </row>
    <row r="343">
      <c r="A343" s="3" t="inlineStr">
        <is>
          <t>CC.Cl</t>
        </is>
      </c>
      <c r="B343" s="3" t="inlineStr"/>
      <c r="C343" s="3" t="inlineStr">
        <is>
          <t>CCCl</t>
        </is>
      </c>
      <c r="D343" s="2" t="inlineStr">
        <is>
          <t>Arbuzov reaction with triethyl phosphite (or N-deethylation with ethyl chloroformate) releases ethyl chloride.</t>
        </is>
      </c>
      <c r="E343" s="2" t="n">
        <v>390</v>
      </c>
      <c r="F343" s="2" t="inlineStr">
        <is>
          <t>atom balance (starting materials + nothing = product + by-products) holds in 6 of 6 recorded examples</t>
        </is>
      </c>
    </row>
    <row r="344">
      <c r="A344" s="3" t="inlineStr">
        <is>
          <t>O=COCC1c2ccccc2-c2ccccc21</t>
        </is>
      </c>
      <c r="B344" s="3" t="inlineStr">
        <is>
          <t>C1CCNCC1</t>
        </is>
      </c>
      <c r="C344" s="3" t="inlineStr">
        <is>
          <t>O=C=O.C1CCN(CC2c3ccccc3-c3ccccc32)CC1</t>
        </is>
      </c>
      <c r="D344" s="2" t="inlineStr">
        <is>
          <t>Piperidine removes the Fmoc group by E1cb, releasing CO2 and dibenzofulvene, which piperidine traps as the fulvene-piperidine adduct.</t>
        </is>
      </c>
      <c r="E344" s="2" t="n">
        <v>389</v>
      </c>
      <c r="F344" s="2" t="inlineStr">
        <is>
          <t>atom balance (starting materials + C1CCNCC1 = product + by-products) holds in 6 of 6 recorded examples; reagent supplies C1CCNCC1</t>
        </is>
      </c>
    </row>
    <row r="345">
      <c r="A345" s="3" t="inlineStr">
        <is>
          <t>O=COCC1c2ccccc2-c2ccccc21</t>
        </is>
      </c>
      <c r="B345" s="3" t="inlineStr">
        <is>
          <t>CCNCC</t>
        </is>
      </c>
      <c r="C345" s="3" t="inlineStr">
        <is>
          <t>O=C=O.CCN(CC)CC1c2ccccc2-c2ccccc21</t>
        </is>
      </c>
      <c r="D345" s="2" t="inlineStr">
        <is>
          <t>Diethylamine removes the Fmoc group, releasing CO2 and dibenzofulvene, trapped as its diethylamine adduct.</t>
        </is>
      </c>
      <c r="E345" s="2" t="n">
        <v>389</v>
      </c>
      <c r="F345" s="2" t="inlineStr">
        <is>
          <t>atom balance (starting materials + CCNCC = product + by-products) holds in 5 of 6 recorded examples; reagent supplies CCNCC</t>
        </is>
      </c>
    </row>
    <row r="346">
      <c r="A346" s="3" t="inlineStr">
        <is>
          <t>O=COCC1c2ccccc2-c2ccccc21</t>
        </is>
      </c>
      <c r="B346" s="3" t="inlineStr"/>
      <c r="C346" s="3" t="inlineStr">
        <is>
          <t>C=C1c2ccccc2-c2ccccc21.O=C=O</t>
        </is>
      </c>
      <c r="D346" s="2" t="inlineStr">
        <is>
          <t>Base-induced E1cb removal of the Fmoc group releases dibenzofulvene and CO2.</t>
        </is>
      </c>
      <c r="E346" s="2" t="n">
        <v>389</v>
      </c>
      <c r="F346" s="2" t="inlineStr">
        <is>
          <t>atom balance (starting materials + nothing = product + by-products) holds in 6 of 6 recorded examples</t>
        </is>
      </c>
    </row>
    <row r="347">
      <c r="A347" s="3" t="inlineStr">
        <is>
          <t>Br.[Zn+]</t>
        </is>
      </c>
      <c r="B347" s="3" t="inlineStr">
        <is>
          <t>[Cl-]</t>
        </is>
      </c>
      <c r="C347" s="3" t="inlineStr">
        <is>
          <t>Cl[Zn]Br</t>
        </is>
      </c>
      <c r="D347" s="2" t="inlineStr">
        <is>
          <t>Negishi coupling of an organozinc halide with an aryl bromide releases zinc bromide chloride.</t>
        </is>
      </c>
      <c r="E347" s="2" t="n">
        <v>383</v>
      </c>
      <c r="F347" s="2" t="inlineStr">
        <is>
          <t>atom balance (starting materials + [Cl-] = product + by-products) holds in 6 of 6 recorded examples; reagent supplies [Cl-]</t>
        </is>
      </c>
    </row>
    <row r="348">
      <c r="A348" s="3" t="inlineStr">
        <is>
          <t>Br.[Zn+]</t>
        </is>
      </c>
      <c r="B348" s="3" t="inlineStr"/>
      <c r="C348" s="3" t="inlineStr">
        <is>
          <t>Br[Zn]Br</t>
        </is>
      </c>
      <c r="D348" s="2" t="inlineStr">
        <is>
          <t>Negishi coupling of an organozinc bromide with an aryl bromide releases zinc bromide.</t>
        </is>
      </c>
      <c r="E348" s="2" t="n">
        <v>383</v>
      </c>
      <c r="F348" s="2" t="inlineStr">
        <is>
          <t>atom balance (starting materials + [Br-] = product + by-products) holds in 6 of 6 recorded examples; reagent supplies [Br-]</t>
        </is>
      </c>
    </row>
    <row r="349">
      <c r="A349" s="3" t="inlineStr">
        <is>
          <t>Br.CC(C)O.CCC.CCC</t>
        </is>
      </c>
      <c r="B349" s="3" t="inlineStr">
        <is>
          <t>Cl</t>
        </is>
      </c>
      <c r="C349" s="3" t="inlineStr">
        <is>
          <t>CCCCBr.3*CC(C)O.[Li]Cl</t>
        </is>
      </c>
      <c r="D349" s="2" t="inlineStr">
        <is>
          <t>Br/Li exchange with n-BuLi, borylation with B(OiPr)3 and HCl work-up give the boronic acid, releasing n-BuBr, three isopropanol and LiCl.</t>
        </is>
      </c>
      <c r="E349" s="2" t="n">
        <v>382</v>
      </c>
      <c r="F349" s="2" t="inlineStr">
        <is>
          <t>atom balance (starting materials + [Li]CCCC.2*O.Cl = product + by-products) holds in 6 of 6 recorded examples; reagent supplies [Li]CCCC.2*O.Cl</t>
        </is>
      </c>
    </row>
    <row r="350">
      <c r="A350" s="3" t="inlineStr">
        <is>
          <t>Br.CC(C)O.CCC.CCC</t>
        </is>
      </c>
      <c r="B350" s="3" t="inlineStr">
        <is>
          <t>[Li][C](C)(C)C</t>
        </is>
      </c>
      <c r="C350" s="3" t="inlineStr">
        <is>
          <t>[Li]Br.CC(C)C.C=C(C)C.3*CC(C)O.[Li]O</t>
        </is>
      </c>
      <c r="D350" s="2" t="inlineStr">
        <is>
          <t>Br/Li exchange with two tBuLi, borylation with B(OiPr)3 and aqueous work-up release LiBr, isobutane, isobutene and three isopropanol.</t>
        </is>
      </c>
      <c r="E350" s="2" t="n">
        <v>382</v>
      </c>
      <c r="F350" s="2" t="inlineStr">
        <is>
          <t>atom balance (starting materials + 2*[Li]C(C)(C)C.3*O = product + by-products) holds in 5 of 6 recorded examples; reagent supplies 2*[Li]C(C)(C)C.3*O</t>
        </is>
      </c>
    </row>
    <row r="351">
      <c r="A351" s="3" t="inlineStr">
        <is>
          <t>Br.CC(C)O.CCC.CCC</t>
        </is>
      </c>
      <c r="B351" s="3" t="inlineStr"/>
      <c r="C351" s="3" t="inlineStr">
        <is>
          <t>CCCCBr.3*CC(C)O.[Li]O</t>
        </is>
      </c>
      <c r="D351" s="2" t="inlineStr">
        <is>
          <t>Br/Li exchange with n-BuLi, borylation with B(OiPr)3 and aqueous work-up give the boronic acid, releasing n-BuBr, three isopropanol and LiOH.</t>
        </is>
      </c>
      <c r="E351" s="2" t="n">
        <v>382</v>
      </c>
      <c r="F351" s="2" t="inlineStr">
        <is>
          <t>atom balance (starting materials + [Li]CCCC.3*O = product + by-products) holds in 6 of 6 recorded examples; reagent supplies [Li]CCCC.3*O</t>
        </is>
      </c>
    </row>
    <row r="352">
      <c r="A352" s="3" t="inlineStr">
        <is>
          <t>Cl[PH](Cl)(Cl)Cl.O</t>
        </is>
      </c>
      <c r="B352" s="3" t="inlineStr"/>
      <c r="C352" s="3" t="inlineStr">
        <is>
          <t>O=P(Cl)(Cl)Cl.Cl</t>
        </is>
      </c>
      <c r="D352" s="2" t="inlineStr">
        <is>
          <t>PCl5 converts an acid/sulfonic acid/hydroxy-heterocycle C-OH into C-Cl, releasing POCl3 and HCl.</t>
        </is>
      </c>
      <c r="E352" s="2" t="n">
        <v>379</v>
      </c>
      <c r="F352" s="2" t="inlineStr">
        <is>
          <t>atom balance (starting materials + ClP(Cl)(Cl)(Cl)Cl = product + by-products) holds in 6 of 6 recorded examples; reagent supplies ClP(Cl)(Cl)(Cl)Cl</t>
        </is>
      </c>
    </row>
    <row r="353">
      <c r="A353" s="3" t="inlineStr">
        <is>
          <t>[O-][Cl+]</t>
        </is>
      </c>
      <c r="B353" s="3" t="inlineStr">
        <is>
          <t>CC=C(C)C</t>
        </is>
      </c>
      <c r="C353" s="3" t="inlineStr">
        <is>
          <t>CC(Cl)C(C)(C)O</t>
        </is>
      </c>
      <c r="D353" s="2" t="inlineStr">
        <is>
          <t>Pinnick oxidation: chlorous acid oxidises the aldehyde to the acid and the HOCl formed is scavenged by 2-methyl-2-butene as its chlorohydrin.</t>
        </is>
      </c>
      <c r="E353" s="2" t="n">
        <v>365</v>
      </c>
      <c r="F353" s="2" t="inlineStr">
        <is>
          <t>atom balance (starting materials + [O-][Cl+]O.CC=C(C)C = product + by-products) holds in 6 of 6 recorded examples; reagent supplies [O-][Cl+]O.CC=C(C)C</t>
        </is>
      </c>
    </row>
    <row r="354">
      <c r="A354" s="3" t="inlineStr">
        <is>
          <t>[O-][Cl+]</t>
        </is>
      </c>
      <c r="B354" s="3" t="inlineStr"/>
      <c r="C354" s="3" t="inlineStr">
        <is>
          <t>OCl</t>
        </is>
      </c>
      <c r="D354" s="2" t="inlineStr">
        <is>
          <t>Pinnick oxidation of the aldehyde to the carboxylic acid with chlorite (HClO2) releases hypochlorous acid.</t>
        </is>
      </c>
      <c r="E354" s="2" t="n">
        <v>365</v>
      </c>
      <c r="F354" s="2" t="inlineStr">
        <is>
          <t>atom balance (starting materials + [O-][Cl+]O = product + by-products) holds in 5 of 6 recorded examples; reagent supplies [O-][Cl+]O</t>
        </is>
      </c>
    </row>
    <row r="355">
      <c r="A355" s="3" t="inlineStr">
        <is>
          <t>CC.CCO</t>
        </is>
      </c>
      <c r="B355" s="3" t="inlineStr"/>
      <c r="C355" s="3" t="inlineStr">
        <is>
          <t>2*CCO</t>
        </is>
      </c>
      <c r="D355" s="2" t="inlineStr">
        <is>
          <t>Acid hydrolysis of a diethyl acetal regenerates the aldehyde and releases two ethanol.</t>
        </is>
      </c>
      <c r="E355" s="2" t="n">
        <v>364</v>
      </c>
      <c r="F355" s="2" t="inlineStr">
        <is>
          <t>atom balance (starting materials + O = product + by-products) holds in 6 of 6 recorded examples; reagent supplies O</t>
        </is>
      </c>
    </row>
    <row r="356">
      <c r="A356" s="3" t="inlineStr">
        <is>
          <t>O.O=[PH](c1ccccc1)c1ccccc1</t>
        </is>
      </c>
      <c r="B356" s="3" t="inlineStr"/>
      <c r="C356" s="3" t="inlineStr">
        <is>
          <t>O=P(O)(c1ccccc1)c1ccccc1</t>
        </is>
      </c>
      <c r="D356" s="2" t="inlineStr">
        <is>
          <t>Azide transfer from the diphenylphosphinyl azide (DPPA-type reagent) to an alcohol or acid releases the diphenylphosphinic acid (diphenyl phosphate for true DPPA).</t>
        </is>
      </c>
      <c r="E356" s="2" t="n">
        <v>358</v>
      </c>
      <c r="F356" s="2" t="inlineStr">
        <is>
          <t>atom balance (starting materials + nothing = product + by-products) holds in 6 of 6 recorded examples</t>
        </is>
      </c>
    </row>
    <row r="357">
      <c r="A357" s="3" t="inlineStr">
        <is>
          <t>Br.C.O</t>
        </is>
      </c>
      <c r="B357" s="3" t="inlineStr"/>
      <c r="C357" s="3" t="inlineStr">
        <is>
          <t>Br.CO</t>
        </is>
      </c>
      <c r="D357" s="2" t="inlineStr">
        <is>
          <t>An amine displaces the benzylic bromide and lactamises onto the methyl ester (isoindolinone formation), releasing HBr and methanol.</t>
        </is>
      </c>
      <c r="E357" s="2" t="n">
        <v>346</v>
      </c>
      <c r="F357" s="2" t="inlineStr">
        <is>
          <t>atom balance (starting materials + nothing = product + by-products) holds in 5 of 6 recorded examples</t>
        </is>
      </c>
    </row>
    <row r="358">
      <c r="A358" s="3" t="inlineStr">
        <is>
          <t>CC.CC.CC.O</t>
        </is>
      </c>
      <c r="B358" s="3" t="inlineStr"/>
      <c r="C358" s="3" t="inlineStr">
        <is>
          <t>CCN(CC)CC.O</t>
        </is>
      </c>
      <c r="D358" s="2" t="inlineStr">
        <is>
          <t>Primary amide (or amine) formation with ammonia via an activated acid/alcohol releases water overall; triethylamine recorded as a starting material is returned (activating-agent waste not counted).</t>
        </is>
      </c>
      <c r="E358" s="2" t="n">
        <v>344</v>
      </c>
      <c r="F358" s="2" t="inlineStr">
        <is>
          <t>atom balance (starting materials + N = product + by-products) holds in 6 of 6 recorded examples; reagent supplies N</t>
        </is>
      </c>
    </row>
    <row r="359">
      <c r="A359" s="3" t="inlineStr">
        <is>
          <t>CCC.O</t>
        </is>
      </c>
      <c r="B359" s="3" t="inlineStr"/>
      <c r="C359" s="3" t="inlineStr">
        <is>
          <t>CC(C)=O</t>
        </is>
      </c>
      <c r="D359" s="2" t="inlineStr">
        <is>
          <t>Acylation by a 2,2-dimethyl-1,3-dioxin-4-one or Meldrum's acid derivative (via the acylketene) releases acetone.</t>
        </is>
      </c>
      <c r="E359" s="2" t="n">
        <v>342</v>
      </c>
      <c r="F359" s="2" t="inlineStr">
        <is>
          <t>atom balance (starting materials + nothing = product + by-products) holds in 6 of 6 recorded examples</t>
        </is>
      </c>
    </row>
    <row r="360">
      <c r="A360" s="3" t="inlineStr">
        <is>
          <t>Cl.I</t>
        </is>
      </c>
      <c r="B360" s="3" t="inlineStr">
        <is>
          <t>C[CH2][Mg][Br]</t>
        </is>
      </c>
      <c r="C360" s="3" t="inlineStr">
        <is>
          <t>CCI.Cl[Mg]Br</t>
        </is>
      </c>
      <c r="D360" s="2" t="inlineStr">
        <is>
          <t>I/Mg exchange with EtMgBr (giving EtI) and quenching of the aryl Grignard with the chloride electrophile release magnesium halide.</t>
        </is>
      </c>
      <c r="E360" s="2" t="n">
        <v>340</v>
      </c>
      <c r="F360" s="2" t="inlineStr">
        <is>
          <t>atom balance (starting materials + CC[Mg]Br = product + by-products) holds in 6 of 6 recorded examples; reagent supplies CC[Mg]Br</t>
        </is>
      </c>
    </row>
    <row r="361">
      <c r="A361" s="3" t="inlineStr">
        <is>
          <t>Cl.I</t>
        </is>
      </c>
      <c r="B361" s="3" t="inlineStr">
        <is>
          <t>C[CH](C)[Mg][Cl]</t>
        </is>
      </c>
      <c r="C361" s="3" t="inlineStr">
        <is>
          <t>CC(C)I.Cl[Mg]Cl</t>
        </is>
      </c>
      <c r="D361" s="2" t="inlineStr">
        <is>
          <t>I/Mg exchange with iPrMgCl (giving iPrI) and quenching of the aryl Grignard with Bu3SnCl, a chlorophosphine oxide or an acid chloride release MgCl2.</t>
        </is>
      </c>
      <c r="E361" s="2" t="n">
        <v>340</v>
      </c>
      <c r="F361" s="2" t="inlineStr">
        <is>
          <t>atom balance (starting materials + CC(C)[Mg]Cl = product + by-products) holds in 6 of 6 recorded examples; reagent supplies CC(C)[Mg]Cl</t>
        </is>
      </c>
    </row>
    <row r="362">
      <c r="A362" s="3" t="inlineStr">
        <is>
          <t>Cl.I</t>
        </is>
      </c>
      <c r="B362" s="3" t="inlineStr">
        <is>
          <t>[Li][C](C)(C)C</t>
        </is>
      </c>
      <c r="C362" s="3" t="inlineStr">
        <is>
          <t>[Li]I.CC(C)C.C=C(C)C.[Li]Cl</t>
        </is>
      </c>
      <c r="D362" s="2" t="inlineStr">
        <is>
          <t>I/Li exchange with two tBuLi (giving LiI, isobutane and isobutene) and quenching of the aryllithium with the chloride electrophile release LiCl.</t>
        </is>
      </c>
      <c r="E362" s="2" t="n">
        <v>340</v>
      </c>
      <c r="F362" s="2" t="inlineStr">
        <is>
          <t>atom balance (starting materials + 2*[Li]C(C)(C)C = product + by-products) holds in 5 of 6 recorded examples; reagent supplies 2*[Li]C(C)(C)C</t>
        </is>
      </c>
    </row>
    <row r="363">
      <c r="A363" s="3" t="inlineStr">
        <is>
          <t>Cl.I</t>
        </is>
      </c>
      <c r="B363" s="3" t="inlineStr">
        <is>
          <t>[Zn]</t>
        </is>
      </c>
      <c r="C363" s="3" t="inlineStr">
        <is>
          <t>Cl[Zn]I</t>
        </is>
      </c>
      <c r="D363" s="2" t="inlineStr">
        <is>
          <t>Zinc inserts into the alkyl iodide and the organozinc couples with the aryl/acyl chloride (Negishi), releasing zinc chloride iodide.</t>
        </is>
      </c>
      <c r="E363" s="2" t="n">
        <v>340</v>
      </c>
      <c r="F363" s="2" t="inlineStr">
        <is>
          <t>atom balance (starting materials + [Zn] = product + by-products) holds in 5 of 6 recorded examples; reagent supplies [Zn]</t>
        </is>
      </c>
    </row>
    <row r="364">
      <c r="A364" s="3" t="inlineStr">
        <is>
          <t>Cl.I</t>
        </is>
      </c>
      <c r="B364" s="3" t="inlineStr">
        <is>
          <t>C[CH2][Zn][CH2]C</t>
        </is>
      </c>
      <c r="C364" s="3" t="inlineStr">
        <is>
          <t>CC[Zn]Cl.CCI</t>
        </is>
      </c>
      <c r="D364" s="2" t="inlineStr">
        <is>
          <t>Furukawa-Simmons-Smith cyclopropanation: Et2Zn and chloroiodomethane give the zinc carbenoid, which transfers CH2 to the alkene, releasing ethylzinc chloride and ethyl iodide.</t>
        </is>
      </c>
      <c r="E364" s="2" t="n">
        <v>340</v>
      </c>
      <c r="F364" s="2" t="inlineStr">
        <is>
          <t>atom balance (starting materials + CC[Zn]CC = product + by-products) holds in 6 of 6 recorded examples; reagent supplies CC[Zn]CC</t>
        </is>
      </c>
    </row>
    <row r="365">
      <c r="A365" s="3" t="inlineStr">
        <is>
          <t>C[SiH](C)[N-][Si](C)(C)C</t>
        </is>
      </c>
      <c r="B365" s="3" t="inlineStr"/>
      <c r="C365" s="3" t="inlineStr">
        <is>
          <t>C[Si](C)(C)N[Si](C)(C)C.[I-]</t>
        </is>
      </c>
      <c r="D365" s="2" t="inlineStr">
        <is>
          <t>Deprotonation by LiHMDS and methylation with MeI release hexamethyldisilazane and iodide (LiI).</t>
        </is>
      </c>
      <c r="E365" s="2" t="n">
        <v>339</v>
      </c>
      <c r="F365" s="2" t="inlineStr">
        <is>
          <t>atom balance (starting materials + CI = product + by-products) holds in 6 of 6 recorded examples; reagent supplies CI</t>
        </is>
      </c>
    </row>
    <row r="366">
      <c r="A366" s="3" t="inlineStr">
        <is>
          <t>OCC(Cl)(Cl)Cl</t>
        </is>
      </c>
      <c r="B366" s="3" t="inlineStr"/>
      <c r="C366" s="3" t="inlineStr">
        <is>
          <t>OCC(Cl)(Cl)Cl</t>
        </is>
      </c>
      <c r="D366" s="2" t="inlineStr">
        <is>
          <t>Aminolysis/alcoholysis of a 2,2,2-trichloroethyl (Troc) carbamate or ester releases 2,2,2-trichloroethanol.</t>
        </is>
      </c>
      <c r="E366" s="2" t="n">
        <v>335</v>
      </c>
      <c r="F366" s="2" t="inlineStr">
        <is>
          <t>atom balance (starting materials + nothing = product + by-products) holds in 5 of 6 recorded examples</t>
        </is>
      </c>
    </row>
    <row r="367">
      <c r="A367" s="3" t="inlineStr">
        <is>
          <t>Br.[CH3][Sn]([CH3])[CH3]</t>
        </is>
      </c>
      <c r="B367" s="3" t="inlineStr"/>
      <c r="C367" s="3" t="inlineStr">
        <is>
          <t>C[Sn](C)(C)Br</t>
        </is>
      </c>
      <c r="D367" s="2" t="inlineStr">
        <is>
          <t>Stille coupling of a trimethylstannane with an aryl bromide releases trimethyltin bromide.</t>
        </is>
      </c>
      <c r="E367" s="2" t="n">
        <v>334</v>
      </c>
      <c r="F367" s="2" t="inlineStr">
        <is>
          <t>atom balance (starting materials + nothing = product + by-products) holds in 6 of 6 recorded examples</t>
        </is>
      </c>
    </row>
    <row r="368">
      <c r="A368" s="3" t="inlineStr">
        <is>
          <t>CC(C)(C)C=O</t>
        </is>
      </c>
      <c r="B368" s="3" t="inlineStr">
        <is>
          <t>C[O-]</t>
        </is>
      </c>
      <c r="C368" s="3" t="inlineStr">
        <is>
          <t>COC(=O)C(C)(C)C</t>
        </is>
      </c>
      <c r="D368" s="2" t="inlineStr">
        <is>
          <t>Methoxide transesterifies the pivalate ester, releasing methyl pivalate.</t>
        </is>
      </c>
      <c r="E368" s="2" t="n">
        <v>333</v>
      </c>
      <c r="F368" s="2" t="inlineStr">
        <is>
          <t>atom balance (starting materials + CO = product + by-products) holds in 6 of 6 recorded examples; reagent supplies CO</t>
        </is>
      </c>
    </row>
    <row r="369">
      <c r="A369" s="3" t="inlineStr">
        <is>
          <t>CC(C)(C)C=O</t>
        </is>
      </c>
      <c r="B369" s="3" t="inlineStr"/>
      <c r="C369" s="3" t="inlineStr">
        <is>
          <t>CC(C)(C)C(=O)O</t>
        </is>
      </c>
      <c r="D369" s="2" t="inlineStr">
        <is>
          <t>Hydrolysis of a pivaloyl amide or ester (acid or base) releases pivalic acid.</t>
        </is>
      </c>
      <c r="E369" s="2" t="n">
        <v>333</v>
      </c>
      <c r="F369" s="2" t="inlineStr">
        <is>
          <t>atom balance (starting materials + O = product + by-products) holds in 6 of 6 recorded examples; reagent supplies O</t>
        </is>
      </c>
    </row>
    <row r="370">
      <c r="A370" s="3" t="inlineStr">
        <is>
          <t>CC(C)(C)O.O=CO</t>
        </is>
      </c>
      <c r="B370" s="3" t="inlineStr"/>
      <c r="C370" s="3" t="inlineStr">
        <is>
          <t>O.O=C=O.C=C(C)C</t>
        </is>
      </c>
      <c r="D370" s="2" t="inlineStr">
        <is>
          <t>Amide coupling releases water and the Boc group removed in the same sequence leaves as CO2 and isobutylene.</t>
        </is>
      </c>
      <c r="E370" s="2" t="n">
        <v>333</v>
      </c>
      <c r="F370" s="2" t="inlineStr">
        <is>
          <t>atom balance (starting materials + nothing = product + by-products) holds in 6 of 6 recorded examples</t>
        </is>
      </c>
    </row>
    <row r="371">
      <c r="A371" s="3" t="inlineStr">
        <is>
          <t>CC(C)(C)O</t>
        </is>
      </c>
      <c r="B371" s="3" t="inlineStr"/>
      <c r="C371" s="3" t="inlineStr">
        <is>
          <t>CC(C)(C)O</t>
        </is>
      </c>
      <c r="D371" s="2" t="inlineStr">
        <is>
          <t>Aminolysis of a Boc carbamate to a urea (or chlorination with tBuOCl) releases tert-butanol.</t>
        </is>
      </c>
      <c r="E371" s="2" t="n">
        <v>330</v>
      </c>
      <c r="F371" s="2" t="inlineStr">
        <is>
          <t>atom balance (starting materials + nothing = product + by-products) holds in 5 of 6 recorded examples</t>
        </is>
      </c>
    </row>
    <row r="372">
      <c r="A372" s="3" t="inlineStr">
        <is>
          <t>Br.C.C.CO</t>
        </is>
      </c>
      <c r="B372" s="3" t="inlineStr">
        <is>
          <t>Cl</t>
        </is>
      </c>
      <c r="C372" s="3" t="inlineStr">
        <is>
          <t>CCCCBr.3*CO.[Li]Cl</t>
        </is>
      </c>
      <c r="D372" s="2" t="inlineStr">
        <is>
          <t>Br/Li exchange with n-BuLi, borylation with B(OMe)3 and HCl work-up give the boronic acid, releasing n-BuBr, three methanol and LiCl.</t>
        </is>
      </c>
      <c r="E372" s="2" t="n">
        <v>321</v>
      </c>
      <c r="F372" s="2" t="inlineStr">
        <is>
          <t>atom balance (starting materials + [Li]CCCC.2*O.Cl = product + by-products) holds in 6 of 6 recorded examples; reagent supplies [Li]CCCC.2*O.Cl</t>
        </is>
      </c>
    </row>
    <row r="373">
      <c r="A373" s="3" t="inlineStr">
        <is>
          <t>Br.C.C.CO</t>
        </is>
      </c>
      <c r="B373" s="3" t="inlineStr">
        <is>
          <t>[Li][C](C)(C)C</t>
        </is>
      </c>
      <c r="C373" s="3" t="inlineStr">
        <is>
          <t>[Li]Br.CC(C)C.C=C(C)C.3*CO.[Li]O</t>
        </is>
      </c>
      <c r="D373" s="2" t="inlineStr">
        <is>
          <t>Br/Li exchange with two tBuLi, borylation with B(OMe)3 and aqueous work-up release LiBr, isobutane, isobutene and three methanol.</t>
        </is>
      </c>
      <c r="E373" s="2" t="n">
        <v>321</v>
      </c>
      <c r="F373" s="2" t="inlineStr">
        <is>
          <t>atom balance (starting materials + 2*[Li]C(C)(C)C.3*O = product + by-products) holds in 6 of 6 recorded examples; reagent supplies 2*[Li]C(C)(C)C.3*O</t>
        </is>
      </c>
    </row>
    <row r="374">
      <c r="A374" s="3" t="inlineStr">
        <is>
          <t>Br.C.C.CO</t>
        </is>
      </c>
      <c r="B374" s="3" t="inlineStr"/>
      <c r="C374" s="3" t="inlineStr">
        <is>
          <t>CCCCBr.3*CO.[Li]O</t>
        </is>
      </c>
      <c r="D374" s="2" t="inlineStr">
        <is>
          <t>Br/Li exchange with n-BuLi, borylation with B(OMe)3 and aqueous work-up give the boronic acid, releasing n-BuBr, three methanol and LiOH.</t>
        </is>
      </c>
      <c r="E374" s="2" t="n">
        <v>321</v>
      </c>
      <c r="F374" s="2" t="inlineStr">
        <is>
          <t>atom balance (starting materials + [Li]CCCC.3*O = product + by-products) holds in 6 of 6 recorded examples; reagent supplies [Li]CCCC.3*O</t>
        </is>
      </c>
    </row>
    <row r="375">
      <c r="A375" s="3" t="inlineStr">
        <is>
          <t>CCC.[Li]</t>
        </is>
      </c>
      <c r="B375" s="3" t="inlineStr"/>
      <c r="C375" s="3" t="inlineStr">
        <is>
          <t>CCCC.[Li]I</t>
        </is>
      </c>
      <c r="D375" s="2" t="inlineStr">
        <is>
          <t>n-BuLi deprotonates (giving butane) and the lithiated carbon is methylated by MeI, releasing LiI.</t>
        </is>
      </c>
      <c r="E375" s="2" t="n">
        <v>321</v>
      </c>
      <c r="F375" s="2" t="inlineStr">
        <is>
          <t>atom balance (starting materials + CI = product + by-products) holds in 6 of 6 recorded examples; reagent supplies CI</t>
        </is>
      </c>
    </row>
    <row r="376">
      <c r="A376" s="3" t="inlineStr">
        <is>
          <t>C.CCO.O</t>
        </is>
      </c>
      <c r="B376" s="3" t="inlineStr">
        <is>
          <t>O=S(=O)(O)O</t>
        </is>
      </c>
      <c r="C376" s="3" t="inlineStr">
        <is>
          <t>CCOC(C)=O.O</t>
        </is>
      </c>
      <c r="D376" s="2" t="inlineStr">
        <is>
          <t>Fischer esterification in methanol releases water; ethyl acetate recorded as a starting material is returned.</t>
        </is>
      </c>
      <c r="E376" s="2" t="n">
        <v>312</v>
      </c>
      <c r="F376" s="2" t="inlineStr">
        <is>
          <t>atom balance (starting materials + CO = product + by-products) holds in 6 of 6 recorded examples; reagent supplies CO</t>
        </is>
      </c>
    </row>
    <row r="377">
      <c r="A377" s="3" t="inlineStr">
        <is>
          <t>C.CCO.O</t>
        </is>
      </c>
      <c r="B377" s="3" t="inlineStr"/>
      <c r="C377" s="3" t="inlineStr">
        <is>
          <t>CCOC(C)=O.I</t>
        </is>
      </c>
      <c r="D377" s="2" t="inlineStr">
        <is>
          <t>Methylation (MeI with NaH; the methyl source is sometimes not listed) releases HI (as NaI + H2); the ethyl acetate recorded as a starting material is returned.</t>
        </is>
      </c>
      <c r="E377" s="2" t="n">
        <v>312</v>
      </c>
      <c r="F377" s="2" t="inlineStr">
        <is>
          <t>atom balance (starting materials + CI = product + by-products) holds in 6 of 6 recorded examples; reagent supplies CI</t>
        </is>
      </c>
    </row>
    <row r="378">
      <c r="A378" s="3" t="inlineStr">
        <is>
          <t>N.N[O-]</t>
        </is>
      </c>
      <c r="B378" s="3" t="inlineStr"/>
      <c r="C378" s="3" t="inlineStr">
        <is>
          <t>N#N.O</t>
        </is>
      </c>
      <c r="D378" s="2" t="inlineStr">
        <is>
          <t>Diazotisation with NaNO2/H2SO4 and hydrolysis of the diazonium (or nitrous acid deamination of a primary amide) releases N2 and water.</t>
        </is>
      </c>
      <c r="E378" s="2" t="n">
        <v>309</v>
      </c>
      <c r="F378" s="2" t="inlineStr">
        <is>
          <t>atom balance (starting materials + O=NO = product + by-products) holds in 6 of 6 recorded examples; reagent supplies O=NO</t>
        </is>
      </c>
    </row>
    <row r="379">
      <c r="A379" s="3" t="inlineStr">
        <is>
          <t>O.S=P12SP3SP(=S)(S1)SP(=S)(S3)S2</t>
        </is>
      </c>
      <c r="B379" s="3" t="inlineStr"/>
      <c r="C379" s="3" t="inlineStr">
        <is>
          <t>O=P12SP3(=S)SP(=S)(S1)SP(=S)(S2)S3</t>
        </is>
      </c>
      <c r="D379" s="2" t="inlineStr">
        <is>
          <t>Thionation of a carbonyl with P4S10 exchanges O for S, leaving the P4S9O cage (further hydrolysed to phosphoric acid/H2S on work-up).</t>
        </is>
      </c>
      <c r="E379" s="2" t="n">
        <v>308</v>
      </c>
      <c r="F379" s="2" t="inlineStr">
        <is>
          <t>atom balance (starting materials + S=P12SP3(=S)SP(=S)(S1)SP(=S)(S2)S3 = product + by-products) holds in 6 of 6 recorded examples; reagent supplies S=P12SP3(=S)SP(=S)(S1)SP(=S)(S2)S3</t>
        </is>
      </c>
    </row>
    <row r="380">
      <c r="A380" s="3" t="inlineStr">
        <is>
          <t>ClC(Cl)Cl</t>
        </is>
      </c>
      <c r="B380" s="3" t="inlineStr"/>
      <c r="C380" s="3" t="inlineStr">
        <is>
          <t>ClC(Cl)Cl</t>
        </is>
      </c>
      <c r="D380" s="2" t="inlineStr">
        <is>
          <t>Haloform-type aminolysis/alcoholysis of a trichloromethyl ketone or trichloroacetamide releases chloroform.</t>
        </is>
      </c>
      <c r="E380" s="2" t="n">
        <v>305</v>
      </c>
      <c r="F380" s="2" t="inlineStr">
        <is>
          <t>atom balance (starting materials + nothing = product + by-products) holds in 6 of 6 recorded examples</t>
        </is>
      </c>
    </row>
    <row r="381">
      <c r="A381" s="3" t="inlineStr">
        <is>
          <t>Cc1ccc([SH](=O)=O)cc1.O</t>
        </is>
      </c>
      <c r="B381" s="3" t="inlineStr"/>
      <c r="C381" s="3" t="inlineStr">
        <is>
          <t>Cc1ccc(S(=O)(=O)O)cc1</t>
        </is>
      </c>
      <c r="D381" s="2" t="inlineStr">
        <is>
          <t>Displacement of a tosylate (or tosylation/chlorination with TsCl or Ts2O) releases p-toluenesulfonic acid.</t>
        </is>
      </c>
      <c r="E381" s="2" t="n">
        <v>298</v>
      </c>
      <c r="F381" s="2" t="inlineStr">
        <is>
          <t>atom balance (starting materials + nothing = product + by-products) holds in 6 of 6 recorded examples</t>
        </is>
      </c>
    </row>
    <row r="382">
      <c r="A382" s="3" t="inlineStr">
        <is>
          <t>C[S+](C)=O</t>
        </is>
      </c>
      <c r="B382" s="3" t="inlineStr">
        <is>
          <t>CC(C)(C)[O-]</t>
        </is>
      </c>
      <c r="C382" s="3" t="inlineStr">
        <is>
          <t>CS(C)=O.CC(C)(C)O</t>
        </is>
      </c>
      <c r="D382" s="2" t="inlineStr">
        <is>
          <t>KOtBu generates the sulfoxonium ylide from Me3S(O)+, which transfers CH2 (Corey-Chaykovsky epoxidation/cyclopropanation), releasing DMSO and tert-butanol.</t>
        </is>
      </c>
      <c r="E382" s="2" t="n">
        <v>296</v>
      </c>
      <c r="F382" s="2" t="inlineStr">
        <is>
          <t>atom balance (starting materials + CC(C)(C)[O-] = product + by-products) holds in 6 of 6 recorded examples; reagent supplies CC(C)(C)[O-]</t>
        </is>
      </c>
    </row>
    <row r="383">
      <c r="A383" s="3" t="inlineStr">
        <is>
          <t>C[S+](C)=O</t>
        </is>
      </c>
      <c r="B383" s="3" t="inlineStr"/>
      <c r="C383" s="3" t="inlineStr">
        <is>
          <t>CS(C)=O.[H][H]</t>
        </is>
      </c>
      <c r="D383" s="2" t="inlineStr">
        <is>
          <t>NaH generates dimethylsulfoxonium methylide from Me3S(O)+ I- (releasing H2), which transfers CH2 to the carbonyl or enone, releasing DMSO.</t>
        </is>
      </c>
      <c r="E383" s="2" t="n">
        <v>296</v>
      </c>
      <c r="F383" s="2" t="inlineStr">
        <is>
          <t>atom balance (starting materials + [H-] = product + by-products) holds in 6 of 6 recorded examples; reagent supplies [H-]</t>
        </is>
      </c>
    </row>
    <row r="384">
      <c r="A384" s="3" t="inlineStr">
        <is>
          <t>Br.F[B-](F)F</t>
        </is>
      </c>
      <c r="B384" s="3" t="inlineStr"/>
      <c r="C384" s="3" t="inlineStr">
        <is>
          <t>FB(F)F.[Br-]</t>
        </is>
      </c>
      <c r="D384" s="2" t="inlineStr">
        <is>
          <t>Suzuki-Molander coupling of an organotrifluoroborate with an aryl bromide releases bromide (as KBr) and BF3, which the base traps as fluoroborate salts.</t>
        </is>
      </c>
      <c r="E384" s="2" t="n">
        <v>288</v>
      </c>
      <c r="F384" s="2" t="inlineStr">
        <is>
          <t>atom balance (starting materials + nothing = product + by-products) holds in 6 of 6 recorded examples</t>
        </is>
      </c>
    </row>
    <row r="385">
      <c r="A385" s="3" t="inlineStr">
        <is>
          <t>Cc1ccccc1.Cl</t>
        </is>
      </c>
      <c r="B385" s="3" t="inlineStr"/>
      <c r="C385" s="3" t="inlineStr">
        <is>
          <t>ClCc1ccccc1</t>
        </is>
      </c>
      <c r="D385" s="2" t="inlineStr">
        <is>
          <t>Chloroformate (or phosgene) dealkylation of an N-benzyl amine expels the benzyl group as benzyl chloride.</t>
        </is>
      </c>
      <c r="E385" s="2" t="n">
        <v>287</v>
      </c>
      <c r="F385" s="2" t="inlineStr">
        <is>
          <t>atom balance (starting materials + nothing = product + by-products) holds in 6 of 6 recorded examples</t>
        </is>
      </c>
    </row>
    <row r="386">
      <c r="A386" s="3" t="inlineStr">
        <is>
          <t>Cl.[Mg][Br]</t>
        </is>
      </c>
      <c r="B386" s="3" t="inlineStr"/>
      <c r="C386" s="3" t="inlineStr">
        <is>
          <t>[Mg+2].[Br-].[Cl-]</t>
        </is>
      </c>
      <c r="D386" s="2" t="inlineStr">
        <is>
          <t>A Grignard reagent displaces chloride (cross-coupling, acylation or silylation), leaving magnesium bromide chloride.</t>
        </is>
      </c>
      <c r="E386" s="2" t="n">
        <v>281</v>
      </c>
      <c r="F386" s="2" t="inlineStr">
        <is>
          <t>atom balance (starting materials + nothing = product + by-products) holds in 6 of 6 recorded examples</t>
        </is>
      </c>
    </row>
    <row r="387">
      <c r="A387" s="3" t="inlineStr">
        <is>
          <t>CC(=O)O.O</t>
        </is>
      </c>
      <c r="B387" s="3" t="inlineStr"/>
      <c r="C387" s="3" t="inlineStr">
        <is>
          <t>CC(=O)O.O</t>
        </is>
      </c>
      <c r="D387" s="2" t="inlineStr">
        <is>
          <t>Acetic anhydride acylates and the intermediate cyclodehydrates (benzoxazinone, oxadiazole, chromone, coumarin), releasing acetic acid and water.</t>
        </is>
      </c>
      <c r="E387" s="2" t="n">
        <v>277</v>
      </c>
      <c r="F387" s="2" t="inlineStr">
        <is>
          <t>atom balance (starting materials + nothing = product + by-products) holds in 6 of 6 recorded examples</t>
        </is>
      </c>
    </row>
    <row r="388">
      <c r="A388" s="3" t="inlineStr">
        <is>
          <t>C.[O-][I+3]([O-])[O-]</t>
        </is>
      </c>
      <c r="B388" s="3" t="inlineStr"/>
      <c r="C388" s="3" t="inlineStr">
        <is>
          <t>C=O.2*O=I(=O)[O-]</t>
        </is>
      </c>
      <c r="D388" s="2" t="inlineStr">
        <is>
          <t>Lemieux-Johnson cleavage of a terminal alkene (OsO4 catalyst, NaIO4 oxidant) gives the aldehyde plus formaldehyde, with two periodates reduced to iodate.</t>
        </is>
      </c>
      <c r="E388" s="2" t="n">
        <v>276</v>
      </c>
      <c r="F388" s="2" t="inlineStr">
        <is>
          <t>atom balance (starting materials + 2*[O-][I+3]([O-])([O-])[O-] = product + by-products) holds in 5 of 6 recorded examples; reagent supplies 2*[O-][I+3]([O-])([O-])[O-]</t>
        </is>
      </c>
    </row>
    <row r="389">
      <c r="A389" s="3" t="inlineStr">
        <is>
          <t>O=[Se]</t>
        </is>
      </c>
      <c r="B389" s="3" t="inlineStr"/>
      <c r="C389" s="3" t="inlineStr">
        <is>
          <t>[Se].O</t>
        </is>
      </c>
      <c r="D389" s="2" t="inlineStr">
        <is>
          <t>Riley oxidation: SeO2 oxidises an activated CH3/CH2 to C=O and is reduced to elemental selenium with loss of water.</t>
        </is>
      </c>
      <c r="E389" s="2" t="n">
        <v>274</v>
      </c>
      <c r="F389" s="2" t="inlineStr">
        <is>
          <t>atom balance (starting materials + O=[Se]=O = product + by-products) holds in 6 of 6 recorded examples; reagent supplies O=[Se]=O</t>
        </is>
      </c>
    </row>
    <row r="390">
      <c r="A390" s="3" t="inlineStr">
        <is>
          <t>[O-][I+3]([O-])[O-]</t>
        </is>
      </c>
      <c r="B390" s="3" t="inlineStr"/>
      <c r="C390" s="3" t="inlineStr">
        <is>
          <t>O=I(=O)[O-]</t>
        </is>
      </c>
      <c r="D390" s="2" t="inlineStr">
        <is>
          <t>Sodium periodate transfers one oxygen to the sulfide, giving the sulfoxide and iodate.</t>
        </is>
      </c>
      <c r="E390" s="2" t="n">
        <v>270</v>
      </c>
      <c r="F390" s="2" t="inlineStr">
        <is>
          <t>atom balance (starting materials + [O-][I+3]([O-])([O-])[O-] = product + by-products) holds in 5 of 6 recorded examples; reagent supplies [O-][I+3]([O-])([O-])[O-]</t>
        </is>
      </c>
    </row>
    <row r="391">
      <c r="A391" s="3" t="inlineStr">
        <is>
          <t>Br.CC.O</t>
        </is>
      </c>
      <c r="B391" s="3" t="inlineStr"/>
      <c r="C391" s="3" t="inlineStr">
        <is>
          <t>Br.CCO</t>
        </is>
      </c>
      <c r="D391" s="2" t="inlineStr">
        <is>
          <t>Tandem N-alkylation and lactamisation (isoindolinone/pyrrolinone formation) of an amine with a bromomethyl ethyl ester releases HBr and ethanol.</t>
        </is>
      </c>
      <c r="E391" s="2" t="n">
        <v>262</v>
      </c>
      <c r="F391" s="2" t="inlineStr">
        <is>
          <t>atom balance (starting materials + nothing = product + by-products) holds in 6 of 6 recorded examples</t>
        </is>
      </c>
    </row>
    <row r="392">
      <c r="A392" s="3" t="inlineStr">
        <is>
          <t>CC=O.O</t>
        </is>
      </c>
      <c r="B392" s="3" t="inlineStr"/>
      <c r="C392" s="3" t="inlineStr">
        <is>
          <t>CC(=O)O</t>
        </is>
      </c>
      <c r="D392" s="2" t="inlineStr">
        <is>
          <t>An acetyl group is transferred or cleaved (acetate deprotection, Baeyer-Villiger with peracetic acid, chlorination with acetyl chloride), leaving acetic acid.</t>
        </is>
      </c>
      <c r="E392" s="2" t="n">
        <v>262</v>
      </c>
      <c r="F392" s="2" t="inlineStr">
        <is>
          <t>atom balance (starting materials + nothing = product + by-products) holds in 6 of 6 recorded examples</t>
        </is>
      </c>
    </row>
    <row r="393">
      <c r="A393" s="3" t="inlineStr">
        <is>
          <t>O=[PH](Cl)Cl.[O-]</t>
        </is>
      </c>
      <c r="B393" s="3" t="inlineStr"/>
      <c r="C393" s="3" t="inlineStr">
        <is>
          <t>O=P(O)(Cl)Cl</t>
        </is>
      </c>
      <c r="D393" s="2" t="inlineStr">
        <is>
          <t>POCl3 deoxychlorinates the N-oxide (Meisenheimer-type), giving the chloro-heteroarene and dichlorophosphoric acid.</t>
        </is>
      </c>
      <c r="E393" s="2" t="n">
        <v>258</v>
      </c>
      <c r="F393" s="2" t="inlineStr">
        <is>
          <t>atom balance (starting materials + O=P(Cl)(Cl)Cl = product + by-products) holds in 6 of 6 recorded examples; reagent supplies O=P(Cl)(Cl)Cl</t>
        </is>
      </c>
    </row>
    <row r="394">
      <c r="A394" s="3" t="inlineStr">
        <is>
          <t>Cl.[Zn+]</t>
        </is>
      </c>
      <c r="B394" s="3" t="inlineStr"/>
      <c r="C394" s="3" t="inlineStr">
        <is>
          <t>[Zn+2].[Cl-]</t>
        </is>
      </c>
      <c r="D394" s="2" t="inlineStr">
        <is>
          <t>Negishi coupling of the organozinc halide with an organic chloride leaves zinc chloride (with the organozinc counter-ion).</t>
        </is>
      </c>
      <c r="E394" s="2" t="n">
        <v>256</v>
      </c>
      <c r="F394" s="2" t="inlineStr">
        <is>
          <t>atom balance (starting materials + nothing = product + by-products) holds in 6 of 6 recorded examples</t>
        </is>
      </c>
    </row>
    <row r="395">
      <c r="A395" s="3" t="inlineStr">
        <is>
          <t>C[SiH](C)C.Cl</t>
        </is>
      </c>
      <c r="B395" s="3" t="inlineStr"/>
      <c r="C395" s="3" t="inlineStr">
        <is>
          <t>C[Si](C)(C)Cl</t>
        </is>
      </c>
      <c r="D395" s="2" t="inlineStr">
        <is>
          <t>A trimethylsilyl group is exchanged for the electrophile (acyl chloride + TMS-CN/TMS-alkyne/TMS-diazomethane, or TMS-Br halogen exchange), releasing chlorotrimethylsilane.</t>
        </is>
      </c>
      <c r="E395" s="2" t="n">
        <v>252</v>
      </c>
      <c r="F395" s="2" t="inlineStr">
        <is>
          <t>atom balance (starting materials + nothing = product + by-products) holds in 5 of 6 recorded examples</t>
        </is>
      </c>
    </row>
    <row r="396">
      <c r="A396" s="3" t="inlineStr">
        <is>
          <t>CC(C)(C)OC=O.CCC</t>
        </is>
      </c>
      <c r="B396" s="3" t="inlineStr"/>
      <c r="C396" s="3" t="inlineStr">
        <is>
          <t>O=C=O.C=C(C)C.CC(C)=O</t>
        </is>
      </c>
      <c r="D396" s="2" t="inlineStr">
        <is>
          <t>Acid removes both the Boc group (as CO2 and isobutene) and the acetonide/N,O-acetal, which hydrolyses to acetone.</t>
        </is>
      </c>
      <c r="E396" s="2" t="n">
        <v>250</v>
      </c>
      <c r="F396" s="2" t="inlineStr">
        <is>
          <t>atom balance (starting materials + O = product + by-products) holds in 5 of 6 recorded examples; reagent supplies O</t>
        </is>
      </c>
    </row>
    <row r="397">
      <c r="A397" s="3" t="inlineStr">
        <is>
          <t>CO.Cl.Cl.Cl.OC(Cl)(Cl)Cl</t>
        </is>
      </c>
      <c r="B397" s="3" t="inlineStr"/>
      <c r="C397" s="3" t="inlineStr">
        <is>
          <t>2*O=C=O.6*Cl</t>
        </is>
      </c>
      <c r="D397" s="2" t="inlineStr">
        <is>
          <t>Triphosgene supplies one carbonyl to the carbamate/urea; the other two phosgene equivalents and the 2 HCl formed are destroyed in the basic aqueous work-up as CO2 and HCl (chloride).</t>
        </is>
      </c>
      <c r="E397" s="2" t="n">
        <v>243</v>
      </c>
      <c r="F397" s="2" t="inlineStr">
        <is>
          <t>atom balance (starting materials + 2*O = product + by-products) holds in 6 of 6 recorded examples; reagent supplies 2*O</t>
        </is>
      </c>
    </row>
    <row r="398">
      <c r="A398" s="3" t="inlineStr">
        <is>
          <t>Br.Br.O</t>
        </is>
      </c>
      <c r="B398" s="3" t="inlineStr"/>
      <c r="C398" s="3" t="inlineStr">
        <is>
          <t>O=P(c1ccccc1)(c1ccccc1)c1ccccc1.Br[P+](c1ccccc1)(c1ccccc1)c1ccccc1.[Br-]</t>
        </is>
      </c>
      <c r="D398" s="2" t="inlineStr">
        <is>
          <t>Ramirez/Corey-Fuchs dibromo-olefination: CBr4 and two PPh3 convert C=O to C=CBr2, giving triphenylphosphine oxide and Ph3PBr2.</t>
        </is>
      </c>
      <c r="E398" s="2" t="n">
        <v>243</v>
      </c>
      <c r="F398" s="2" t="inlineStr">
        <is>
          <t>atom balance (starting materials + 2*c1ccc(P(c2ccccc2)c2ccccc2)cc1 = product + by-products) holds in 5 of 6 recorded examples; reagent supplies 2*c1ccc(P(c2ccccc2)c2ccccc2)cc1</t>
        </is>
      </c>
    </row>
    <row r="399">
      <c r="A399" s="3" t="inlineStr">
        <is>
          <t>Br.Br.O</t>
        </is>
      </c>
      <c r="B399" s="3" t="inlineStr">
        <is>
          <t>[Zn]</t>
        </is>
      </c>
      <c r="C399" s="3" t="inlineStr">
        <is>
          <t>O=P(c1ccccc1)(c1ccccc1)c1ccccc1.[Zn+2].2*[Br-]</t>
        </is>
      </c>
      <c r="D399" s="2" t="inlineStr">
        <is>
          <t>Zinc-mediated Wittig-type olefination with CBr4 or CF2Br2 and PPh3 gives the dihalo-olefin, triphenylphosphine oxide and zinc bromide.</t>
        </is>
      </c>
      <c r="E399" s="2" t="n">
        <v>243</v>
      </c>
      <c r="F399" s="2" t="inlineStr">
        <is>
          <t>atom balance (starting materials + c1ccc(P(c2ccccc2)c2ccccc2)cc1.[Zn] = product + by-products) holds in 6 of 6 recorded examples; reagent supplies c1ccc(P(c2ccccc2)c2ccccc2)cc1.[Zn]</t>
        </is>
      </c>
    </row>
    <row r="400">
      <c r="A400" s="3" t="inlineStr">
        <is>
          <t>[Mg+]</t>
        </is>
      </c>
      <c r="B400" s="3" t="inlineStr"/>
      <c r="C400" s="3" t="inlineStr">
        <is>
          <t>[Mg+2].[OH-]</t>
        </is>
      </c>
      <c r="D400" s="2" t="inlineStr">
        <is>
          <t>Grignard addition to C=O; the aqueous work-up protonates the alkoxide, leaving a magnesium hydroxide halide.</t>
        </is>
      </c>
      <c r="E400" s="2" t="n">
        <v>243</v>
      </c>
      <c r="F400" s="2" t="inlineStr">
        <is>
          <t>atom balance (starting materials + O = product + by-products) holds in 6 of 6 recorded examples; reagent supplies O</t>
        </is>
      </c>
    </row>
    <row r="401">
      <c r="A401" s="3" t="inlineStr">
        <is>
          <t>Br.CC(C)(C)OC=O</t>
        </is>
      </c>
      <c r="B401" s="3" t="inlineStr"/>
      <c r="C401" s="3" t="inlineStr">
        <is>
          <t>Br.O=C=O.C=C(C)C</t>
        </is>
      </c>
      <c r="D401" s="2" t="inlineStr">
        <is>
          <t>N-Alkylation/arylation of a Boc-amine with an organic bromide releases HBr, and the Boc group is later removed as CO2 and isobutene.</t>
        </is>
      </c>
      <c r="E401" s="2" t="n">
        <v>242</v>
      </c>
      <c r="F401" s="2" t="inlineStr">
        <is>
          <t>atom balance (starting materials + nothing = product + by-products) holds in 6 of 6 recorded examples</t>
        </is>
      </c>
    </row>
    <row r="402">
      <c r="A402" s="3" t="inlineStr">
        <is>
          <t>C.CC(=O)O</t>
        </is>
      </c>
      <c r="B402" s="3" t="inlineStr"/>
      <c r="C402" s="3" t="inlineStr">
        <is>
          <t>2*CC(=O)O</t>
        </is>
      </c>
      <c r="D402" s="2" t="inlineStr">
        <is>
          <t>N-Formylation with acetic formic anhydride (acetic anhydride + formic acid) releases two acetic acids.</t>
        </is>
      </c>
      <c r="E402" s="2" t="n">
        <v>241</v>
      </c>
      <c r="F402" s="2" t="inlineStr">
        <is>
          <t>atom balance (starting materials + O=CO = product + by-products) holds in 6 of 6 recorded examples; reagent supplies O=CO</t>
        </is>
      </c>
    </row>
    <row r="403">
      <c r="A403" s="3" t="inlineStr">
        <is>
          <t>I.I</t>
        </is>
      </c>
      <c r="B403" s="3" t="inlineStr"/>
      <c r="C403" s="3" t="inlineStr">
        <is>
          <t>2*[Cu]I</t>
        </is>
      </c>
      <c r="D403" s="2" t="inlineStr">
        <is>
          <t>Copper-mediated coupling of two iodides (Ullmann or perfluoroalkylation) consumes two copper atoms and leaves two CuI.</t>
        </is>
      </c>
      <c r="E403" s="2" t="n">
        <v>240</v>
      </c>
      <c r="F403" s="2" t="inlineStr">
        <is>
          <t>atom balance (starting materials + 2*[Cu] = product + by-products) holds in 6 of 6 recorded examples; reagent supplies 2*[Cu]</t>
        </is>
      </c>
    </row>
    <row r="404">
      <c r="A404" s="3" t="inlineStr">
        <is>
          <t>I.I</t>
        </is>
      </c>
      <c r="B404" s="3" t="inlineStr">
        <is>
          <t>[Zn]</t>
        </is>
      </c>
      <c r="C404" s="3" t="inlineStr">
        <is>
          <t>[Zn+2].2*[I-]</t>
        </is>
      </c>
      <c r="D404" s="2" t="inlineStr">
        <is>
          <t>Zinc inserts into the alkyl iodide and the organozinc couples (Negishi) with the aryl iodide, leaving zinc iodide.</t>
        </is>
      </c>
      <c r="E404" s="2" t="n">
        <v>240</v>
      </c>
      <c r="F404" s="2" t="inlineStr">
        <is>
          <t>atom balance (starting materials + [Zn] = product + by-products) holds in 6 of 6 recorded examples; reagent supplies [Zn]</t>
        </is>
      </c>
    </row>
    <row r="405">
      <c r="A405" s="3" t="inlineStr">
        <is>
          <t>I.I</t>
        </is>
      </c>
      <c r="B405" s="3" t="inlineStr">
        <is>
          <t>[Cu]</t>
        </is>
      </c>
      <c r="C405" s="3" t="inlineStr">
        <is>
          <t>2*[Cu]I</t>
        </is>
      </c>
      <c r="D405" s="2" t="inlineStr">
        <is>
          <t>Copper-mediated coupling of two iodides (Ullmann or perfluoroalkylation) consumes two copper atoms and leaves two CuI.</t>
        </is>
      </c>
      <c r="E405" s="2" t="n">
        <v>240</v>
      </c>
      <c r="F405" s="2" t="inlineStr">
        <is>
          <t>atom balance (starting materials + 2*[Cu] = product + by-products) holds in 6 of 6 recorded examples; reagent supplies 2*[Cu]</t>
        </is>
      </c>
    </row>
    <row r="406">
      <c r="A406" s="3" t="inlineStr">
        <is>
          <t>C.C.C=O.O</t>
        </is>
      </c>
      <c r="B406" s="3" t="inlineStr"/>
      <c r="C406" s="3" t="inlineStr">
        <is>
          <t>CN(C)C=O.O</t>
        </is>
      </c>
      <c r="D406" s="2" t="inlineStr">
        <is>
          <t>The acid is converted (via the acid chloride or anhydride) into the primary amide with ammonia, releasing water; the DMF recorded as a starting material is only catalyst/solvent and is recovered.</t>
        </is>
      </c>
      <c r="E406" s="2" t="n">
        <v>239</v>
      </c>
      <c r="F406" s="2" t="inlineStr">
        <is>
          <t>atom balance (starting materials + N = product + by-products) holds in 6 of 6 recorded examples; reagent supplies N</t>
        </is>
      </c>
    </row>
    <row r="407">
      <c r="A407" s="3" t="inlineStr">
        <is>
          <t>C[SiH](C)C.I</t>
        </is>
      </c>
      <c r="B407" s="3" t="inlineStr"/>
      <c r="C407" s="3" t="inlineStr">
        <is>
          <t>C[Si](C)(C)F.[I-]</t>
        </is>
      </c>
      <c r="D407" s="2" t="inlineStr">
        <is>
          <t>Fluoride-activated coupling of a TMS-alkyne or TMS-CF3 with an aryl iodide releases fluorotrimethylsilane and iodide.</t>
        </is>
      </c>
      <c r="E407" s="2" t="n">
        <v>239</v>
      </c>
      <c r="F407" s="2" t="inlineStr">
        <is>
          <t>atom balance (starting materials + [F-] = product + by-products) holds in 6 of 6 recorded examples; reagent supplies [F-]</t>
        </is>
      </c>
    </row>
    <row r="408">
      <c r="A408" s="3" t="inlineStr">
        <is>
          <t>CC(C)C.O=C[O-]</t>
        </is>
      </c>
      <c r="B408" s="3" t="inlineStr"/>
      <c r="C408" s="3" t="inlineStr">
        <is>
          <t>O=C=O.C=C(C)C</t>
        </is>
      </c>
      <c r="D408" s="2" t="inlineStr">
        <is>
          <t>Acid removes the Boc group (drawn here as a tert-butyl carbamate) as CO2 and isobutene, freeing the amine.</t>
        </is>
      </c>
      <c r="E408" s="2" t="n">
        <v>236</v>
      </c>
      <c r="F408" s="2" t="inlineStr">
        <is>
          <t>atom balance (starting materials + [H+] = product + by-products) holds in 5 of 6 recorded examples; reagent supplies [H+]</t>
        </is>
      </c>
    </row>
    <row r="409">
      <c r="A409" s="3" t="inlineStr">
        <is>
          <t>C.[O+][O-]</t>
        </is>
      </c>
      <c r="B409" s="3" t="inlineStr"/>
      <c r="C409" s="3" t="inlineStr">
        <is>
          <t>C=O.CS(C)=O</t>
        </is>
      </c>
      <c r="D409" s="2" t="inlineStr">
        <is>
          <t>Ozonolysis of a terminal alkene with dimethyl sulfide work-up gives the carbonyl compound plus formaldehyde and DMSO.</t>
        </is>
      </c>
      <c r="E409" s="2" t="n">
        <v>234</v>
      </c>
      <c r="F409" s="2" t="inlineStr">
        <is>
          <t>atom balance (starting materials + O=[O+][O-].CSC = product + by-products) holds in 5 of 6 recorded examples; reagent supplies O=[O+][O-].CSC</t>
        </is>
      </c>
    </row>
    <row r="410">
      <c r="A410" s="3" t="inlineStr">
        <is>
          <t>C.[O+][O-]</t>
        </is>
      </c>
      <c r="B410" s="3" t="inlineStr">
        <is>
          <t>c1ccc(P(c2ccccc2)c2ccccc2)cc1</t>
        </is>
      </c>
      <c r="C410" s="3" t="inlineStr">
        <is>
          <t>C=O.O=P(c1ccccc1)(c1ccccc1)c1ccccc1</t>
        </is>
      </c>
      <c r="D410" s="2" t="inlineStr">
        <is>
          <t>Ozonolysis with triphenylphosphine work-up gives the carbonyl compound plus formaldehyde and triphenylphosphine oxide.</t>
        </is>
      </c>
      <c r="E410" s="2" t="n">
        <v>234</v>
      </c>
      <c r="F410" s="2" t="inlineStr">
        <is>
          <t>atom balance (starting materials + O=[O+][O-].c1ccc(P(c2ccccc2)c2ccccc2)cc1 = product + by-products) holds in 6 of 6 recorded examples; reagent supplies O=[O+][O-].c1ccc(P(c2ccccc2)c2ccccc2)cc1</t>
        </is>
      </c>
    </row>
    <row r="411">
      <c r="A411" s="3" t="inlineStr">
        <is>
          <t>CBr</t>
        </is>
      </c>
      <c r="B411" s="3" t="inlineStr"/>
      <c r="C411" s="3" t="inlineStr">
        <is>
          <t>CBr</t>
        </is>
      </c>
      <c r="D411" s="2" t="inlineStr">
        <is>
          <t>A methyl group leaves as methyl bromide (von Braun N-demethylation with BrCN, or O-demethylation and lactonisation by bromide).</t>
        </is>
      </c>
      <c r="E411" s="2" t="n">
        <v>234</v>
      </c>
      <c r="F411" s="2" t="inlineStr">
        <is>
          <t>atom balance (starting materials + nothing = product + by-products) holds in 6 of 6 recorded examples</t>
        </is>
      </c>
    </row>
    <row r="412">
      <c r="A412" s="3" t="inlineStr">
        <is>
          <t>C=NCCCN(C)C.CC.O</t>
        </is>
      </c>
      <c r="B412" s="3" t="inlineStr"/>
      <c r="C412" s="3" t="inlineStr">
        <is>
          <t>CCNC(=O)NCCCN(C)C</t>
        </is>
      </c>
      <c r="D412" s="2" t="inlineStr">
        <is>
          <t>EDC couples the acid with ammonia to the primary amide; EDC (recorded as a starting material) ends up as its urea, EDU.</t>
        </is>
      </c>
      <c r="E412" s="2" t="n">
        <v>232</v>
      </c>
      <c r="F412" s="2" t="inlineStr">
        <is>
          <t>atom balance (starting materials + N = product + by-products) holds in 6 of 6 recorded examples; reagent supplies N</t>
        </is>
      </c>
    </row>
    <row r="413">
      <c r="A413" s="3" t="inlineStr">
        <is>
          <t>CC.Cl.O</t>
        </is>
      </c>
      <c r="B413" s="3" t="inlineStr"/>
      <c r="C413" s="3" t="inlineStr">
        <is>
          <t>Cl.CCO</t>
        </is>
      </c>
      <c r="D413" s="2" t="inlineStr">
        <is>
          <t>A cyclocondensation that displaces chloride and closes onto an ethyl ester releases HCl and ethanol.</t>
        </is>
      </c>
      <c r="E413" s="2" t="n">
        <v>230</v>
      </c>
      <c r="F413" s="2" t="inlineStr">
        <is>
          <t>atom balance (starting materials + nothing = product + by-products) holds in 6 of 6 recorded examples</t>
        </is>
      </c>
    </row>
    <row r="414">
      <c r="A414" s="3" t="inlineStr">
        <is>
          <t>C.C=O.Cl</t>
        </is>
      </c>
      <c r="B414" s="3" t="inlineStr"/>
      <c r="C414" s="3" t="inlineStr">
        <is>
          <t>CN(C)C=O.[Cl-]</t>
        </is>
      </c>
      <c r="D414" s="2" t="inlineStr">
        <is>
          <t>Pd-catalysed cyanation with Zn(CN)2 swaps chloride for cyanide (zinc ends as its chloride); the DMF recorded as a starting material is the solvent and is recovered.</t>
        </is>
      </c>
      <c r="E414" s="2" t="n">
        <v>228</v>
      </c>
      <c r="F414" s="2" t="inlineStr">
        <is>
          <t>atom balance (starting materials + [C-]#N = product + by-products) holds in 6 of 6 recorded examples; reagent supplies [C-]#N</t>
        </is>
      </c>
    </row>
    <row r="415">
      <c r="A415" s="3" t="inlineStr">
        <is>
          <t>O.O=[PH](Br)Br</t>
        </is>
      </c>
      <c r="B415" s="3" t="inlineStr"/>
      <c r="C415" s="3" t="inlineStr">
        <is>
          <t>O=P(O)(Br)Br</t>
        </is>
      </c>
      <c r="D415" s="2" t="inlineStr">
        <is>
          <t>POBr3 converts the hydroxy-heteroarene (or alcohol) into the bromide, giving dibromophosphoric acid.</t>
        </is>
      </c>
      <c r="E415" s="2" t="n">
        <v>222</v>
      </c>
      <c r="F415" s="2" t="inlineStr">
        <is>
          <t>atom balance (starting materials + O=P(Br)(Br)Br = product + by-products) holds in 6 of 6 recorded examples; reagent supplies O=P(Br)(Br)Br</t>
        </is>
      </c>
    </row>
    <row r="416">
      <c r="A416" s="3" t="inlineStr">
        <is>
          <t>C.C.C[N+](C)=COn1nnc2cccnc21.O</t>
        </is>
      </c>
      <c r="B416" s="3" t="inlineStr"/>
      <c r="C416" s="3" t="inlineStr">
        <is>
          <t>CN(C)C(=O)N(C)C.On1nnc2cccnc21.[NH4+]</t>
        </is>
      </c>
      <c r="D416" s="2" t="inlineStr">
        <is>
          <t>HATU (recorded as a starting material) couples the acid with ammonia to the primary amide, releasing tetramethylurea and HOAt; a second ammonia takes the proton.</t>
        </is>
      </c>
      <c r="E416" s="2" t="n">
        <v>220</v>
      </c>
      <c r="F416" s="2" t="inlineStr">
        <is>
          <t>atom balance (starting materials + 2*N = product + by-products) holds in 6 of 6 recorded examples; reagent supplies 2*N</t>
        </is>
      </c>
    </row>
    <row r="417">
      <c r="A417" s="3" t="inlineStr">
        <is>
          <t>C.CCOC(O)OCC</t>
        </is>
      </c>
      <c r="B417" s="3" t="inlineStr"/>
      <c r="C417" s="3" t="inlineStr">
        <is>
          <t>3*CCO</t>
        </is>
      </c>
      <c r="D417" s="2" t="inlineStr">
        <is>
          <t>Triethyl orthoformate supplies one CH carbon to the heterocycle and releases three ethanols.</t>
        </is>
      </c>
      <c r="E417" s="2" t="n">
        <v>220</v>
      </c>
      <c r="F417" s="2" t="inlineStr">
        <is>
          <t>atom balance (starting materials + nothing = product + by-products) holds in 5 of 6 recorded examples</t>
        </is>
      </c>
    </row>
    <row r="418">
      <c r="A418" s="3" t="inlineStr">
        <is>
          <t>F[B-](F)F</t>
        </is>
      </c>
      <c r="B418" s="3" t="inlineStr"/>
      <c r="C418" s="3" t="inlineStr">
        <is>
          <t>ClC[N+]12CC[NH+](CC1)CC2</t>
        </is>
      </c>
      <c r="D418" s="2" t="inlineStr">
        <is>
          <t>Selectfluor transfers F+ to the arene; the proton lost from the ring ends on the DABCO-derived amine (BF4- counter-ions are spectators).</t>
        </is>
      </c>
      <c r="E418" s="2" t="n">
        <v>216</v>
      </c>
      <c r="F418" s="2" t="inlineStr">
        <is>
          <t>atom balance (starting materials + F[N+]12CC[N+](CCl)(CC1)CC2 = product + by-products) holds in 6 of 6 recorded examples; reagent supplies F[N+]12CC[N+](CCl)(CC1)CC2</t>
        </is>
      </c>
    </row>
    <row r="419">
      <c r="A419" s="3" t="inlineStr">
        <is>
          <t>Br.C[SiH](C)C</t>
        </is>
      </c>
      <c r="B419" s="3" t="inlineStr"/>
      <c r="C419" s="3" t="inlineStr">
        <is>
          <t>C[Si](C)(C)F.[Br-]</t>
        </is>
      </c>
      <c r="D419" s="2" t="inlineStr">
        <is>
          <t>Sonogashira coupling with a TMS-alkyne (or TMSCN substitution) and fluoride removal of the TMS group release fluorotrimethylsilane and bromide.</t>
        </is>
      </c>
      <c r="E419" s="2" t="n">
        <v>216</v>
      </c>
      <c r="F419" s="2" t="inlineStr">
        <is>
          <t>atom balance (starting materials + [F-] = product + by-products) holds in 5 of 6 recorded examples; reagent supplies [F-]</t>
        </is>
      </c>
    </row>
    <row r="420">
      <c r="A420" s="3" t="inlineStr">
        <is>
          <t>Br.C[SiH](C)C</t>
        </is>
      </c>
      <c r="B420" s="3" t="inlineStr">
        <is>
          <t>[OH-]</t>
        </is>
      </c>
      <c r="C420" s="3" t="inlineStr">
        <is>
          <t>C[Si](C)(C)O.[Br-]</t>
        </is>
      </c>
      <c r="D420" s="2" t="inlineStr">
        <is>
          <t>Coupling with a TMS-alkyne then hydroxide/MeOH desilylation releases trimethylsilanol and bromide.</t>
        </is>
      </c>
      <c r="E420" s="2" t="n">
        <v>216</v>
      </c>
      <c r="F420" s="2" t="inlineStr">
        <is>
          <t>atom balance (starting materials + [OH-] = product + by-products) holds in 6 of 6 recorded examples; reagent supplies [OH-]</t>
        </is>
      </c>
    </row>
    <row r="421">
      <c r="A421" s="3" t="inlineStr">
        <is>
          <t>Cl.O=[N+]([O-])c1ccc(O)cc1</t>
        </is>
      </c>
      <c r="B421" s="3" t="inlineStr"/>
      <c r="C421" s="3" t="inlineStr">
        <is>
          <t>Cl.O=[N+]([O-])c1ccc(O)cc1</t>
        </is>
      </c>
      <c r="D421" s="2" t="inlineStr">
        <is>
          <t>4-Nitrophenyl chloroformate joins two amines (or amine and alcohol) into a urea/carbamate, releasing HCl and 4-nitrophenol.</t>
        </is>
      </c>
      <c r="E421" s="2" t="n">
        <v>211</v>
      </c>
      <c r="F421" s="2" t="inlineStr">
        <is>
          <t>atom balance (starting materials + nothing = product + by-products) holds in 6 of 6 recorded examples</t>
        </is>
      </c>
    </row>
    <row r="422">
      <c r="A422" s="3" t="inlineStr">
        <is>
          <t>[O-]C[O-]</t>
        </is>
      </c>
      <c r="B422" s="3" t="inlineStr"/>
      <c r="C422" s="3" t="inlineStr">
        <is>
          <t>O=C([O-])[O-].O=O.O</t>
        </is>
      </c>
      <c r="D422" s="2" t="inlineStr">
        <is>
          <t>Radziszewski hydration: two H2O2 (carbonate base) convert the nitrile to the primary amide, releasing O2 and water; the carbonate recorded as a starting material is recovered.</t>
        </is>
      </c>
      <c r="E422" s="2" t="n">
        <v>210</v>
      </c>
      <c r="F422" s="2" t="inlineStr">
        <is>
          <t>atom balance (starting materials + 2*OO = product + by-products) holds in 5 of 6 recorded examples; reagent supplies 2*OO</t>
        </is>
      </c>
    </row>
    <row r="423">
      <c r="A423" s="3" t="inlineStr">
        <is>
          <t>CCl.O</t>
        </is>
      </c>
      <c r="B423" s="3" t="inlineStr"/>
      <c r="C423" s="3" t="inlineStr">
        <is>
          <t>ClCCl.O=S=O.Cl</t>
        </is>
      </c>
      <c r="D423" s="2" t="inlineStr">
        <is>
          <t>Thionyl chloride converts the acid/alcohol to the chloride, releasing SO2 and HCl; the dichloromethane recorded as a starting material is the solvent and is recovered.</t>
        </is>
      </c>
      <c r="E423" s="2" t="n">
        <v>207</v>
      </c>
      <c r="F423" s="2" t="inlineStr">
        <is>
          <t>atom balance (starting materials + O=S(Cl)Cl = product + by-products) holds in 6 of 6 recorded examples; reagent supplies O=S(Cl)Cl</t>
        </is>
      </c>
    </row>
    <row r="424">
      <c r="A424" s="3" t="inlineStr">
        <is>
          <t>CCl.O</t>
        </is>
      </c>
      <c r="B424" s="3" t="inlineStr">
        <is>
          <t>O=C(Cl)C(=O)Cl</t>
        </is>
      </c>
      <c r="C424" s="3" t="inlineStr">
        <is>
          <t>ClCCl.[C-]#[O+].O=C=O.Cl</t>
        </is>
      </c>
      <c r="D424" s="2" t="inlineStr">
        <is>
          <t>Oxalyl chloride (cat. DMF) converts the acid to the acid chloride, releasing CO, CO2 and HCl; the dichloromethane recorded as a starting material is recovered.</t>
        </is>
      </c>
      <c r="E424" s="2" t="n">
        <v>207</v>
      </c>
      <c r="F424" s="2" t="inlineStr">
        <is>
          <t>atom balance (starting materials + O=C(Cl)C(=O)Cl = product + by-products) holds in 6 of 6 recorded examples; reagent supplies O=C(Cl)C(=O)Cl</t>
        </is>
      </c>
    </row>
    <row r="425">
      <c r="A425" s="3" t="inlineStr">
        <is>
          <t>CCNCC</t>
        </is>
      </c>
      <c r="B425" s="3" t="inlineStr"/>
      <c r="C425" s="3" t="inlineStr">
        <is>
          <t>CCNCC</t>
        </is>
      </c>
      <c r="D425" s="2" t="inlineStr">
        <is>
          <t>Diethylamine is released (from a Mannich base or a lithiated N,N-diethylbenzamide).</t>
        </is>
      </c>
      <c r="E425" s="2" t="n">
        <v>205</v>
      </c>
      <c r="F425" s="2" t="inlineStr">
        <is>
          <t>atom balance (starting materials + nothing = product + by-products) holds in 6 of 6 recorded examples</t>
        </is>
      </c>
    </row>
    <row r="426">
      <c r="A426" s="3" t="inlineStr">
        <is>
          <t>CCNCC</t>
        </is>
      </c>
      <c r="B426" s="3" t="inlineStr">
        <is>
          <t>CCI</t>
        </is>
      </c>
      <c r="C426" s="3" t="inlineStr">
        <is>
          <t>CCN(CC)CC.I</t>
        </is>
      </c>
      <c r="D426" s="2" t="inlineStr">
        <is>
          <t>N-Ethylation with ethyl iodide releases HI, taken up by the triethylamine recorded as a starting material.</t>
        </is>
      </c>
      <c r="E426" s="2" t="n">
        <v>205</v>
      </c>
      <c r="F426" s="2" t="inlineStr">
        <is>
          <t>atom balance (starting materials + CCI = product + by-products) holds in 5 of 6 recorded examples; reagent supplies CCI</t>
        </is>
      </c>
    </row>
    <row r="427">
      <c r="A427" s="3" t="inlineStr">
        <is>
          <t>CCNCC</t>
        </is>
      </c>
      <c r="B427" s="3" t="inlineStr">
        <is>
          <t>CCOC(=O)Cl</t>
        </is>
      </c>
      <c r="C427" s="3" t="inlineStr">
        <is>
          <t>CCN(CC)CC.O=C=O.Cl</t>
        </is>
      </c>
      <c r="D427" s="2" t="inlineStr">
        <is>
          <t>Ethyl chloroformate turns the acid into its ethyl ester via the mixed anhydride, releasing CO2 and HCl; the triethylamine recorded as a starting material is the base.</t>
        </is>
      </c>
      <c r="E427" s="2" t="n">
        <v>205</v>
      </c>
      <c r="F427" s="2" t="inlineStr">
        <is>
          <t>atom balance (starting materials + CCOC(=O)Cl = product + by-products) holds in 6 of 6 recorded examples; reagent supplies CCOC(=O)Cl</t>
        </is>
      </c>
    </row>
    <row r="428">
      <c r="A428" s="3" t="inlineStr">
        <is>
          <t>CO.C[SiH](C)C</t>
        </is>
      </c>
      <c r="B428" s="3" t="inlineStr"/>
      <c r="C428" s="3" t="inlineStr">
        <is>
          <t>CO[Si](C)(C)C</t>
        </is>
      </c>
      <c r="D428" s="2" t="inlineStr">
        <is>
          <t>Acid (TFA) turns N-(methoxymethyl)-N-(trimethylsilylmethyl)amine into the azomethine ylide for [3+2] cycloaddition, releasing methoxytrimethylsilane.</t>
        </is>
      </c>
      <c r="E428" s="2" t="n">
        <v>205</v>
      </c>
      <c r="F428" s="2" t="inlineStr">
        <is>
          <t>atom balance (starting materials + nothing = product + by-products) holds in 5 of 6 recorded examples</t>
        </is>
      </c>
    </row>
    <row r="429">
      <c r="A429" s="3" t="inlineStr">
        <is>
          <t>CC.CCC.CCC.O</t>
        </is>
      </c>
      <c r="B429" s="3" t="inlineStr"/>
      <c r="C429" s="3" t="inlineStr">
        <is>
          <t>CCN(C(C)C)C(C)C.O</t>
        </is>
      </c>
      <c r="D429" s="2" t="inlineStr">
        <is>
          <t>Amide coupling of the acid with ammonia gives the primary amide and water; the DIPEA recorded as a starting material is the base and is recovered.</t>
        </is>
      </c>
      <c r="E429" s="2" t="n">
        <v>204</v>
      </c>
      <c r="F429" s="2" t="inlineStr">
        <is>
          <t>atom balance (starting materials + N = product + by-products) holds in 6 of 6 recorded examples; reagent supplies N</t>
        </is>
      </c>
    </row>
    <row r="430">
      <c r="A430" s="3" t="inlineStr">
        <is>
          <t>?.Cl.O</t>
        </is>
      </c>
      <c r="B430" s="3" t="inlineStr"/>
      <c r="C430" s="3" t="inlineStr">
        <is>
          <t>[C-]#[O+].O=C=O.Cl</t>
        </is>
      </c>
      <c r="D430" s="2" t="inlineStr">
        <is>
          <t>Oxalyl chloride converts the carboxylic acid to the acid chloride, releasing CO, CO2 and HCl.</t>
        </is>
      </c>
      <c r="E430" s="2" t="n">
        <v>203</v>
      </c>
      <c r="F430" s="2" t="inlineStr">
        <is>
          <t>atom balance (starting materials + nothing = product + by-products) holds in 5 of 6 recorded examples</t>
        </is>
      </c>
    </row>
    <row r="431">
      <c r="A431" s="3" t="inlineStr">
        <is>
          <t>C.CCNCC</t>
        </is>
      </c>
      <c r="B431" s="3" t="inlineStr"/>
      <c r="C431" s="3" t="inlineStr">
        <is>
          <t>CCN(CC)CC.I</t>
        </is>
      </c>
      <c r="D431" s="2" t="inlineStr">
        <is>
          <t>N- or O-Methylation with methyl iodide releases HI, taken up by the triethylamine recorded as a starting material.</t>
        </is>
      </c>
      <c r="E431" s="2" t="n">
        <v>202</v>
      </c>
      <c r="F431" s="2" t="inlineStr">
        <is>
          <t>atom balance (starting materials + CI = product + by-products) holds in 5 of 6 recorded examples; reagent supplies CI</t>
        </is>
      </c>
    </row>
    <row r="432">
      <c r="A432" s="3" t="inlineStr">
        <is>
          <t>C.CCNCC</t>
        </is>
      </c>
      <c r="B432" s="3" t="inlineStr">
        <is>
          <t>O=S(Cl)Cl</t>
        </is>
      </c>
      <c r="C432" s="3" t="inlineStr">
        <is>
          <t>CCN(CC)CC.O</t>
        </is>
      </c>
      <c r="D432" s="2" t="inlineStr">
        <is>
          <t>SOCl2/methanol esterification of the acid releases water (SO2/HCl are reagent waste); the triethylamine recorded as a starting material is recovered.</t>
        </is>
      </c>
      <c r="E432" s="2" t="n">
        <v>202</v>
      </c>
      <c r="F432" s="2" t="inlineStr">
        <is>
          <t>atom balance (starting materials + CO = product + by-products) holds in 6 of 6 recorded examples; reagent supplies CO</t>
        </is>
      </c>
    </row>
    <row r="433">
      <c r="A433" s="3" t="inlineStr">
        <is>
          <t>C.CCNCC</t>
        </is>
      </c>
      <c r="B433" s="3" t="inlineStr">
        <is>
          <t>C=O</t>
        </is>
      </c>
      <c r="C433" s="3" t="inlineStr">
        <is>
          <t>CCN(CC)CC.O</t>
        </is>
      </c>
      <c r="D433" s="2" t="inlineStr">
        <is>
          <t>Reductive N-methylation with formaldehyde and a hydride releases water; the triethylamine recorded as a starting material is recovered.</t>
        </is>
      </c>
      <c r="E433" s="2" t="n">
        <v>202</v>
      </c>
      <c r="F433" s="2" t="inlineStr">
        <is>
          <t>atom balance (starting materials + C=O.[H][H] = product + by-products) holds in 5 of 6 recorded examples; reagent supplies C=O.[H][H]</t>
        </is>
      </c>
    </row>
    <row r="434">
      <c r="A434" s="3" t="inlineStr">
        <is>
          <t>C.CCNCC</t>
        </is>
      </c>
      <c r="B434" s="3" t="inlineStr">
        <is>
          <t>COS(=O)(=O)OC</t>
        </is>
      </c>
      <c r="C434" s="3" t="inlineStr">
        <is>
          <t>CCN(CC)CC.COS(=O)(=O)O</t>
        </is>
      </c>
      <c r="D434" s="2" t="inlineStr">
        <is>
          <t>Methylation with dimethyl sulfate releases methyl hydrogen sulfate; the triethylamine recorded as a starting material is the base.</t>
        </is>
      </c>
      <c r="E434" s="2" t="n">
        <v>202</v>
      </c>
      <c r="F434" s="2" t="inlineStr">
        <is>
          <t>atom balance (starting materials + COS(=O)(=O)OC = product + by-products) holds in 5 of 6 recorded examples; reagent supplies COS(=O)(=O)OC</t>
        </is>
      </c>
    </row>
    <row r="435">
      <c r="A435" s="3" t="inlineStr">
        <is>
          <t>C.C.N</t>
        </is>
      </c>
      <c r="B435" s="3" t="inlineStr"/>
      <c r="C435" s="3" t="inlineStr">
        <is>
          <t>CNC</t>
        </is>
      </c>
      <c r="D435" s="2" t="inlineStr">
        <is>
          <t>An N,N-dimethylformamidine reacts with an aniline (Dimroth rearrangement/cyclisation to the 4-anilinoquinazoline), releasing dimethylamine.</t>
        </is>
      </c>
      <c r="E435" s="2" t="n">
        <v>200</v>
      </c>
      <c r="F435" s="2" t="inlineStr">
        <is>
          <t>atom balance (starting materials + nothing = product + by-products) holds in 5 of 6 recorded examples</t>
        </is>
      </c>
    </row>
    <row r="436">
      <c r="A436" s="3" t="inlineStr">
        <is>
          <t>[O-]P(O)O</t>
        </is>
      </c>
      <c r="B436" s="3" t="inlineStr"/>
      <c r="C436" s="3" t="inlineStr">
        <is>
          <t>[O-]Cl</t>
        </is>
      </c>
      <c r="D436" s="2" t="inlineStr">
        <is>
          <t>Pinnick oxidation: chlorite oxidises the aldehyde to the carboxylic acid and is reduced to hypochlorite.</t>
        </is>
      </c>
      <c r="E436" s="2" t="n">
        <v>199</v>
      </c>
      <c r="F436" s="2" t="inlineStr">
        <is>
          <t>atom balance (starting materials + [O-][Cl+][O-] = product + by-products) holds in 6 of 6 recorded examples; reagent supplies [O-][Cl+][O-]</t>
        </is>
      </c>
    </row>
    <row r="437">
      <c r="A437" s="3" t="inlineStr">
        <is>
          <t>[O-]P(O)O</t>
        </is>
      </c>
      <c r="B437" s="3" t="inlineStr">
        <is>
          <t>CC=C(C)C</t>
        </is>
      </c>
      <c r="C437" s="3" t="inlineStr">
        <is>
          <t>CC(Cl)C(C)(C)O.O=P([O-])([O-])O</t>
        </is>
      </c>
      <c r="D437" s="2" t="inlineStr">
        <is>
          <t>Pinnick oxidation (NaClO2, NaH2PO4 buffer): the HOCl formed is trapped by 2-methyl-2-butene as its chlorohydrin.</t>
        </is>
      </c>
      <c r="E437" s="2" t="n">
        <v>199</v>
      </c>
      <c r="F437" s="2" t="inlineStr">
        <is>
          <t>atom balance (starting materials + [O-][Cl+][O-].CC=C(C)C.O=P([O-])(O)O = product + by-products) holds in 6 of 6 recorded examples; reagent supplies [O-][Cl+][O-].CC=C(C)C.O=P([O-])(O)O</t>
        </is>
      </c>
    </row>
    <row r="438">
      <c r="A438" s="3" t="inlineStr">
        <is>
          <t>CCc1ccccc1</t>
        </is>
      </c>
      <c r="B438" s="3" t="inlineStr"/>
      <c r="C438" s="3" t="inlineStr">
        <is>
          <t>CCc1ccccc1</t>
        </is>
      </c>
      <c r="D438" s="2" t="inlineStr">
        <is>
          <t>Hydrogenolysis (Pd, H2 or ammonium formate) removes the N-(1-phenylethyl) auxiliary as ethylbenzene.</t>
        </is>
      </c>
      <c r="E438" s="2" t="n">
        <v>196</v>
      </c>
      <c r="F438" s="2" t="inlineStr">
        <is>
          <t>atom balance (starting materials + [H][H] = product + by-products) holds in 5 of 6 recorded examples; reagent supplies [H][H]</t>
        </is>
      </c>
    </row>
    <row r="439">
      <c r="A439" s="3" t="inlineStr">
        <is>
          <t>CCCCO</t>
        </is>
      </c>
      <c r="B439" s="3" t="inlineStr"/>
      <c r="C439" s="3" t="inlineStr">
        <is>
          <t>CCCCO</t>
        </is>
      </c>
      <c r="D439" s="2" t="inlineStr">
        <is>
          <t>A butyl ester, butyl ether, butyl acetal or butyl nitrite transfers its acyl/alkylidene/NO group, releasing 1-butanol.</t>
        </is>
      </c>
      <c r="E439" s="2" t="n">
        <v>193</v>
      </c>
      <c r="F439" s="2" t="inlineStr">
        <is>
          <t>atom balance (starting materials + nothing = product + by-products) holds in 5 of 6 recorded examples</t>
        </is>
      </c>
    </row>
    <row r="440">
      <c r="A440" s="3" t="inlineStr">
        <is>
          <t>Oc1c(F)c(F)c(F)c(F)c1F</t>
        </is>
      </c>
      <c r="B440" s="3" t="inlineStr"/>
      <c r="C440" s="3" t="inlineStr">
        <is>
          <t>Oc1c(F)c(F)c(F)c(F)c1F</t>
        </is>
      </c>
      <c r="D440" s="2" t="inlineStr">
        <is>
          <t>Aminolysis of a pentafluorophenyl ester or sulfonate releases pentafluorophenol.</t>
        </is>
      </c>
      <c r="E440" s="2" t="n">
        <v>192</v>
      </c>
      <c r="F440" s="2" t="inlineStr">
        <is>
          <t>atom balance (starting materials + nothing = product + by-products) holds in 6 of 6 recorded examples</t>
        </is>
      </c>
    </row>
    <row r="441">
      <c r="A441" s="3" t="inlineStr">
        <is>
          <t>CCC.O.[Li]</t>
        </is>
      </c>
      <c r="B441" s="3" t="inlineStr"/>
      <c r="C441" s="3" t="inlineStr">
        <is>
          <t>CCCC.O=P(c1ccccc1)(c1ccccc1)c1ccccc1.[Li+].[Br-]</t>
        </is>
      </c>
      <c r="D441" s="2" t="inlineStr">
        <is>
          <t>Wittig methylenation: n-BuLi deprotonates methyltriphenylphosphonium bromide (giving butane and LiBr), and the ylide converts C=O to C=CH2 with release of triphenylphosphine oxide.</t>
        </is>
      </c>
      <c r="E441" s="2" t="n">
        <v>191</v>
      </c>
      <c r="F441" s="2" t="inlineStr">
        <is>
          <t>atom balance (starting materials + C[P+](c1ccccc1)(c1ccccc1)c1ccccc1.[Br-] = product + by-products) holds in 6 of 6 recorded examples; reagent supplies C[P+](c1ccccc1)(c1ccccc1)c1ccccc1.[Br-]</t>
        </is>
      </c>
    </row>
    <row r="442">
      <c r="A442" s="3" t="inlineStr">
        <is>
          <t>CC.CCOC=O</t>
        </is>
      </c>
      <c r="B442" s="3" t="inlineStr"/>
      <c r="C442" s="3" t="inlineStr">
        <is>
          <t>2*CCO.O=C=O</t>
        </is>
      </c>
      <c r="D442" s="2" t="inlineStr">
        <is>
          <t>Hydrolysis and decarboxylation of a diethyl malonate releases two ethanols and CO2, leaving the acetic acid.</t>
        </is>
      </c>
      <c r="E442" s="2" t="n">
        <v>190</v>
      </c>
      <c r="F442" s="2" t="inlineStr">
        <is>
          <t>atom balance (starting materials + 2*O = product + by-products) holds in 6 of 6 recorded examples; reagent supplies 2*O</t>
        </is>
      </c>
    </row>
    <row r="443">
      <c r="A443" s="3" t="inlineStr">
        <is>
          <t>ClC(Cl)Cl.O</t>
        </is>
      </c>
      <c r="B443" s="3" t="inlineStr"/>
      <c r="C443" s="3" t="inlineStr">
        <is>
          <t>ClC(Cl)Cl.O=P(c1ccccc1)(c1ccccc1)c1ccccc1</t>
        </is>
      </c>
      <c r="D443" s="2" t="inlineStr">
        <is>
          <t>Appel chlorination with CCl4/PPh3 turns C-OH (or a lactam C=O) into C-Cl, releasing chloroform and triphenylphosphine oxide.</t>
        </is>
      </c>
      <c r="E443" s="2" t="n">
        <v>187</v>
      </c>
      <c r="F443" s="2" t="inlineStr">
        <is>
          <t>atom balance (starting materials + c1ccc(P(c2ccccc2)c2ccccc2)cc1 = product + by-products) holds in 5 of 6 recorded examples; reagent supplies c1ccc(P(c2ccccc2)c2ccccc2)cc1</t>
        </is>
      </c>
    </row>
    <row r="444">
      <c r="A444" s="3" t="inlineStr">
        <is>
          <t>CC(C)[O-].O</t>
        </is>
      </c>
      <c r="B444" s="3" t="inlineStr"/>
      <c r="C444" s="3" t="inlineStr">
        <is>
          <t>CC(C)(C)O.O=P(c1ccccc1)(c1ccccc1)c1ccccc1</t>
        </is>
      </c>
      <c r="D444" s="2" t="inlineStr">
        <is>
          <t>Wittig methylenation: KOtBu deprotonates methyltriphenylphosphonium (releasing tert-butanol) and the ylide converts C=O to C=CH2, releasing triphenylphosphine oxide.</t>
        </is>
      </c>
      <c r="E444" s="2" t="n">
        <v>184</v>
      </c>
      <c r="F444" s="2" t="inlineStr">
        <is>
          <t>atom balance (starting materials + C[P+](c1ccccc1)(c1ccccc1)c1ccccc1 = product + by-products) holds in 6 of 6 recorded examples; reagent supplies C[P+](c1ccccc1)(c1ccccc1)c1ccccc1</t>
        </is>
      </c>
    </row>
    <row r="445">
      <c r="A445" s="3" t="inlineStr">
        <is>
          <t>CC(C)(C)OC=O.CC(C)C</t>
        </is>
      </c>
      <c r="B445" s="3" t="inlineStr"/>
      <c r="C445" s="3" t="inlineStr">
        <is>
          <t>O=C=O.2*C=C(C)C</t>
        </is>
      </c>
      <c r="D445" s="2" t="inlineStr">
        <is>
          <t>Acid removes a Boc group and a tert-butyl ester, releasing CO2 and two isobutenes.</t>
        </is>
      </c>
      <c r="E445" s="2" t="n">
        <v>184</v>
      </c>
      <c r="F445" s="2" t="inlineStr">
        <is>
          <t>atom balance (starting materials + nothing = product + by-products) holds in 6 of 6 recorded examples</t>
        </is>
      </c>
    </row>
    <row r="446">
      <c r="A446" s="3" t="inlineStr">
        <is>
          <t>C.C.CC.O</t>
        </is>
      </c>
      <c r="B446" s="3" t="inlineStr"/>
      <c r="C446" s="3" t="inlineStr">
        <is>
          <t>CCN(CC)CC.O</t>
        </is>
      </c>
      <c r="D446" s="2" t="inlineStr">
        <is>
          <t>Amide coupling of the acid with dimethylamine releases water; the triethylamine recorded as a starting material is the base and is recovered.</t>
        </is>
      </c>
      <c r="E446" s="2" t="n">
        <v>184</v>
      </c>
      <c r="F446" s="2" t="inlineStr">
        <is>
          <t>atom balance (starting materials + CNC = product + by-products) holds in 5 of 6 recorded examples; reagent supplies CNC</t>
        </is>
      </c>
    </row>
    <row r="447">
      <c r="A447" s="3" t="inlineStr">
        <is>
          <t>C.C.CC.O</t>
        </is>
      </c>
      <c r="B447" s="3" t="inlineStr">
        <is>
          <t>CS(=O)(=O)Cl</t>
        </is>
      </c>
      <c r="C447" s="3" t="inlineStr">
        <is>
          <t>CCN(CC)CC.Cl.CS(=O)(=O)O</t>
        </is>
      </c>
      <c r="D447" s="2" t="inlineStr">
        <is>
          <t>Mesylation of the alcohol (MsCl/Et3N) and displacement by dimethylamine release HCl and methanesulfonic acid.</t>
        </is>
      </c>
      <c r="E447" s="2" t="n">
        <v>184</v>
      </c>
      <c r="F447" s="2" t="inlineStr">
        <is>
          <t>atom balance (starting materials + CNC.CS(=O)(=O)Cl = product + by-products) holds in 5 of 6 recorded examples; reagent supplies CNC.CS(=O)(=O)Cl</t>
        </is>
      </c>
    </row>
    <row r="448">
      <c r="A448" s="3" t="inlineStr">
        <is>
          <t>CCl</t>
        </is>
      </c>
      <c r="B448" s="3" t="inlineStr"/>
      <c r="C448" s="3" t="inlineStr">
        <is>
          <t>CCl</t>
        </is>
      </c>
      <c r="D448" s="2" t="inlineStr">
        <is>
          <t>A methyl group leaves as chloromethane (chloroformate N-demethylation, or O-demethylation and alkylation).</t>
        </is>
      </c>
      <c r="E448" s="2" t="n">
        <v>183</v>
      </c>
      <c r="F448" s="2" t="inlineStr">
        <is>
          <t>atom balance (starting materials + nothing = product + by-products) holds in 6 of 6 recorded examples</t>
        </is>
      </c>
    </row>
    <row r="449">
      <c r="A449" s="3" t="inlineStr">
        <is>
          <t>CCl</t>
        </is>
      </c>
      <c r="B449" s="3" t="inlineStr">
        <is>
          <t>ClCl</t>
        </is>
      </c>
      <c r="C449" s="3" t="inlineStr">
        <is>
          <t>ClCCl.Cl</t>
        </is>
      </c>
      <c r="D449" s="2" t="inlineStr">
        <is>
          <t>Chlorination with Cl2 releases HCl; the dichloromethane recorded as a starting material is the solvent and is recovered.</t>
        </is>
      </c>
      <c r="E449" s="2" t="n">
        <v>183</v>
      </c>
      <c r="F449" s="2" t="inlineStr">
        <is>
          <t>atom balance (starting materials + ClCl = product + by-products) holds in 4 of 4 recorded examples; reagent supplies ClCl</t>
        </is>
      </c>
    </row>
    <row r="450">
      <c r="A450" s="3" t="inlineStr">
        <is>
          <t>[N-]</t>
        </is>
      </c>
      <c r="B450" s="3" t="inlineStr"/>
      <c r="C450" s="3" t="inlineStr">
        <is>
          <t>N#N.2*O</t>
        </is>
      </c>
      <c r="D450" s="2" t="inlineStr">
        <is>
          <t>Diazotisation (NaNO2/acid) gives the diazonium, which azide converts into the aryl azide with loss of N2; overall two waters are released.</t>
        </is>
      </c>
      <c r="E450" s="2" t="n">
        <v>178</v>
      </c>
      <c r="F450" s="2" t="inlineStr">
        <is>
          <t>atom balance (starting materials + ON=O.N=[N+]=[N-] = product + by-products) holds in 5 of 6 recorded examples; reagent supplies ON=O.N=[N+]=[N-]</t>
        </is>
      </c>
    </row>
    <row r="451">
      <c r="A451" s="3" t="inlineStr">
        <is>
          <t>Cl.OC(Cl)(Cl)Cl</t>
        </is>
      </c>
      <c r="B451" s="3" t="inlineStr"/>
      <c r="C451" s="3" t="inlineStr">
        <is>
          <t>O=C=O.4*Cl</t>
        </is>
      </c>
      <c r="D451" s="2" t="inlineStr">
        <is>
          <t>Diphosgene delivers one carbonyl (isocyanate, cyclic carbamate or urea), releasing 2 HCl and a phosgene that the work-up water destroys as CO2 and 2 HCl.</t>
        </is>
      </c>
      <c r="E451" s="2" t="n">
        <v>178</v>
      </c>
      <c r="F451" s="2" t="inlineStr">
        <is>
          <t>atom balance (starting materials + O = product + by-products) holds in 6 of 6 recorded examples; reagent supplies O</t>
        </is>
      </c>
    </row>
    <row r="452">
      <c r="A452" s="3" t="inlineStr">
        <is>
          <t>CC(C)C.O.O=CO</t>
        </is>
      </c>
      <c r="B452" s="3" t="inlineStr"/>
      <c r="C452" s="3" t="inlineStr">
        <is>
          <t>O.O=C=O.C=C(C)C</t>
        </is>
      </c>
      <c r="D452" s="2" t="inlineStr">
        <is>
          <t>Amide coupling releases water, and acid removal of the Boc group releases CO2 and isobutene.</t>
        </is>
      </c>
      <c r="E452" s="2" t="n">
        <v>177</v>
      </c>
      <c r="F452" s="2" t="inlineStr">
        <is>
          <t>atom balance (starting materials + nothing = product + by-products) holds in 6 of 6 recorded examples</t>
        </is>
      </c>
    </row>
    <row r="453">
      <c r="A453" s="3" t="inlineStr">
        <is>
          <t>Br.[Mg][Br]</t>
        </is>
      </c>
      <c r="B453" s="3" t="inlineStr"/>
      <c r="C453" s="3" t="inlineStr">
        <is>
          <t>[Mg+2].2*[Br-]</t>
        </is>
      </c>
      <c r="D453" s="2" t="inlineStr">
        <is>
          <t>Kumada-type coupling of an aryl/alkyl Grignard with an organic bromide leaves magnesium bromide.</t>
        </is>
      </c>
      <c r="E453" s="2" t="n">
        <v>173</v>
      </c>
      <c r="F453" s="2" t="inlineStr">
        <is>
          <t>atom balance (starting materials + nothing = product + by-products) holds in 6 of 6 recorded examples</t>
        </is>
      </c>
    </row>
    <row r="454">
      <c r="A454" s="3" t="inlineStr">
        <is>
          <t>Br.C=[CH][Sn]([CH2]CCC)[CH2]CCC.CC</t>
        </is>
      </c>
      <c r="B454" s="3" t="inlineStr"/>
      <c r="C454" s="3" t="inlineStr">
        <is>
          <t>CCCC[Sn](Br)(CCCC)CCCC</t>
        </is>
      </c>
      <c r="D454" s="2" t="inlineStr">
        <is>
          <t>Stille vinylation of the aryl bromide with tributyl(vinyl)tin releases tributyltin bromide.</t>
        </is>
      </c>
      <c r="E454" s="2" t="n">
        <v>169</v>
      </c>
      <c r="F454" s="2" t="inlineStr">
        <is>
          <t>atom balance (starting materials + nothing = product + by-products) holds in 6 of 6 recorded examples</t>
        </is>
      </c>
    </row>
    <row r="455">
      <c r="A455" s="3" t="inlineStr">
        <is>
          <t>C=O.Cl</t>
        </is>
      </c>
      <c r="B455" s="3" t="inlineStr"/>
      <c r="C455" s="3" t="inlineStr">
        <is>
          <t>O=C=O.Cl</t>
        </is>
      </c>
      <c r="D455" s="2" t="inlineStr">
        <is>
          <t>Chlorosulfonyl isocyanate is hydrolysed to sulfamoyl chloride (releasing CO2), which sulfamoylates the alcohol/amine with loss of HCl.</t>
        </is>
      </c>
      <c r="E455" s="2" t="n">
        <v>168</v>
      </c>
      <c r="F455" s="2" t="inlineStr">
        <is>
          <t>atom balance (starting materials + O = product + by-products) holds in 5 of 6 recorded examples; reagent supplies O</t>
        </is>
      </c>
    </row>
    <row r="456">
      <c r="A456" s="3" t="inlineStr">
        <is>
          <t>C=O.Cl</t>
        </is>
      </c>
      <c r="B456" s="3" t="inlineStr">
        <is>
          <t>O=CO</t>
        </is>
      </c>
      <c r="C456" s="3" t="inlineStr">
        <is>
          <t>O=C=O.[C-]#[O+].Cl</t>
        </is>
      </c>
      <c r="D456" s="2" t="inlineStr">
        <is>
          <t>Formic acid converts chlorosulfonyl isocyanate to sulfamoyl chloride (releasing CO2 and CO), which sulfamoylates the alcohol/amine with loss of HCl.</t>
        </is>
      </c>
      <c r="E456" s="2" t="n">
        <v>168</v>
      </c>
      <c r="F456" s="2" t="inlineStr">
        <is>
          <t>atom balance (starting materials + O=CO = product + by-products) holds in 6 of 6 recorded examples; reagent supplies O=CO</t>
        </is>
      </c>
    </row>
    <row r="457">
      <c r="A457" s="3" t="inlineStr">
        <is>
          <t>C.C[CH2][Zn]</t>
        </is>
      </c>
      <c r="B457" s="3" t="inlineStr"/>
      <c r="C457" s="3" t="inlineStr">
        <is>
          <t>CCI.CC[Zn]I</t>
        </is>
      </c>
      <c r="D457" s="2" t="inlineStr">
        <is>
          <t>Furukawa Simmons-Smith cyclopropanation: Et2Zn and CH2I2 form EtZnCH2I (releasing ethyl iodide), which delivers CH2 and leaves EtZnI.</t>
        </is>
      </c>
      <c r="E457" s="2" t="n">
        <v>167</v>
      </c>
      <c r="F457" s="2" t="inlineStr">
        <is>
          <t>atom balance (starting materials + ICI = product + by-products) holds in 6 of 6 recorded examples; reagent supplies ICI</t>
        </is>
      </c>
    </row>
    <row r="458">
      <c r="A458" s="3" t="inlineStr">
        <is>
          <t>C.C[CH2][Zn]</t>
        </is>
      </c>
      <c r="B458" s="3" t="inlineStr">
        <is>
          <t>ClCI</t>
        </is>
      </c>
      <c r="C458" s="3" t="inlineStr">
        <is>
          <t>CCI.CC[Zn]Cl</t>
        </is>
      </c>
      <c r="D458" s="2" t="inlineStr">
        <is>
          <t>Simmons-Smith cyclopropanation with Et2Zn and ClCH2I forms EtZnCH2Cl (releasing ethyl iodide), which delivers CH2 and leaves EtZnCl.</t>
        </is>
      </c>
      <c r="E458" s="2" t="n">
        <v>167</v>
      </c>
      <c r="F458" s="2" t="inlineStr">
        <is>
          <t>atom balance (starting materials + ClCI = product + by-products) holds in 6 of 6 recorded examples; reagent supplies ClCI</t>
        </is>
      </c>
    </row>
    <row r="459">
      <c r="A459" s="3" t="inlineStr">
        <is>
          <t>C=C</t>
        </is>
      </c>
      <c r="B459" s="3" t="inlineStr"/>
      <c r="C459" s="3" t="inlineStr">
        <is>
          <t>C=C</t>
        </is>
      </c>
      <c r="D459" s="2" t="inlineStr">
        <is>
          <t>Ring-closing or cross olefin metathesis (Grubbs catalysts) of terminal alkenes releases ethylene.</t>
        </is>
      </c>
      <c r="E459" s="2" t="n">
        <v>166</v>
      </c>
      <c r="F459" s="2" t="inlineStr">
        <is>
          <t>atom balance (starting materials + nothing = product + by-products) holds in 5 of 6 recorded examples</t>
        </is>
      </c>
    </row>
    <row r="460">
      <c r="A460" s="3" t="inlineStr">
        <is>
          <t>C.C=O.I</t>
        </is>
      </c>
      <c r="B460" s="3" t="inlineStr"/>
      <c r="C460" s="3" t="inlineStr">
        <is>
          <t>CN(C)C=O.[I-]</t>
        </is>
      </c>
      <c r="D460" s="2" t="inlineStr">
        <is>
          <t>Pd-catalysed cyanation with Zn(CN)2 swaps iodide for cyanide; the DMF recorded as a starting material is the solvent and is recovered.</t>
        </is>
      </c>
      <c r="E460" s="2" t="n">
        <v>165</v>
      </c>
      <c r="F460" s="2" t="inlineStr">
        <is>
          <t>atom balance (starting materials + [C-]#N = product + by-products) holds in 6 of 6 recorded examples; reagent supplies [C-]#N</t>
        </is>
      </c>
    </row>
    <row r="461">
      <c r="A461" s="3" t="inlineStr">
        <is>
          <t>CNOC.I</t>
        </is>
      </c>
      <c r="B461" s="3" t="inlineStr"/>
      <c r="C461" s="3" t="inlineStr">
        <is>
          <t>CCCCI.CNOC.[Li+].[OH-]</t>
        </is>
      </c>
      <c r="D461" s="2" t="inlineStr">
        <is>
          <t>Iodine-lithium exchange with n-BuLi (giving butyl iodide) and addition of the aryllithium to the Weinreb amide give the ketone; work-up releases N,O-dimethylhydroxylamine.</t>
        </is>
      </c>
      <c r="E461" s="2" t="n">
        <v>165</v>
      </c>
      <c r="F461" s="2" t="inlineStr">
        <is>
          <t>atom balance (starting materials + [Li][CH2]CCC.O = product + by-products) holds in 6 of 6 recorded examples; reagent supplies [Li][CH2]CCC.O</t>
        </is>
      </c>
    </row>
    <row r="462">
      <c r="A462" s="3" t="inlineStr">
        <is>
          <t>CNOC.I</t>
        </is>
      </c>
      <c r="B462" s="3" t="inlineStr">
        <is>
          <t>C[CH](C)[Mg][Cl]</t>
        </is>
      </c>
      <c r="C462" s="3" t="inlineStr">
        <is>
          <t>CC(C)I.CNOC.[Mg+2].[Cl-].[OH-]</t>
        </is>
      </c>
      <c r="D462" s="2" t="inlineStr">
        <is>
          <t>Iodine-magnesium exchange with iPrMgCl (giving isopropyl iodide) and addition to the Weinreb amide give the ketone; work-up releases N,O-dimethylhydroxylamine.</t>
        </is>
      </c>
      <c r="E462" s="2" t="n">
        <v>165</v>
      </c>
      <c r="F462" s="2" t="inlineStr">
        <is>
          <t>atom balance (starting materials + C[CH](C)[Mg][Cl].O = product + by-products) holds in 6 of 6 recorded examples; reagent supplies C[CH](C)[Mg][Cl].O</t>
        </is>
      </c>
    </row>
    <row r="463">
      <c r="A463" s="3" t="inlineStr">
        <is>
          <t>CNOC.I</t>
        </is>
      </c>
      <c r="B463" s="3" t="inlineStr">
        <is>
          <t>[Li][CH3]</t>
        </is>
      </c>
      <c r="C463" s="3" t="inlineStr">
        <is>
          <t>CI.CNOC.[Li+].[OH-]</t>
        </is>
      </c>
      <c r="D463" s="2" t="inlineStr">
        <is>
          <t>Iodine-lithium exchange with MeLi (giving methyl iodide) and addition to the Weinreb amide give the ketone; work-up releases N,O-dimethylhydroxylamine.</t>
        </is>
      </c>
      <c r="E463" s="2" t="n">
        <v>165</v>
      </c>
      <c r="F463" s="2" t="inlineStr">
        <is>
          <t>atom balance (starting materials + [Li][CH3].O = product + by-products) holds in 6 of 6 recorded examples; reagent supplies [Li][CH3].O</t>
        </is>
      </c>
    </row>
    <row r="464">
      <c r="A464" s="3" t="inlineStr">
        <is>
          <t>Br.CC1(C)COBOC1</t>
        </is>
      </c>
      <c r="B464" s="3" t="inlineStr"/>
      <c r="C464" s="3" t="inlineStr">
        <is>
          <t>OB1OCC(C)(C)CO1.Br</t>
        </is>
      </c>
      <c r="D464" s="2" t="inlineStr">
        <is>
          <t>Suzuki coupling of a neopentyl glycol boronate with an aryl bromide releases HBr (taken up by the base) and the hydroxyboronate ester.</t>
        </is>
      </c>
      <c r="E464" s="2" t="n">
        <v>164</v>
      </c>
      <c r="F464" s="2" t="inlineStr">
        <is>
          <t>atom balance (starting materials + O = product + by-products) holds in 6 of 6 recorded examples; reagent supplies O</t>
        </is>
      </c>
    </row>
    <row r="465">
      <c r="A465" s="3" t="inlineStr">
        <is>
          <t>Cl.O=CO</t>
        </is>
      </c>
      <c r="B465" s="3" t="inlineStr"/>
      <c r="C465" s="3" t="inlineStr">
        <is>
          <t>O=C=O.Cl</t>
        </is>
      </c>
      <c r="D465" s="2" t="inlineStr">
        <is>
          <t>Chlorodifluoroacetic acid (or a carbonate) is decarboxylated in the substitution, releasing CO2 and HCl.</t>
        </is>
      </c>
      <c r="E465" s="2" t="n">
        <v>163</v>
      </c>
      <c r="F465" s="2" t="inlineStr">
        <is>
          <t>atom balance (starting materials + nothing = product + by-products) holds in 5 of 6 recorded examples</t>
        </is>
      </c>
    </row>
    <row r="466">
      <c r="A466" s="3" t="inlineStr">
        <is>
          <t>I.[Cu]</t>
        </is>
      </c>
      <c r="B466" s="3" t="inlineStr"/>
      <c r="C466" s="3" t="inlineStr">
        <is>
          <t>[Cu]I</t>
        </is>
      </c>
      <c r="D466" s="2" t="inlineStr">
        <is>
          <t>Rosenmund-von Braun cyanation with CuCN converts the aryl iodide to the nitrile, leaving copper(I) iodide.</t>
        </is>
      </c>
      <c r="E466" s="2" t="n">
        <v>162</v>
      </c>
      <c r="F466" s="2" t="inlineStr">
        <is>
          <t>atom balance (starting materials + nothing = product + by-products) holds in 6 of 6 recorded examples</t>
        </is>
      </c>
    </row>
    <row r="467">
      <c r="A467" s="3" t="inlineStr">
        <is>
          <t>Cl.O=CCl</t>
        </is>
      </c>
      <c r="B467" s="3" t="inlineStr"/>
      <c r="C467" s="3" t="inlineStr">
        <is>
          <t>2*Cl.[C-]#[O+]</t>
        </is>
      </c>
      <c r="D467" s="2" t="inlineStr">
        <is>
          <t>Oxalyl chloride converts the primary amide (or sulfonamide) into the acyl isocyanate, releasing two HCl and carbon monoxide.</t>
        </is>
      </c>
      <c r="E467" s="2" t="n">
        <v>162</v>
      </c>
      <c r="F467" s="2" t="inlineStr">
        <is>
          <t>atom balance (starting materials + nothing = product + by-products) holds in 6 of 6 recorded examples</t>
        </is>
      </c>
    </row>
    <row r="468">
      <c r="A468" s="3" t="inlineStr">
        <is>
          <t>O.OBO</t>
        </is>
      </c>
      <c r="B468" s="3" t="inlineStr"/>
      <c r="C468" s="3" t="inlineStr">
        <is>
          <t>OB(O)O</t>
        </is>
      </c>
      <c r="D468" s="2" t="inlineStr">
        <is>
          <t>Petasis borono-Mannich reaction of a boronic acid, amine and glyoxylic acid releases boric acid.</t>
        </is>
      </c>
      <c r="E468" s="2" t="n">
        <v>162</v>
      </c>
      <c r="F468" s="2" t="inlineStr">
        <is>
          <t>atom balance (starting materials + nothing = product + by-products) holds in 5 of 6 recorded examples</t>
        </is>
      </c>
    </row>
    <row r="469">
      <c r="A469" s="3" t="inlineStr">
        <is>
          <t>C.C.CC(C)N</t>
        </is>
      </c>
      <c r="B469" s="3" t="inlineStr"/>
      <c r="C469" s="3" t="inlineStr">
        <is>
          <t>CC(C)NC(C)C.CCCC.[Li+].[I-]</t>
        </is>
      </c>
      <c r="D469" s="2" t="inlineStr">
        <is>
          <t>LDA (n-BuLi + diisopropylamine) deprotonates alpha to the carbonyl (or ortho on the arene) and MeI methylates; butane and LiI are released and the diisopropylamine recorded as a starting material is recovered.</t>
        </is>
      </c>
      <c r="E469" s="2" t="n">
        <v>161</v>
      </c>
      <c r="F469" s="2" t="inlineStr">
        <is>
          <t>atom balance (starting materials + CI.[Li][CH2]CCC = product + by-products) holds in 6 of 6 recorded examples; reagent supplies CI.[Li][CH2]CCC</t>
        </is>
      </c>
    </row>
    <row r="470">
      <c r="A470" s="3" t="inlineStr">
        <is>
          <t>CC1(C)NC(=O)N(Br)C1=O</t>
        </is>
      </c>
      <c r="B470" s="3" t="inlineStr"/>
      <c r="C470" s="3" t="inlineStr">
        <is>
          <t>CC1(C)NC(=O)N(Br)C1=O</t>
        </is>
      </c>
      <c r="D470" s="2" t="inlineStr">
        <is>
          <t>Bromination with DBDMH transfers one Br+ and leaves the monobromo-5,5-dimethylhydantoin (which can deliver its second bromine).</t>
        </is>
      </c>
      <c r="E470" s="2" t="n">
        <v>159</v>
      </c>
      <c r="F470" s="2" t="inlineStr">
        <is>
          <t>atom balance (starting materials + nothing = product + by-products) holds in 6 of 6 recorded examples</t>
        </is>
      </c>
    </row>
    <row r="471">
      <c r="A471" s="3" t="inlineStr">
        <is>
          <t>CCC[CH2][Sn]([CH2]CCC)[CH2]CCC</t>
        </is>
      </c>
      <c r="B471" s="3" t="inlineStr">
        <is>
          <t>Cl</t>
        </is>
      </c>
      <c r="C471" s="3" t="inlineStr">
        <is>
          <t>CCCC[Sn](CCCC)(CCCC)Cl</t>
        </is>
      </c>
      <c r="D471" s="2" t="inlineStr">
        <is>
          <t>Tributyltin azide adds to the nitrile to give the N-stannyl tetrazole; HCl work-up frees the NH-tetrazole as tributyltin chloride.</t>
        </is>
      </c>
      <c r="E471" s="2" t="n">
        <v>158</v>
      </c>
      <c r="F471" s="2" t="inlineStr">
        <is>
          <t>atom balance (starting materials + Cl = product + by-products) holds in 5 of 6 recorded examples; reagent supplies Cl</t>
        </is>
      </c>
    </row>
    <row r="472">
      <c r="A472" s="3" t="inlineStr">
        <is>
          <t>CCC[CH2][Sn]([CH2]CCC)[CH2]CCC</t>
        </is>
      </c>
      <c r="B472" s="3" t="inlineStr"/>
      <c r="C472" s="3" t="inlineStr">
        <is>
          <t>CCCC[Sn](CCCC)(CCCC)O</t>
        </is>
      </c>
      <c r="D472" s="2" t="inlineStr">
        <is>
          <t>Tributyltin azide adds to the nitrile to give the N-stannyl tetrazole; aqueous work-up frees the NH-tetrazole and tributyltin hydroxide.</t>
        </is>
      </c>
      <c r="E472" s="2" t="n">
        <v>158</v>
      </c>
      <c r="F472" s="2" t="inlineStr">
        <is>
          <t>atom balance (starting materials + O = product + by-products) holds in 6 of 6 recorded examples; reagent supplies O</t>
        </is>
      </c>
    </row>
    <row r="473">
      <c r="A473" s="3" t="inlineStr">
        <is>
          <t>Cl.Oc1ccccc1</t>
        </is>
      </c>
      <c r="B473" s="3" t="inlineStr"/>
      <c r="C473" s="3" t="inlineStr">
        <is>
          <t>Cl.Oc1ccccc1</t>
        </is>
      </c>
      <c r="D473" s="2" t="inlineStr">
        <is>
          <t>Phenyl chloroformate activates the first amine (HCl) and the phenyl carbamate is displaced by the second amine to the urea/carbamate, releasing phenol.</t>
        </is>
      </c>
      <c r="E473" s="2" t="n">
        <v>155</v>
      </c>
      <c r="F473" s="2" t="inlineStr">
        <is>
          <t>atom balance (starting materials + nothing = product + by-products) holds in 6 of 6 recorded examples</t>
        </is>
      </c>
    </row>
    <row r="474">
      <c r="A474" s="3" t="inlineStr">
        <is>
          <t>CS(=O)(=O)[O-]</t>
        </is>
      </c>
      <c r="B474" s="3" t="inlineStr"/>
      <c r="C474" s="3" t="inlineStr">
        <is>
          <t>CS(=O)(=O)[O-]</t>
        </is>
      </c>
      <c r="D474" s="2" t="inlineStr">
        <is>
          <t>SN2 displacement of the mesylate by the N/O/S nucleophile releases methanesulfonic acid (as the mesylate salt of the base).</t>
        </is>
      </c>
      <c r="E474" s="2" t="n">
        <v>154</v>
      </c>
      <c r="F474" s="2" t="inlineStr">
        <is>
          <t>atom balance (starting materials + nothing = product + by-products) holds in 5 of 6 recorded examples</t>
        </is>
      </c>
    </row>
    <row r="475">
      <c r="A475" s="3" t="inlineStr">
        <is>
          <t>COc1ccc([PH](=S)S[PH](=S)c2ccc(OC)cc2)cc1.O</t>
        </is>
      </c>
      <c r="B475" s="3" t="inlineStr"/>
      <c r="C475" s="3" t="inlineStr">
        <is>
          <t>COc1ccc(P2(=S)SP(=O)(c3ccc(OC)cc3)S2)cc1</t>
        </is>
      </c>
      <c r="D475" s="2" t="inlineStr">
        <is>
          <t>Lawesson's reagent thionates one C=O: one ArPS2 half takes up the oxygen, leaving the mixed ArP(=S)S/ArP(=O)S dimer.</t>
        </is>
      </c>
      <c r="E475" s="2" t="n">
        <v>154</v>
      </c>
      <c r="F475" s="2" t="inlineStr">
        <is>
          <t>atom balance (starting materials + nothing = product + by-products) holds in 6 of 6 recorded examples</t>
        </is>
      </c>
    </row>
    <row r="476">
      <c r="A476" s="3" t="inlineStr">
        <is>
          <t>COc1ccc(C)cc1.COc1ccc(C)cc1</t>
        </is>
      </c>
      <c r="B476" s="3" t="inlineStr">
        <is>
          <t>CSc1ccccc1</t>
        </is>
      </c>
      <c r="C476" s="3" t="inlineStr">
        <is>
          <t>2*CSc1ccc(Cc2ccc(OC)cc2)cc1</t>
        </is>
      </c>
      <c r="D476" s="2" t="inlineStr">
        <is>
          <t>TFA/TfOH removes both PMB groups; the 4-methoxybenzyl cations are trapped by thioanisole (Friedel-Crafts) as 4-(4-methoxybenzyl)thioanisole.</t>
        </is>
      </c>
      <c r="E476" s="2" t="n">
        <v>153</v>
      </c>
      <c r="F476" s="2" t="inlineStr">
        <is>
          <t>atom balance (starting materials + 2*CSc1ccccc1 = product + by-products) holds in 1 of 1 recorded examples; reagent supplies 2*CSc1ccccc1</t>
        </is>
      </c>
    </row>
    <row r="477">
      <c r="A477" s="3" t="inlineStr">
        <is>
          <t>COc1ccc(C)cc1.COc1ccc(C)cc1</t>
        </is>
      </c>
      <c r="B477" s="3" t="inlineStr"/>
      <c r="C477" s="3" t="inlineStr">
        <is>
          <t>2*COc1ccc(COC(=O)C(F)(F)F)cc1</t>
        </is>
      </c>
      <c r="D477" s="2" t="inlineStr">
        <is>
          <t>Strong acid (TFA, TfOH) removes both N-PMB groups; the 4-methoxybenzyl cations are captured by TFA as 4-methoxybenzyl trifluoroacetate.</t>
        </is>
      </c>
      <c r="E477" s="2" t="n">
        <v>153</v>
      </c>
      <c r="F477" s="2" t="inlineStr">
        <is>
          <t>atom balance (starting materials + 2*O=C(O)C(F)(F)F = product + by-products) holds in 6 of 6 recorded examples; reagent supplies 2*O=C(O)C(F)(F)F</t>
        </is>
      </c>
    </row>
    <row r="478">
      <c r="A478" s="3" t="inlineStr">
        <is>
          <t>CC(C)O.CCC.CCC</t>
        </is>
      </c>
      <c r="B478" s="3" t="inlineStr">
        <is>
          <t>CC(C)[N-]C(C)C</t>
        </is>
      </c>
      <c r="C478" s="3" t="inlineStr">
        <is>
          <t>CC(C)NC(C)C.3*CC(C)O.[Li]O</t>
        </is>
      </c>
      <c r="D478" s="2" t="inlineStr">
        <is>
          <t>LDA deprotonates (diisopropylamine), borylation with B(OiPr)3 and aqueous work-up give the boronic acid, three isopropanol and LiOH.</t>
        </is>
      </c>
      <c r="E478" s="2" t="n">
        <v>153</v>
      </c>
      <c r="F478" s="2" t="inlineStr">
        <is>
          <t>atom balance (starting materials + CC(C)[N-]C(C)C.[Li+].3*O = product + by-products) holds in 6 of 6 recorded examples; reagent supplies CC(C)[N-]C(C)C.[Li+].3*O</t>
        </is>
      </c>
    </row>
    <row r="479">
      <c r="A479" s="3" t="inlineStr">
        <is>
          <t>CC(C)O.CCC.CCC</t>
        </is>
      </c>
      <c r="B479" s="3" t="inlineStr"/>
      <c r="C479" s="3" t="inlineStr">
        <is>
          <t>CCCC.3*CC(C)O.[Li]O</t>
        </is>
      </c>
      <c r="D479" s="2" t="inlineStr">
        <is>
          <t>Lithiation with n-BuLi (butane), borylation with B(OiPr)3 and aqueous work-up give the boronic acid, three isopropanol and LiOH.</t>
        </is>
      </c>
      <c r="E479" s="2" t="n">
        <v>153</v>
      </c>
      <c r="F479" s="2" t="inlineStr">
        <is>
          <t>atom balance (starting materials + CCCC[Li].3*O = product + by-products) holds in 6 of 6 recorded examples; reagent supplies CCCC[Li].3*O</t>
        </is>
      </c>
    </row>
    <row r="480">
      <c r="A480" s="3" t="inlineStr">
        <is>
          <t>COc1ccc(P2SP(=S)(c3ccc(OC)cc3)S2)cc1.O.O</t>
        </is>
      </c>
      <c r="B480" s="3" t="inlineStr"/>
      <c r="C480" s="3" t="inlineStr">
        <is>
          <t>COc1ccc(P2(=O)SP(=O)(c3ccc(OC)cc3)S2)cc1.S</t>
        </is>
      </c>
      <c r="D480" s="2" t="inlineStr">
        <is>
          <t>Lawesson's reagent thionates both carbonyls of the diacylhydrazine/ketoamide (2 ArP(=O)S units) and cyclisation to the thiadiazole/thiazole expels H2S.</t>
        </is>
      </c>
      <c r="E480" s="2" t="n">
        <v>153</v>
      </c>
      <c r="F480" s="2" t="inlineStr">
        <is>
          <t>atom balance (starting materials + nothing = product + by-products) holds in 6 of 6 recorded examples</t>
        </is>
      </c>
    </row>
    <row r="481">
      <c r="A481" s="3" t="inlineStr">
        <is>
          <t>N=C(O)C(Cl)(Cl)Cl</t>
        </is>
      </c>
      <c r="B481" s="3" t="inlineStr"/>
      <c r="C481" s="3" t="inlineStr">
        <is>
          <t>NC(=O)C(Cl)(Cl)Cl</t>
        </is>
      </c>
      <c r="D481" s="2" t="inlineStr">
        <is>
          <t>Acid-catalysed alkylation with a trichloroacetimidate transfers the alkyl group and releases trichloroacetamide.</t>
        </is>
      </c>
      <c r="E481" s="2" t="n">
        <v>152</v>
      </c>
      <c r="F481" s="2" t="inlineStr">
        <is>
          <t>atom balance (starting materials + nothing = product + by-products) holds in 6 of 6 recorded examples</t>
        </is>
      </c>
    </row>
    <row r="482">
      <c r="A482" s="3" t="inlineStr">
        <is>
          <t>NC(=O)CCC(N)=O</t>
        </is>
      </c>
      <c r="B482" s="3" t="inlineStr"/>
      <c r="C482" s="3" t="inlineStr">
        <is>
          <t>NC(=O)CCC(N)=O</t>
        </is>
      </c>
      <c r="D482" s="2" t="inlineStr">
        <is>
          <t>Halogenation with NBS/NCS/NIS (recorded in ring-opened form) transfers X+ and leaves succinamide (succinimide for the ring-closed reagent).</t>
        </is>
      </c>
      <c r="E482" s="2" t="n">
        <v>152</v>
      </c>
      <c r="F482" s="2" t="inlineStr">
        <is>
          <t>atom balance (starting materials + nothing = product + by-products) holds in 6 of 6 recorded examples</t>
        </is>
      </c>
    </row>
    <row r="483">
      <c r="A483" s="3" t="inlineStr">
        <is>
          <t>CNOC.[Mg][Cl]</t>
        </is>
      </c>
      <c r="B483" s="3" t="inlineStr">
        <is>
          <t>[NH4+]</t>
        </is>
      </c>
      <c r="C483" s="3" t="inlineStr">
        <is>
          <t>CNOC.Cl[Mg]Cl.N</t>
        </is>
      </c>
      <c r="D483" s="2" t="inlineStr">
        <is>
          <t>Grignard addition to the Weinreb amide and NH4Cl quench give the ketone, N,O-dimethylhydroxylamine, MgCl2 and ammonia.</t>
        </is>
      </c>
      <c r="E483" s="2" t="n">
        <v>152</v>
      </c>
      <c r="F483" s="2" t="inlineStr">
        <is>
          <t>atom balance (starting materials + [Cl-].[NH4+] = product + by-products) holds in 5 of 6 recorded examples; reagent supplies [Cl-].[NH4+]</t>
        </is>
      </c>
    </row>
    <row r="484">
      <c r="A484" s="3" t="inlineStr">
        <is>
          <t>CNOC.[Mg][Cl]</t>
        </is>
      </c>
      <c r="B484" s="3" t="inlineStr">
        <is>
          <t>Cl</t>
        </is>
      </c>
      <c r="C484" s="3" t="inlineStr">
        <is>
          <t>CNOC.Cl[Mg]Cl</t>
        </is>
      </c>
      <c r="D484" s="2" t="inlineStr">
        <is>
          <t>Grignard addition to the Weinreb amide and HCl work-up give the ketone, N,O-dimethylhydroxylamine (as its salt) and MgCl2.</t>
        </is>
      </c>
      <c r="E484" s="2" t="n">
        <v>152</v>
      </c>
      <c r="F484" s="2" t="inlineStr">
        <is>
          <t>atom balance (starting materials + Cl = product + by-products) holds in 6 of 6 recorded examples; reagent supplies Cl</t>
        </is>
      </c>
    </row>
    <row r="485">
      <c r="A485" s="3" t="inlineStr">
        <is>
          <t>CNOC.[Mg][Cl]</t>
        </is>
      </c>
      <c r="B485" s="3" t="inlineStr"/>
      <c r="C485" s="3" t="inlineStr">
        <is>
          <t>CNOC.O[Mg]Cl</t>
        </is>
      </c>
      <c r="D485" s="2" t="inlineStr">
        <is>
          <t>Grignard addition to the Weinreb amide and aqueous work-up give the ketone, N,O-dimethylhydroxylamine and Mg(OH)Cl.</t>
        </is>
      </c>
      <c r="E485" s="2" t="n">
        <v>152</v>
      </c>
      <c r="F485" s="2" t="inlineStr">
        <is>
          <t>atom balance (starting materials + O = product + by-products) holds in 6 of 6 recorded examples; reagent supplies O</t>
        </is>
      </c>
    </row>
    <row r="486">
      <c r="A486" s="3" t="inlineStr">
        <is>
          <t>Cl.Cl.O=COC(Cl)(Cl)Cl</t>
        </is>
      </c>
      <c r="B486" s="3" t="inlineStr"/>
      <c r="C486" s="3" t="inlineStr">
        <is>
          <t>5*Cl.2*O=C=O</t>
        </is>
      </c>
      <c r="D486" s="2" t="inlineStr">
        <is>
          <t>Triphosgene acylates the amine to the carbamoyl chloride (or an alcohol to the chloroformate) (HCl); its two remaining phosgene equivalents are hydrolysed on work-up to CO2 and HCl.</t>
        </is>
      </c>
      <c r="E486" s="2" t="n">
        <v>151</v>
      </c>
      <c r="F486" s="2" t="inlineStr">
        <is>
          <t>atom balance (starting materials + 2*O = product + by-products) holds in 6 of 6 recorded examples; reagent supplies 2*O</t>
        </is>
      </c>
    </row>
    <row r="487">
      <c r="A487" s="3" t="inlineStr">
        <is>
          <t>OCC(F)(F)F</t>
        </is>
      </c>
      <c r="B487" s="3" t="inlineStr">
        <is>
          <t>OO</t>
        </is>
      </c>
      <c r="C487" s="3" t="inlineStr">
        <is>
          <t>O=C(O)C(F)(F)F.O</t>
        </is>
      </c>
      <c r="D487" s="2" t="inlineStr">
        <is>
          <t>H2O2 oxidation (N-oxide/sulfoxide) adds one oxygen and releases water; the TFA salt counter-ion is returned.</t>
        </is>
      </c>
      <c r="E487" s="2" t="n">
        <v>151</v>
      </c>
      <c r="F487" s="2" t="inlineStr">
        <is>
          <t>atom balance (starting materials + OO = product + by-products) holds in 6 of 6 recorded examples; reagent supplies OO</t>
        </is>
      </c>
    </row>
    <row r="488">
      <c r="A488" s="3" t="inlineStr">
        <is>
          <t>OCC(F)(F)F</t>
        </is>
      </c>
      <c r="B488" s="3" t="inlineStr">
        <is>
          <t>O=C(OI(OC(=O)C(F)(F)F)c1ccccc1)C(F)(F)F</t>
        </is>
      </c>
      <c r="C488" s="3" t="inlineStr">
        <is>
          <t>Ic1ccccc1.3*O=C(O)C(F)(F)F</t>
        </is>
      </c>
      <c r="D488" s="2" t="inlineStr">
        <is>
          <t>PIFA alpha-hydroxylation of the ketone (water as O source) releases iodobenzene and trifluoroacetic acid.</t>
        </is>
      </c>
      <c r="E488" s="2" t="n">
        <v>151</v>
      </c>
      <c r="F488" s="2" t="inlineStr">
        <is>
          <t>atom balance (starting materials + O=C(OI(OC(=O)C(F)(F)F)c1ccccc1)C(F)(F)F.O = product + by-products) holds in 5 of 5 recorded examples; reagent supplies O=C(OI(OC(=O)C(F)(F)F)c1ccccc1)C(F)(F)F.O</t>
        </is>
      </c>
    </row>
    <row r="489">
      <c r="A489" s="3" t="inlineStr">
        <is>
          <t>OCC(F)(F)F</t>
        </is>
      </c>
      <c r="B489" s="3" t="inlineStr">
        <is>
          <t>O=C(OO)c1cccc(Cl)c1</t>
        </is>
      </c>
      <c r="C489" s="3" t="inlineStr">
        <is>
          <t>O=C(O)C(F)(F)F.O=C(O)c1cccc(Cl)c1</t>
        </is>
      </c>
      <c r="D489" s="2" t="inlineStr">
        <is>
          <t>mCPBA oxidation (sulfide to sulfoxide/sulfone, N-oxidation) releases 3-chlorobenzoic acid; the TFA salt counter-ion is returned.</t>
        </is>
      </c>
      <c r="E489" s="2" t="n">
        <v>151</v>
      </c>
      <c r="F489" s="2" t="inlineStr">
        <is>
          <t>atom balance (starting materials + O=C(OO)c1cccc(Cl)c1 = product + by-products) holds in 6 of 6 recorded examples; reagent supplies O=C(OO)c1cccc(Cl)c1</t>
        </is>
      </c>
    </row>
    <row r="490">
      <c r="A490" s="3" t="inlineStr">
        <is>
          <t>O.O=C[O-]</t>
        </is>
      </c>
      <c r="B490" s="3" t="inlineStr">
        <is>
          <t>O=C(n1ccnc1)n1ccnc1</t>
        </is>
      </c>
      <c r="C490" s="3" t="inlineStr">
        <is>
          <t>2*O=C=O.c1c[nH]cn1.[n-]1ccnc1</t>
        </is>
      </c>
      <c r="D490" s="2" t="inlineStr">
        <is>
          <t>Masamune-Claisen: CDI activates the acid (CO2 + imidazole) and the magnesium malonate half-ester acylates and decarboxylates (CO2), freeing imidazolide.</t>
        </is>
      </c>
      <c r="E490" s="2" t="n">
        <v>150</v>
      </c>
      <c r="F490" s="2" t="inlineStr">
        <is>
          <t>atom balance (starting materials + O=C(n1ccnc1)n1ccnc1 = product + by-products) holds in 6 of 6 recorded examples; reagent supplies O=C(n1ccnc1)n1ccnc1</t>
        </is>
      </c>
    </row>
    <row r="491">
      <c r="A491" s="3" t="inlineStr">
        <is>
          <t>O.O=C[O-]</t>
        </is>
      </c>
      <c r="B491" s="3" t="inlineStr"/>
      <c r="C491" s="3" t="inlineStr">
        <is>
          <t>O=C([O-])O</t>
        </is>
      </c>
      <c r="D491" s="2" t="inlineStr">
        <is>
          <t>Decarboxylative acylation/condensation with a malonate half-ester: the acid OH and the lost CO2 leave together as bicarbonate.</t>
        </is>
      </c>
      <c r="E491" s="2" t="n">
        <v>150</v>
      </c>
      <c r="F491" s="2" t="inlineStr">
        <is>
          <t>atom balance (starting materials + nothing = product + by-products) holds in 5 of 6 recorded examples</t>
        </is>
      </c>
    </row>
    <row r="492">
      <c r="A492" s="3" t="inlineStr">
        <is>
          <t>CC(C)(C)O.CNC</t>
        </is>
      </c>
      <c r="B492" s="3" t="inlineStr"/>
      <c r="C492" s="3" t="inlineStr">
        <is>
          <t>CC(C)(C)O.CNC</t>
        </is>
      </c>
      <c r="D492" s="2" t="inlineStr">
        <is>
          <t>Bredereck's reagent condenses with the activated CH2/CH3 to the enamine, releasing tert-butanol and dimethylamine.</t>
        </is>
      </c>
      <c r="E492" s="2" t="n">
        <v>150</v>
      </c>
      <c r="F492" s="2" t="inlineStr">
        <is>
          <t>atom balance (starting materials + nothing = product + by-products) holds in 6 of 6 recorded examples</t>
        </is>
      </c>
    </row>
    <row r="493">
      <c r="A493" s="3" t="inlineStr">
        <is>
          <t>CC[SiH](CC)CC</t>
        </is>
      </c>
      <c r="B493" s="3" t="inlineStr">
        <is>
          <t>[F-]</t>
        </is>
      </c>
      <c r="C493" s="3" t="inlineStr">
        <is>
          <t>CC[Si](F)(CC)CC</t>
        </is>
      </c>
      <c r="D493" s="2" t="inlineStr">
        <is>
          <t>Fluoride (TBAF, KF) removes the triethylsilyl group as triethylsilyl fluoride; the carbon/oxygen is protonated.</t>
        </is>
      </c>
      <c r="E493" s="2" t="n">
        <v>145</v>
      </c>
      <c r="F493" s="2" t="inlineStr">
        <is>
          <t>atom balance (starting materials + F = product + by-products) holds in 6 of 6 recorded examples; reagent supplies F</t>
        </is>
      </c>
    </row>
    <row r="494">
      <c r="A494" s="3" t="inlineStr">
        <is>
          <t>CC[SiH](CC)CC</t>
        </is>
      </c>
      <c r="B494" s="3" t="inlineStr">
        <is>
          <t>O=C([O-])[O-]</t>
        </is>
      </c>
      <c r="C494" s="3" t="inlineStr">
        <is>
          <t>CC[Si](CC)(CC)OC</t>
        </is>
      </c>
      <c r="D494" s="2" t="inlineStr">
        <is>
          <t>K2CO3/methanol desilylation of the TES-alkyne releases methoxytriethylsilane.</t>
        </is>
      </c>
      <c r="E494" s="2" t="n">
        <v>145</v>
      </c>
      <c r="F494" s="2" t="inlineStr">
        <is>
          <t>atom balance (starting materials + CO = product + by-products) holds in 5 of 5 recorded examples; reagent supplies CO</t>
        </is>
      </c>
    </row>
    <row r="495">
      <c r="A495" s="3" t="inlineStr">
        <is>
          <t>CC[SiH](CC)CC</t>
        </is>
      </c>
      <c r="B495" s="3" t="inlineStr"/>
      <c r="C495" s="3" t="inlineStr">
        <is>
          <t>CC[Si](O)(CC)CC</t>
        </is>
      </c>
      <c r="D495" s="2" t="inlineStr">
        <is>
          <t>Acidic removal of the TES group releases triethylsilanol after work-up.</t>
        </is>
      </c>
      <c r="E495" s="2" t="n">
        <v>145</v>
      </c>
      <c r="F495" s="2" t="inlineStr">
        <is>
          <t>atom balance (starting materials + O = product + by-products) holds in 6 of 6 recorded examples; reagent supplies O</t>
        </is>
      </c>
    </row>
    <row r="496">
      <c r="A496" s="3" t="inlineStr">
        <is>
          <t>O.[BH3-]</t>
        </is>
      </c>
      <c r="B496" s="3" t="inlineStr">
        <is>
          <t>C[NH3+]</t>
        </is>
      </c>
      <c r="C496" s="3" t="inlineStr">
        <is>
          <t>O.N#C[BH2]</t>
        </is>
      </c>
      <c r="D496" s="2" t="inlineStr">
        <is>
          <t>Reductive amination with methylammonium/NaBH3CN: imine formation releases water and hydride transfer leaves cyanoborane.</t>
        </is>
      </c>
      <c r="E496" s="2" t="n">
        <v>145</v>
      </c>
      <c r="F496" s="2" t="inlineStr">
        <is>
          <t>atom balance (starting materials + C[NH3+] = product + by-products) holds in 6 of 6 recorded examples; reagent supplies C[NH3+]</t>
        </is>
      </c>
    </row>
    <row r="497">
      <c r="A497" s="3" t="inlineStr">
        <is>
          <t>O.[BH3-]</t>
        </is>
      </c>
      <c r="B497" s="3" t="inlineStr"/>
      <c r="C497" s="3" t="inlineStr">
        <is>
          <t>N#C[BH2-]O</t>
        </is>
      </c>
      <c r="D497" s="2" t="inlineStr">
        <is>
          <t>Reductive amination with methylamine and NaBH3CN: iminium formation releases hydroxide, which ends on the spent cyanoborane (hydroxycyanoborohydride).</t>
        </is>
      </c>
      <c r="E497" s="2" t="n">
        <v>145</v>
      </c>
      <c r="F497" s="2" t="inlineStr">
        <is>
          <t>atom balance (starting materials + CN = product + by-products) holds in 5 of 6 recorded examples; reagent supplies CN</t>
        </is>
      </c>
    </row>
    <row r="498">
      <c r="A498" s="3" t="inlineStr">
        <is>
          <t>Br.CC(C)(C)OC=O.CC1(C)OBOC1(C)C</t>
        </is>
      </c>
      <c r="B498" s="3" t="inlineStr"/>
      <c r="C498" s="3" t="inlineStr">
        <is>
          <t>Br.OB(O)O.CC(C)(O)C(C)(C)O.O=C=O.CC(C)(C)O</t>
        </is>
      </c>
      <c r="D498" s="2" t="inlineStr">
        <is>
          <t>Suzuki coupling of the N-Boc pyrazole pinacol boronate releases HBr, boric acid and pinacol; the Boc group is hydrolysed under the basic aqueous conditions (CO2 + tert-butanol).</t>
        </is>
      </c>
      <c r="E498" s="2" t="n">
        <v>145</v>
      </c>
      <c r="F498" s="2" t="inlineStr">
        <is>
          <t>atom balance (starting materials + 4*O = product + by-products) holds in 6 of 6 recorded examples; reagent supplies 4*O</t>
        </is>
      </c>
    </row>
    <row r="499">
      <c r="A499" s="3" t="inlineStr">
        <is>
          <t>CS.O.O.O</t>
        </is>
      </c>
      <c r="B499" s="3" t="inlineStr">
        <is>
          <t>OO</t>
        </is>
      </c>
      <c r="C499" s="3" t="inlineStr">
        <is>
          <t>CO.2*O</t>
        </is>
      </c>
      <c r="D499" s="2" t="inlineStr">
        <is>
          <t>H2O2 (tungstate) oxidises the thioether to the sulfone, releasing two water; the methanol recorded as a reactant is returned.</t>
        </is>
      </c>
      <c r="E499" s="2" t="n">
        <v>144</v>
      </c>
      <c r="F499" s="2" t="inlineStr">
        <is>
          <t>atom balance (starting materials + 2*OO = product + by-products) holds in 5 of 6 recorded examples; reagent supplies 2*OO</t>
        </is>
      </c>
    </row>
    <row r="500">
      <c r="A500" s="3" t="inlineStr">
        <is>
          <t>CS.O.O.O</t>
        </is>
      </c>
      <c r="B500" s="3" t="inlineStr"/>
      <c r="C500" s="3" t="inlineStr">
        <is>
          <t>CO.2*OS(=O)(=O)[O-]</t>
        </is>
      </c>
      <c r="D500" s="2" t="inlineStr">
        <is>
          <t>Oxone (two KHSO5) oxidises the thioether to the sulfone, leaving two hydrogen sulfate; the methanol recorded as a reactant is returned.</t>
        </is>
      </c>
      <c r="E500" s="2" t="n">
        <v>144</v>
      </c>
      <c r="F500" s="2" t="inlineStr">
        <is>
          <t>atom balance (starting materials + 2*OOS(=O)(=O)[O-] = product + by-products) holds in 6 of 6 recorded examples; reagent supplies 2*OOS(=O)(=O)[O-]</t>
        </is>
      </c>
    </row>
    <row r="501">
      <c r="A501" s="3" t="inlineStr">
        <is>
          <t>CC[Si](C)(C)C</t>
        </is>
      </c>
      <c r="B501" s="3" t="inlineStr">
        <is>
          <t>[F-]</t>
        </is>
      </c>
      <c r="C501" s="3" t="inlineStr">
        <is>
          <t>C=C.C[Si](C)(C)F</t>
        </is>
      </c>
      <c r="D501" s="2" t="inlineStr">
        <is>
          <t>Fluoride cleaves the 2-(trimethylsilyl)ethyl ester/ether/amide by beta-elimination: ethylene and trimethylsilyl fluoride.</t>
        </is>
      </c>
      <c r="E501" s="2" t="n">
        <v>144</v>
      </c>
      <c r="F501" s="2" t="inlineStr">
        <is>
          <t>atom balance (starting materials + F = product + by-products) holds in 6 of 6 recorded examples; reagent supplies F</t>
        </is>
      </c>
    </row>
    <row r="502">
      <c r="A502" s="3" t="inlineStr">
        <is>
          <t>CC[Si](C)(C)C</t>
        </is>
      </c>
      <c r="B502" s="3" t="inlineStr">
        <is>
          <t>O=C(O)C(F)(F)F</t>
        </is>
      </c>
      <c r="C502" s="3" t="inlineStr">
        <is>
          <t>C=C.C[Si](C)(C)O</t>
        </is>
      </c>
      <c r="D502" s="2" t="inlineStr">
        <is>
          <t>Acid cleaves the 2-(trimethylsilyl)ethyl group: ethylene and trimethylsilanol after work-up.</t>
        </is>
      </c>
      <c r="E502" s="2" t="n">
        <v>144</v>
      </c>
      <c r="F502" s="2" t="inlineStr">
        <is>
          <t>atom balance (starting materials + O = product + by-products) holds in 5 of 6 recorded examples; reagent supplies O</t>
        </is>
      </c>
    </row>
    <row r="503">
      <c r="A503" s="3" t="inlineStr">
        <is>
          <t>CC[Si](C)(C)C</t>
        </is>
      </c>
      <c r="B503" s="3" t="inlineStr">
        <is>
          <t>Cl</t>
        </is>
      </c>
      <c r="C503" s="3" t="inlineStr">
        <is>
          <t>C=C.C[Si](C)(C)O</t>
        </is>
      </c>
      <c r="D503" s="2" t="inlineStr">
        <is>
          <t>Acid cleaves the 2-(trimethylsilyl)ethyl group: ethylene and trimethylsilanol after work-up.</t>
        </is>
      </c>
      <c r="E503" s="2" t="n">
        <v>144</v>
      </c>
      <c r="F503" s="2" t="inlineStr">
        <is>
          <t>atom balance (starting materials + O = product + by-products) holds in 6 of 6 recorded examples; reagent supplies O</t>
        </is>
      </c>
    </row>
    <row r="504">
      <c r="A504" s="3" t="inlineStr">
        <is>
          <t>CC[Si](C)(C)C</t>
        </is>
      </c>
      <c r="B504" s="3" t="inlineStr"/>
      <c r="C504" s="3" t="inlineStr">
        <is>
          <t>C=C.C[Si](C)(C)F</t>
        </is>
      </c>
      <c r="D504" s="2" t="inlineStr">
        <is>
          <t>Fluoride cleaves the 2-(trimethylsilyl)ethyl ester/ether/amide by beta-elimination: ethylene and trimethylsilyl fluoride.</t>
        </is>
      </c>
      <c r="E504" s="2" t="n">
        <v>144</v>
      </c>
      <c r="F504" s="2" t="inlineStr">
        <is>
          <t>atom balance (starting materials + F = product + by-products) holds in 6 of 6 recorded examples; reagent supplies F</t>
        </is>
      </c>
    </row>
    <row r="505">
      <c r="A505" s="3" t="inlineStr">
        <is>
          <t>O.O.O.[O-]</t>
        </is>
      </c>
      <c r="B505" s="3" t="inlineStr">
        <is>
          <t>[Fe]</t>
        </is>
      </c>
      <c r="C505" s="3" t="inlineStr">
        <is>
          <t>3*[Fe+2].4*O</t>
        </is>
      </c>
      <c r="D505" s="2" t="inlineStr">
        <is>
          <t>Fe/acid reduces the nitro group (two water) and the o-diamine condenses with the acid to the benzimidazole (two more water).</t>
        </is>
      </c>
      <c r="E505" s="2" t="n">
        <v>143</v>
      </c>
      <c r="F505" s="2" t="inlineStr">
        <is>
          <t>atom balance (starting materials + 3*[Fe].6*[H+] = product + by-products) holds in 6 of 6 recorded examples; reagent supplies 3*[Fe].6*[H+]</t>
        </is>
      </c>
    </row>
    <row r="506">
      <c r="A506" s="3" t="inlineStr">
        <is>
          <t>O.O.O.[O-]</t>
        </is>
      </c>
      <c r="B506" s="3" t="inlineStr">
        <is>
          <t>[Cl][Sn][Cl]</t>
        </is>
      </c>
      <c r="C506" s="3" t="inlineStr">
        <is>
          <t>3*Cl[Sn](Cl)(Cl)Cl.4*O</t>
        </is>
      </c>
      <c r="D506" s="2" t="inlineStr">
        <is>
          <t>SnCl2/HCl reduces the nitro group (two water) and the o-diamine condenses with the acid to the benzimidazole (two more water).</t>
        </is>
      </c>
      <c r="E506" s="2" t="n">
        <v>143</v>
      </c>
      <c r="F506" s="2" t="inlineStr">
        <is>
          <t>atom balance (starting materials + 3*Cl[Sn]Cl.6*Cl = product + by-products) holds in 5 of 6 recorded examples; reagent supplies 3*Cl[Sn]Cl.6*Cl</t>
        </is>
      </c>
    </row>
    <row r="507">
      <c r="A507" s="3" t="inlineStr">
        <is>
          <t>O.O.O.[O-]</t>
        </is>
      </c>
      <c r="B507" s="3" t="inlineStr"/>
      <c r="C507" s="3" t="inlineStr">
        <is>
          <t>4*O</t>
        </is>
      </c>
      <c r="D507" s="2" t="inlineStr">
        <is>
          <t>Reductive cyclisation: the nitro group is reduced to the amine (3 H2 -&gt; 2 H2O) and the o-diamine condenses with the acid to the benzimidazole (2 H2O).</t>
        </is>
      </c>
      <c r="E507" s="2" t="n">
        <v>143</v>
      </c>
      <c r="F507" s="2" t="inlineStr">
        <is>
          <t>atom balance (starting materials + 3*[H][H] = product + by-products) holds in 6 of 6 recorded examples; reagent supplies 3*[H][H]</t>
        </is>
      </c>
    </row>
    <row r="508">
      <c r="A508" s="3" t="inlineStr">
        <is>
          <t>CCC[CH2][Sn]([CH2]CCC)[CH2]CCC.O=S(=O)(O)C(F)(F)F</t>
        </is>
      </c>
      <c r="B508" s="3" t="inlineStr">
        <is>
          <t>[Li+]</t>
        </is>
      </c>
      <c r="C508" s="3" t="inlineStr">
        <is>
          <t>CCCC[Sn](CCCC)(CCCC)Cl.[Li+].O=S(=O)([O-])C(F)(F)F</t>
        </is>
      </c>
      <c r="D508" s="2" t="inlineStr">
        <is>
          <t>Stille coupling of the aryl triflate with LiCl: the tin ends as tributyltin chloride and the triflate as lithium triflate.</t>
        </is>
      </c>
      <c r="E508" s="2" t="n">
        <v>143</v>
      </c>
      <c r="F508" s="2" t="inlineStr">
        <is>
          <t>atom balance (starting materials + [Cl-].[Li+] = product + by-products) holds in 6 of 6 recorded examples; reagent supplies [Cl-].[Li+]</t>
        </is>
      </c>
    </row>
    <row r="509">
      <c r="A509" s="3" t="inlineStr">
        <is>
          <t>CCC[CH2][Sn]([CH2]CCC)[CH2]CCC.O=S(=O)(O)C(F)(F)F</t>
        </is>
      </c>
      <c r="B509" s="3" t="inlineStr"/>
      <c r="C509" s="3" t="inlineStr">
        <is>
          <t>CCCC[Sn](CCCC)(CCCC)OS(=O)(=O)C(F)(F)F</t>
        </is>
      </c>
      <c r="D509" s="2" t="inlineStr">
        <is>
          <t>Stille coupling of the aryl/vinyl triflate with the tributylstannane releases tributyltin triflate.</t>
        </is>
      </c>
      <c r="E509" s="2" t="n">
        <v>143</v>
      </c>
      <c r="F509" s="2" t="inlineStr">
        <is>
          <t>atom balance (starting materials + nothing = product + by-products) holds in 6 of 6 recorded examples</t>
        </is>
      </c>
    </row>
    <row r="510">
      <c r="A510" s="3" t="inlineStr">
        <is>
          <t>COCCN(CCOC)[SH](F)F.O</t>
        </is>
      </c>
      <c r="B510" s="3" t="inlineStr"/>
      <c r="C510" s="3" t="inlineStr">
        <is>
          <t>COCCN(CCOC)S(=O)F.F</t>
        </is>
      </c>
      <c r="D510" s="2" t="inlineStr">
        <is>
          <t>Deoxo-Fluor converts the alcohol (or C=O) to the fluoride, releasing HF and the bis(2-methoxyethyl)aminosulfinyl fluoride.</t>
        </is>
      </c>
      <c r="E510" s="2" t="n">
        <v>140</v>
      </c>
      <c r="F510" s="2" t="inlineStr">
        <is>
          <t>atom balance (starting materials + nothing = product + by-products) holds in 6 of 6 recorded examples</t>
        </is>
      </c>
    </row>
    <row r="511">
      <c r="A511" s="3" t="inlineStr">
        <is>
          <t>Br.N#[C][Cu]</t>
        </is>
      </c>
      <c r="B511" s="3" t="inlineStr"/>
      <c r="C511" s="3" t="inlineStr">
        <is>
          <t>N#C[Cu]Br</t>
        </is>
      </c>
      <c r="D511" s="2" t="inlineStr">
        <is>
          <t>Rosenmund-von Braun cyanation: the copper cyanide (recorded as Cu(CN)2) gives up one cyanide and takes up the bromide.</t>
        </is>
      </c>
      <c r="E511" s="2" t="n">
        <v>139</v>
      </c>
      <c r="F511" s="2" t="inlineStr">
        <is>
          <t>atom balance (starting materials + nothing = product + by-products) holds in 6 of 6 recorded examples</t>
        </is>
      </c>
    </row>
    <row r="512">
      <c r="A512" s="3" t="inlineStr">
        <is>
          <t>Br.C.OBO</t>
        </is>
      </c>
      <c r="B512" s="3" t="inlineStr"/>
      <c r="C512" s="3" t="inlineStr">
        <is>
          <t>Br.OB(O)O.CO</t>
        </is>
      </c>
      <c r="D512" s="2" t="inlineStr">
        <is>
          <t>Suzuki coupling releases HBr and boric acid, and the methyl ester (or methyl ether) is hydrolysed in the same pot, releasing methanol.</t>
        </is>
      </c>
      <c r="E512" s="2" t="n">
        <v>139</v>
      </c>
      <c r="F512" s="2" t="inlineStr">
        <is>
          <t>atom balance (starting materials + 2*O = product + by-products) holds in 6 of 6 recorded examples; reagent supplies 2*O</t>
        </is>
      </c>
    </row>
    <row r="513">
      <c r="A513" s="3" t="inlineStr">
        <is>
          <t>Br.CC(C)C</t>
        </is>
      </c>
      <c r="B513" s="3" t="inlineStr">
        <is>
          <t>[OH-]</t>
        </is>
      </c>
      <c r="C513" s="3" t="inlineStr">
        <is>
          <t>Br.CC(C)(C)O</t>
        </is>
      </c>
      <c r="D513" s="2" t="inlineStr">
        <is>
          <t>Alkylation with tert-butyl bromoacetate releases HBr and the tert-butyl ester is hydrolysed, releasing tert-butanol.</t>
        </is>
      </c>
      <c r="E513" s="2" t="n">
        <v>139</v>
      </c>
      <c r="F513" s="2" t="inlineStr">
        <is>
          <t>atom balance (starting materials + O = product + by-products) holds in 5 of 6 recorded examples; reagent supplies O</t>
        </is>
      </c>
    </row>
    <row r="514">
      <c r="A514" s="3" t="inlineStr">
        <is>
          <t>Br.CC(C)C</t>
        </is>
      </c>
      <c r="B514" s="3" t="inlineStr"/>
      <c r="C514" s="3" t="inlineStr">
        <is>
          <t>Br.C=C(C)C</t>
        </is>
      </c>
      <c r="D514" s="2" t="inlineStr">
        <is>
          <t>Alkylation with tert-butyl bromoacetate releases HBr and acidic cleavage of the tert-butyl ester releases isobutylene.</t>
        </is>
      </c>
      <c r="E514" s="2" t="n">
        <v>139</v>
      </c>
      <c r="F514" s="2" t="inlineStr">
        <is>
          <t>atom balance (starting materials + nothing = product + by-products) holds in 6 of 6 recorded examples</t>
        </is>
      </c>
    </row>
    <row r="515">
      <c r="A515" s="3" t="inlineStr">
        <is>
          <t>C=O.CO</t>
        </is>
      </c>
      <c r="B515" s="3" t="inlineStr"/>
      <c r="C515" s="3" t="inlineStr">
        <is>
          <t>COC=O</t>
        </is>
      </c>
      <c r="D515" s="2" t="inlineStr">
        <is>
          <t>Acetalisation with trimethyl orthoformate gives the dimethyl acetal and releases methyl formate.</t>
        </is>
      </c>
      <c r="E515" s="2" t="n">
        <v>138</v>
      </c>
      <c r="F515" s="2" t="inlineStr">
        <is>
          <t>atom balance (starting materials + nothing = product + by-products) holds in 6 of 6 recorded examples</t>
        </is>
      </c>
    </row>
    <row r="516">
      <c r="A516" s="3" t="inlineStr">
        <is>
          <t>O.O.O=[PH](Cl)Cl</t>
        </is>
      </c>
      <c r="B516" s="3" t="inlineStr"/>
      <c r="C516" s="3" t="inlineStr">
        <is>
          <t>O=P(O)(O)O.2*Cl</t>
        </is>
      </c>
      <c r="D516" s="2" t="inlineStr">
        <is>
          <t>POCl3 cyclodehydration with chlorination (e.g. to 9-chloroacridines or chloro-heteroarenes) removes two oxygens; after work-up phosphoric acid and HCl remain.</t>
        </is>
      </c>
      <c r="E516" s="2" t="n">
        <v>138</v>
      </c>
      <c r="F516" s="2" t="inlineStr">
        <is>
          <t>atom balance (starting materials + O=P(Cl)(Cl)Cl.O = product + by-products) holds in 5 of 6 recorded examples; reagent supplies O=P(Cl)(Cl)Cl.O</t>
        </is>
      </c>
    </row>
    <row r="517">
      <c r="A517" s="3" t="inlineStr">
        <is>
          <t>O=[N+]([O-])c1ccccc1[SH](=O)=O</t>
        </is>
      </c>
      <c r="B517" s="3" t="inlineStr">
        <is>
          <t>O=C(O)CS</t>
        </is>
      </c>
      <c r="C517" s="3" t="inlineStr">
        <is>
          <t>O=C(O)CSc1ccccc1[N+](=O)[O-].O=S=O</t>
        </is>
      </c>
      <c r="D517" s="2" t="inlineStr">
        <is>
          <t>Fukuyama deprotection: mercaptoacetic acid attacks the nosyl arene (SNAr), releasing SO2 and the free amine.</t>
        </is>
      </c>
      <c r="E517" s="2" t="n">
        <v>137</v>
      </c>
      <c r="F517" s="2" t="inlineStr">
        <is>
          <t>atom balance (starting materials + O=C(O)CS = product + by-products) holds in 6 of 6 recorded examples; reagent supplies O=C(O)CS</t>
        </is>
      </c>
    </row>
    <row r="518">
      <c r="A518" s="3" t="inlineStr">
        <is>
          <t>O=[N+]([O-])c1ccccc1[SH](=O)=O</t>
        </is>
      </c>
      <c r="B518" s="3" t="inlineStr">
        <is>
          <t>C[O-]</t>
        </is>
      </c>
      <c r="C518" s="3" t="inlineStr">
        <is>
          <t>COc1ccccc1[N+](=O)[O-].O=S=O</t>
        </is>
      </c>
      <c r="D518" s="2" t="inlineStr">
        <is>
          <t>Methoxide attacks the nosyl arene (SNAr), releasing SO2, 2-nitroanisole and the free amine.</t>
        </is>
      </c>
      <c r="E518" s="2" t="n">
        <v>137</v>
      </c>
      <c r="F518" s="2" t="inlineStr">
        <is>
          <t>atom balance (starting materials + CO = product + by-products) holds in 1 of 1 recorded examples; reagent supplies CO</t>
        </is>
      </c>
    </row>
    <row r="519">
      <c r="A519" s="3" t="inlineStr">
        <is>
          <t>O=[N+]([O-])c1ccccc1[SH](=O)=O</t>
        </is>
      </c>
      <c r="B519" s="3" t="inlineStr"/>
      <c r="C519" s="3" t="inlineStr">
        <is>
          <t>O=[N+]([O-])c1ccccc1Sc1ccccc1.O=S=O</t>
        </is>
      </c>
      <c r="D519" s="2" t="inlineStr">
        <is>
          <t>Fukuyama deprotection: thiophenolate attacks the nosyl arene (SNAr), releasing SO2, 2-nitrophenyl phenyl sulfide and the free amine.</t>
        </is>
      </c>
      <c r="E519" s="2" t="n">
        <v>137</v>
      </c>
      <c r="F519" s="2" t="inlineStr">
        <is>
          <t>atom balance (starting materials + Sc1ccccc1 = product + by-products) holds in 6 of 6 recorded examples; reagent supplies Sc1ccccc1</t>
        </is>
      </c>
    </row>
    <row r="520">
      <c r="A520" s="3" t="inlineStr">
        <is>
          <t>C1CCOCC1.Cl</t>
        </is>
      </c>
      <c r="B520" s="3" t="inlineStr"/>
      <c r="C520" s="3" t="inlineStr">
        <is>
          <t>Cl.OC1CCCCO1</t>
        </is>
      </c>
      <c r="D520" s="2" t="inlineStr">
        <is>
          <t>SNAr (or alkylation) releases HCl, which also removes the THP group; the oxocarbenium is trapped by water as 2-hydroxytetrahydropyran (5-hydroxypentanal).</t>
        </is>
      </c>
      <c r="E520" s="2" t="n">
        <v>137</v>
      </c>
      <c r="F520" s="2" t="inlineStr">
        <is>
          <t>atom balance (starting materials + O = product + by-products) holds in 6 of 6 recorded examples; reagent supplies O</t>
        </is>
      </c>
    </row>
    <row r="521">
      <c r="A521" s="3" t="inlineStr">
        <is>
          <t>N.O.[BH3-]</t>
        </is>
      </c>
      <c r="B521" s="3" t="inlineStr"/>
      <c r="C521" s="3" t="inlineStr">
        <is>
          <t>N#C[BH-](O)O</t>
        </is>
      </c>
      <c r="D521" s="2" t="inlineStr">
        <is>
          <t>Reductive N,N-dimethylation with formaldehyde and NaBH3CN: two iminium formations release hydroxide, which ends on the spent cyanoborane.</t>
        </is>
      </c>
      <c r="E521" s="2" t="n">
        <v>137</v>
      </c>
      <c r="F521" s="2" t="inlineStr">
        <is>
          <t>atom balance (starting materials + C=O = product + by-products) holds in 6 of 6 recorded examples; reagent supplies C=O</t>
        </is>
      </c>
    </row>
    <row r="522">
      <c r="A522" s="3" t="inlineStr">
        <is>
          <t>C=O.O.O</t>
        </is>
      </c>
      <c r="B522" s="3" t="inlineStr"/>
      <c r="C522" s="3" t="inlineStr">
        <is>
          <t>O=C=O.O</t>
        </is>
      </c>
      <c r="D522" s="2" t="inlineStr">
        <is>
          <t>Knoevenagel-Doebner condensation with malonic (or sulfonylacetic) acid releases CO2 and water.</t>
        </is>
      </c>
      <c r="E522" s="2" t="n">
        <v>137</v>
      </c>
      <c r="F522" s="2" t="inlineStr">
        <is>
          <t>atom balance (starting materials + nothing = product + by-products) holds in 6 of 6 recorded examples</t>
        </is>
      </c>
    </row>
    <row r="523">
      <c r="A523" s="3" t="inlineStr">
        <is>
          <t>Cl.O.O=CCl</t>
        </is>
      </c>
      <c r="B523" s="3" t="inlineStr"/>
      <c r="C523" s="3" t="inlineStr">
        <is>
          <t>[C-]#[O+].O=C=O.2*Cl</t>
        </is>
      </c>
      <c r="D523" s="2" t="inlineStr">
        <is>
          <t>Oxalyl chloride converts the acid to the acid chloride (CO, CO2, HCl) and methanol gives the methyl ester (HCl).</t>
        </is>
      </c>
      <c r="E523" s="2" t="n">
        <v>136</v>
      </c>
      <c r="F523" s="2" t="inlineStr">
        <is>
          <t>atom balance (starting materials + CO = product + by-products) holds in 5 of 6 recorded examples; reagent supplies CO</t>
        </is>
      </c>
    </row>
    <row r="524">
      <c r="A524" s="3" t="inlineStr">
        <is>
          <t>COCCOC</t>
        </is>
      </c>
      <c r="B524" s="3" t="inlineStr"/>
      <c r="C524" s="3" t="inlineStr">
        <is>
          <t>C=O.COCCO</t>
        </is>
      </c>
      <c r="D524" s="2" t="inlineStr">
        <is>
          <t>Acidic (or Lewis acid) removal of the MEM group releases formaldehyde and 2-methoxyethanol.</t>
        </is>
      </c>
      <c r="E524" s="2" t="n">
        <v>136</v>
      </c>
      <c r="F524" s="2" t="inlineStr">
        <is>
          <t>atom balance (starting materials + O = product + by-products) holds in 6 of 6 recorded examples; reagent supplies O</t>
        </is>
      </c>
    </row>
    <row r="525">
      <c r="A525" s="3" t="inlineStr">
        <is>
          <t>C.C.CO</t>
        </is>
      </c>
      <c r="B525" s="3" t="inlineStr">
        <is>
          <t>Cl</t>
        </is>
      </c>
      <c r="C525" s="3" t="inlineStr">
        <is>
          <t>CCCC.3*CO.[Li]Cl</t>
        </is>
      </c>
      <c r="D525" s="2" t="inlineStr">
        <is>
          <t>Lithiation with n-BuLi (butane), borylation with B(OMe)3 and HCl work-up give the boronic acid, three methanol and LiCl.</t>
        </is>
      </c>
      <c r="E525" s="2" t="n">
        <v>136</v>
      </c>
      <c r="F525" s="2" t="inlineStr">
        <is>
          <t>atom balance (starting materials + CCCC[Li].2*O.Cl = product + by-products) holds in 5 of 6 recorded examples; reagent supplies CCCC[Li].2*O.Cl</t>
        </is>
      </c>
    </row>
    <row r="526">
      <c r="A526" s="3" t="inlineStr">
        <is>
          <t>C.C.CO</t>
        </is>
      </c>
      <c r="B526" s="3" t="inlineStr">
        <is>
          <t>CC(C)[N-]C(C)C</t>
        </is>
      </c>
      <c r="C526" s="3" t="inlineStr">
        <is>
          <t>CC(C)NC(C)C.3*CO.[Li]O</t>
        </is>
      </c>
      <c r="D526" s="2" t="inlineStr">
        <is>
          <t>LDA deprotonates (diisopropylamine), borylation with B(OMe)3 and aqueous work-up give the boronic acid, three methanol and LiOH.</t>
        </is>
      </c>
      <c r="E526" s="2" t="n">
        <v>136</v>
      </c>
      <c r="F526" s="2" t="inlineStr">
        <is>
          <t>atom balance (starting materials + CC(C)[N-]C(C)C.[Li+].3*O = product + by-products) holds in 6 of 6 recorded examples; reagent supplies CC(C)[N-]C(C)C.[Li+].3*O</t>
        </is>
      </c>
    </row>
    <row r="527">
      <c r="A527" s="3" t="inlineStr">
        <is>
          <t>C.C.CO</t>
        </is>
      </c>
      <c r="B527" s="3" t="inlineStr">
        <is>
          <t>[Li][CH](C)CC</t>
        </is>
      </c>
      <c r="C527" s="3" t="inlineStr">
        <is>
          <t>CCCC.3*CO.[Li]O</t>
        </is>
      </c>
      <c r="D527" s="2" t="inlineStr">
        <is>
          <t>Lithiation with s-BuLi (butane), borylation with B(OMe)3 and aqueous work-up give the boronic acid, three methanol and LiOH.</t>
        </is>
      </c>
      <c r="E527" s="2" t="n">
        <v>136</v>
      </c>
      <c r="F527" s="2" t="inlineStr">
        <is>
          <t>atom balance (starting materials + CCC(C)[Li].3*O = product + by-products) holds in 6 of 6 recorded examples; reagent supplies CCC(C)[Li].3*O</t>
        </is>
      </c>
    </row>
    <row r="528">
      <c r="A528" s="3" t="inlineStr">
        <is>
          <t>C.C.CO</t>
        </is>
      </c>
      <c r="B528" s="3" t="inlineStr">
        <is>
          <t>[Li][CH2]CCC</t>
        </is>
      </c>
      <c r="C528" s="3" t="inlineStr">
        <is>
          <t>CCCC.3*CO.[Li]O</t>
        </is>
      </c>
      <c r="D528" s="2" t="inlineStr">
        <is>
          <t>Lithiation with n-BuLi (butane), borylation with B(OMe)3 and aqueous work-up give the boronic acid, three methanol and LiOH.</t>
        </is>
      </c>
      <c r="E528" s="2" t="n">
        <v>136</v>
      </c>
      <c r="F528" s="2" t="inlineStr">
        <is>
          <t>atom balance (starting materials + CCCC[Li].3*O = product + by-products) holds in 6 of 6 recorded examples; reagent supplies CCCC[Li].3*O</t>
        </is>
      </c>
    </row>
    <row r="529">
      <c r="A529" s="3" t="inlineStr">
        <is>
          <t>C.C.CO</t>
        </is>
      </c>
      <c r="B529" s="3" t="inlineStr"/>
      <c r="C529" s="3" t="inlineStr">
        <is>
          <t>CCCC.3*CO.[Li]O</t>
        </is>
      </c>
      <c r="D529" s="2" t="inlineStr">
        <is>
          <t>Lithiation (n-BuLi), borylation with B(OMe)3 and aqueous work-up give the boronic acid, three methanol and LiOH.</t>
        </is>
      </c>
      <c r="E529" s="2" t="n">
        <v>136</v>
      </c>
      <c r="F529" s="2" t="inlineStr">
        <is>
          <t>atom balance (starting materials + CCCC[Li].3*O = product + by-products) holds in 6 of 6 recorded examples; reagent supplies CCCC[Li].3*O</t>
        </is>
      </c>
    </row>
    <row r="530">
      <c r="A530" s="3" t="inlineStr">
        <is>
          <t>C.C.CC(C)[N-]</t>
        </is>
      </c>
      <c r="B530" s="3" t="inlineStr"/>
      <c r="C530" s="3" t="inlineStr">
        <is>
          <t>CC(C)NC(C)C.[I-]</t>
        </is>
      </c>
      <c r="D530" s="2" t="inlineStr">
        <is>
          <t>LDA deprotonates alpha to the carbonyl/nitrile/arene and the anion is methylated by MeI, releasing diisopropylamine and iodide.</t>
        </is>
      </c>
      <c r="E530" s="2" t="n">
        <v>136</v>
      </c>
      <c r="F530" s="2" t="inlineStr">
        <is>
          <t>atom balance (starting materials + CI = product + by-products) holds in 6 of 6 recorded examples; reagent supplies CI</t>
        </is>
      </c>
    </row>
    <row r="531">
      <c r="A531" s="3" t="inlineStr">
        <is>
          <t>CC[N+](C)([O-])CC</t>
        </is>
      </c>
      <c r="B531" s="3" t="inlineStr"/>
      <c r="C531" s="3" t="inlineStr">
        <is>
          <t>CN1CCOCC1</t>
        </is>
      </c>
      <c r="D531" s="2" t="inlineStr">
        <is>
          <t>Upjohn dihydroxylation: OsO4/NMO and water convert the alkene to the diol, releasing N-methylmorpholine.</t>
        </is>
      </c>
      <c r="E531" s="2" t="n">
        <v>135</v>
      </c>
      <c r="F531" s="2" t="inlineStr">
        <is>
          <t>atom balance (starting materials + O = product + by-products) holds in 5 of 6 recorded examples; reagent supplies O</t>
        </is>
      </c>
    </row>
    <row r="532">
      <c r="A532" s="3" t="inlineStr">
        <is>
          <t>O=S(=O)(NS(=O)(=O)c1ccccc1)c1ccccc1</t>
        </is>
      </c>
      <c r="B532" s="3" t="inlineStr"/>
      <c r="C532" s="3" t="inlineStr">
        <is>
          <t>O=S(=O)(NS(=O)(=O)c1ccccc1)c1ccccc1</t>
        </is>
      </c>
      <c r="D532" s="2" t="inlineStr">
        <is>
          <t>Electrophilic fluorination of the carbanion/enolate with NFSI releases dibenzenesulfonimide (after protonation).</t>
        </is>
      </c>
      <c r="E532" s="2" t="n">
        <v>135</v>
      </c>
      <c r="F532" s="2" t="inlineStr">
        <is>
          <t>atom balance (starting materials + nothing = product + by-products) holds in 6 of 6 recorded examples</t>
        </is>
      </c>
    </row>
    <row r="533">
      <c r="A533" s="3" t="inlineStr">
        <is>
          <t>C.C.CC(C)(C)[SiH3]</t>
        </is>
      </c>
      <c r="B533" s="3" t="inlineStr">
        <is>
          <t>[F-]</t>
        </is>
      </c>
      <c r="C533" s="3" t="inlineStr">
        <is>
          <t>CC(C)(C)[Si](C)(C)F</t>
        </is>
      </c>
      <c r="D533" s="2" t="inlineStr">
        <is>
          <t>Fluoride (TBAF) removes the TBS group as tert-butyldimethylsilyl fluoride.</t>
        </is>
      </c>
      <c r="E533" s="2" t="n">
        <v>132</v>
      </c>
      <c r="F533" s="2" t="inlineStr">
        <is>
          <t>atom balance (starting materials + F = product + by-products) holds in 6 of 6 recorded examples; reagent supplies F</t>
        </is>
      </c>
    </row>
    <row r="534">
      <c r="A534" s="3" t="inlineStr">
        <is>
          <t>C.C.CC(C)(C)[SiH3]</t>
        </is>
      </c>
      <c r="B534" s="3" t="inlineStr"/>
      <c r="C534" s="3" t="inlineStr">
        <is>
          <t>CC(C)(C)[Si](C)(C)O</t>
        </is>
      </c>
      <c r="D534" s="2" t="inlineStr">
        <is>
          <t>Acidic removal of the TBS group releases tert-butyldimethylsilanol after work-up.</t>
        </is>
      </c>
      <c r="E534" s="2" t="n">
        <v>132</v>
      </c>
      <c r="F534" s="2" t="inlineStr">
        <is>
          <t>atom balance (starting materials + O = product + by-products) holds in 6 of 6 recorded examples; reagent supplies O</t>
        </is>
      </c>
    </row>
    <row r="535">
      <c r="A535" s="3" t="inlineStr">
        <is>
          <t>CC(Cl)(Cl)Cl.O</t>
        </is>
      </c>
      <c r="B535" s="3" t="inlineStr"/>
      <c r="C535" s="3" t="inlineStr">
        <is>
          <t>OCC(Cl)(Cl)Cl</t>
        </is>
      </c>
      <c r="D535" s="2" t="inlineStr">
        <is>
          <t>Aminolysis of the 2,2,2-trichloroethyl (Troc) carbamate gives the urea and releases 2,2,2-trichloroethanol.</t>
        </is>
      </c>
      <c r="E535" s="2" t="n">
        <v>130</v>
      </c>
      <c r="F535" s="2" t="inlineStr">
        <is>
          <t>atom balance (starting materials + nothing = product + by-products) holds in 5 of 6 recorded examples</t>
        </is>
      </c>
    </row>
    <row r="536">
      <c r="A536" s="3" t="inlineStr">
        <is>
          <t>ClC(Cl)C(Cl)(Cl)Cl</t>
        </is>
      </c>
      <c r="B536" s="3" t="inlineStr">
        <is>
          <t>[Li][CH2]CCC</t>
        </is>
      </c>
      <c r="C536" s="3" t="inlineStr">
        <is>
          <t>ClC(Cl)=C(Cl)Cl.[Li]Cl.CCCC</t>
        </is>
      </c>
      <c r="D536" s="2" t="inlineStr">
        <is>
          <t>Lithiation (n-BuLi, butane) and chlorination with hexachloroethane: the pentachloroethyl anion eliminates chloride to tetrachloroethylene and LiCl.</t>
        </is>
      </c>
      <c r="E536" s="2" t="n">
        <v>128</v>
      </c>
      <c r="F536" s="2" t="inlineStr">
        <is>
          <t>atom balance (starting materials + CCCC[Li] = product + by-products) holds in 6 of 6 recorded examples; reagent supplies CCCC[Li]</t>
        </is>
      </c>
    </row>
    <row r="537">
      <c r="A537" s="3" t="inlineStr">
        <is>
          <t>ClC(Cl)C(Cl)(Cl)Cl</t>
        </is>
      </c>
      <c r="B537" s="3" t="inlineStr">
        <is>
          <t>C[Si](C)(C)[N-][Si](C)(C)C</t>
        </is>
      </c>
      <c r="C537" s="3" t="inlineStr">
        <is>
          <t>ClC(Cl)=C(Cl)Cl.[Li]Cl.C[Si](C)(C)N[Si](C)(C)C</t>
        </is>
      </c>
      <c r="D537" s="2" t="inlineStr">
        <is>
          <t>LiHMDS deprotonation and chlorination with hexachloroethane give tetrachloroethylene, LiCl and hexamethyldisilazane.</t>
        </is>
      </c>
      <c r="E537" s="2" t="n">
        <v>128</v>
      </c>
      <c r="F537" s="2" t="inlineStr">
        <is>
          <t>atom balance (starting materials + C[Si](C)(C)[N-][Si](C)(C)C.[Li+] = product + by-products) holds in 6 of 6 recorded examples; reagent supplies C[Si](C)(C)[N-][Si](C)(C)C.[Li+]</t>
        </is>
      </c>
    </row>
    <row r="538">
      <c r="A538" s="3" t="inlineStr">
        <is>
          <t>ClC(Cl)C(Cl)(Cl)Cl</t>
        </is>
      </c>
      <c r="B538" s="3" t="inlineStr">
        <is>
          <t>CC(C)[N-]C(C)C</t>
        </is>
      </c>
      <c r="C538" s="3" t="inlineStr">
        <is>
          <t>ClC(Cl)=C(Cl)Cl.[Li]Cl.CC(C)NC(C)C</t>
        </is>
      </c>
      <c r="D538" s="2" t="inlineStr">
        <is>
          <t>LDA deprotonation and chlorination with hexachloroethane give tetrachloroethylene, LiCl and diisopropylamine.</t>
        </is>
      </c>
      <c r="E538" s="2" t="n">
        <v>128</v>
      </c>
      <c r="F538" s="2" t="inlineStr">
        <is>
          <t>atom balance (starting materials + CC(C)[N-]C(C)C.[Li+] = product + by-products) holds in 6 of 6 recorded examples; reagent supplies CC(C)[N-]C(C)C.[Li+]</t>
        </is>
      </c>
    </row>
    <row r="539">
      <c r="A539" s="3" t="inlineStr">
        <is>
          <t>ClC(Cl)C(Cl)(Cl)Cl</t>
        </is>
      </c>
      <c r="B539" s="3" t="inlineStr">
        <is>
          <t>[Li][CH](C)CC</t>
        </is>
      </c>
      <c r="C539" s="3" t="inlineStr">
        <is>
          <t>ClC(Cl)=C(Cl)Cl.[Li]Cl.CCCC</t>
        </is>
      </c>
      <c r="D539" s="2" t="inlineStr">
        <is>
          <t>Lithiation (s-BuLi, butane) and chlorination with hexachloroethane give tetrachloroethylene and LiCl.</t>
        </is>
      </c>
      <c r="E539" s="2" t="n">
        <v>128</v>
      </c>
      <c r="F539" s="2" t="inlineStr">
        <is>
          <t>atom balance (starting materials + CCC(C)[Li] = product + by-products) holds in 6 of 6 recorded examples; reagent supplies CCC(C)[Li]</t>
        </is>
      </c>
    </row>
    <row r="540">
      <c r="A540" s="3" t="inlineStr">
        <is>
          <t>ClC(Cl)C(Cl)(Cl)Cl</t>
        </is>
      </c>
      <c r="B540" s="3" t="inlineStr"/>
      <c r="C540" s="3" t="inlineStr">
        <is>
          <t>ClC(Cl)=C(Cl)Cl.Cl</t>
        </is>
      </c>
      <c r="D540" s="2" t="inlineStr">
        <is>
          <t>Metalation then chlorination with hexachloroethane: the carbanion takes Cl+ and the C2Cl5 anion eliminates to tetrachloroethylene (HCl is taken by the base).</t>
        </is>
      </c>
      <c r="E540" s="2" t="n">
        <v>128</v>
      </c>
      <c r="F540" s="2" t="inlineStr">
        <is>
          <t>atom balance (starting materials + nothing = product + by-products) holds in 6 of 6 recorded examples</t>
        </is>
      </c>
    </row>
    <row r="541">
      <c r="A541" s="3" t="inlineStr">
        <is>
          <t>CCOO</t>
        </is>
      </c>
      <c r="B541" s="3" t="inlineStr"/>
      <c r="C541" s="3" t="inlineStr">
        <is>
          <t>CC(=O)O</t>
        </is>
      </c>
      <c r="D541" s="2" t="inlineStr">
        <is>
          <t>Oxidation with peracetic acid (N-oxidation, epoxidation, sulfoxide to sulfone, Dakin) releases acetic acid.</t>
        </is>
      </c>
      <c r="E541" s="2" t="n">
        <v>126</v>
      </c>
      <c r="F541" s="2" t="inlineStr">
        <is>
          <t>atom balance (starting materials + nothing = product + by-products) holds in 6 of 6 recorded examples</t>
        </is>
      </c>
    </row>
    <row r="542">
      <c r="A542" s="3" t="inlineStr">
        <is>
          <t>F.F.F.O</t>
        </is>
      </c>
      <c r="B542" s="3" t="inlineStr">
        <is>
          <t>CC(=O)OC(C)=O</t>
        </is>
      </c>
      <c r="C542" s="3" t="inlineStr">
        <is>
          <t>O=C(O)C(F)(F)F.CC(=O)O</t>
        </is>
      </c>
      <c r="D542" s="2" t="inlineStr">
        <is>
          <t>N-Acetylation of the amine TFA salt with acetic anhydride releases acetic acid; the trifluoroacetic acid is freed (taken by the base).</t>
        </is>
      </c>
      <c r="E542" s="2" t="n">
        <v>126</v>
      </c>
      <c r="F542" s="2" t="inlineStr">
        <is>
          <t>atom balance (starting materials + CC(=O)OC(C)=O = product + by-products) holds in 6 of 6 recorded examples; reagent supplies CC(=O)OC(C)=O</t>
        </is>
      </c>
    </row>
    <row r="543">
      <c r="A543" s="3" t="inlineStr">
        <is>
          <t>F.F.F.O</t>
        </is>
      </c>
      <c r="B543" s="3" t="inlineStr"/>
      <c r="C543" s="3" t="inlineStr">
        <is>
          <t>O=C(O)C(F)(F)F.CC(=O)O</t>
        </is>
      </c>
      <c r="D543" s="2" t="inlineStr">
        <is>
          <t>N-Acetylation of the amine TFA salt releases acetic acid; the trifluoroacetic acid is freed (taken by the base).</t>
        </is>
      </c>
      <c r="E543" s="2" t="n">
        <v>126</v>
      </c>
      <c r="F543" s="2" t="inlineStr">
        <is>
          <t>atom balance (starting materials + CC(=O)OC(C)=O = product + by-products) holds in 5 of 6 recorded examples; reagent supplies CC(=O)OC(C)=O</t>
        </is>
      </c>
    </row>
    <row r="544">
      <c r="A544" s="3" t="inlineStr">
        <is>
          <t>Cl.[Mg][Cl]</t>
        </is>
      </c>
      <c r="B544" s="3" t="inlineStr"/>
      <c r="C544" s="3" t="inlineStr">
        <is>
          <t>Cl[Mg]Cl</t>
        </is>
      </c>
      <c r="D544" s="2" t="inlineStr">
        <is>
          <t>Kumada (Ni/Fe/Cu-catalysed) coupling of the organic chloride with the Grignard reagent releases MgCl2.</t>
        </is>
      </c>
      <c r="E544" s="2" t="n">
        <v>126</v>
      </c>
      <c r="F544" s="2" t="inlineStr">
        <is>
          <t>atom balance (starting materials + nothing = product + by-products) holds in 6 of 6 recorded examples</t>
        </is>
      </c>
    </row>
    <row r="545">
      <c r="A545" s="3" t="inlineStr">
        <is>
          <t>CC.CC.O.O</t>
        </is>
      </c>
      <c r="B545" s="3" t="inlineStr"/>
      <c r="C545" s="3" t="inlineStr">
        <is>
          <t>2*CCO</t>
        </is>
      </c>
      <c r="D545" s="2" t="inlineStr">
        <is>
          <t>Double condensation of a diethyl ester (oxalate, malonate) with a dinucleophile (diamine, urea) releases two ethanol.</t>
        </is>
      </c>
      <c r="E545" s="2" t="n">
        <v>125</v>
      </c>
      <c r="F545" s="2" t="inlineStr">
        <is>
          <t>atom balance (starting materials + nothing = product + by-products) holds in 6 of 6 recorded examples</t>
        </is>
      </c>
    </row>
    <row r="546">
      <c r="A546" s="3" t="inlineStr">
        <is>
          <t>Br.CC(C)C(C)C.CC1(C)OBOC1(C)C</t>
        </is>
      </c>
      <c r="B546" s="3" t="inlineStr"/>
      <c r="C546" s="3" t="inlineStr">
        <is>
          <t>2*CC(C)(O)C(C)(C)O.OB(O)O.CC(=O)O.[Br-]</t>
        </is>
      </c>
      <c r="D546" s="2" t="inlineStr">
        <is>
          <t>Miyaura borylation (B2pin2, KOAc) gives ArBpin, AcOBpin and bromide; hydrolysis to the boronic acid releases two pinacol, boric acid and acetic acid.</t>
        </is>
      </c>
      <c r="E546" s="2" t="n">
        <v>124</v>
      </c>
      <c r="F546" s="2" t="inlineStr">
        <is>
          <t>atom balance (starting materials + CC(=O)[O-].5*O = product + by-products) holds in 6 of 6 recorded examples; reagent supplies CC(=O)[O-].5*O</t>
        </is>
      </c>
    </row>
    <row r="547">
      <c r="A547" s="3" t="inlineStr">
        <is>
          <t>C[O+]C</t>
        </is>
      </c>
      <c r="B547" s="3" t="inlineStr">
        <is>
          <t>O=C([O-])O</t>
        </is>
      </c>
      <c r="C547" s="3" t="inlineStr">
        <is>
          <t>COC.O=C=O.O</t>
        </is>
      </c>
      <c r="D547" s="2" t="inlineStr">
        <is>
          <t>Meerwein methylation with trimethyloxonium tetrafluoroborate releases dimethyl ether; the proton is neutralised by bicarbonate (CO2 + water).</t>
        </is>
      </c>
      <c r="E547" s="2" t="n">
        <v>124</v>
      </c>
      <c r="F547" s="2" t="inlineStr">
        <is>
          <t>atom balance (starting materials + O=C([O-])O = product + by-products) holds in 6 of 6 recorded examples; reagent supplies O=C([O-])O</t>
        </is>
      </c>
    </row>
    <row r="548">
      <c r="A548" s="3" t="inlineStr">
        <is>
          <t>C[O+]C</t>
        </is>
      </c>
      <c r="B548" s="3" t="inlineStr"/>
      <c r="C548" s="3" t="inlineStr">
        <is>
          <t>COC.[H+]</t>
        </is>
      </c>
      <c r="D548" s="2" t="inlineStr">
        <is>
          <t>O/N-Methylation with trimethyloxonium tetrafluoroborate releases dimethyl ether and a proton (HBF4, taken by the base).</t>
        </is>
      </c>
      <c r="E548" s="2" t="n">
        <v>124</v>
      </c>
      <c r="F548" s="2" t="inlineStr">
        <is>
          <t>atom balance (starting materials + nothing = product + by-products) holds in 6 of 6 recorded examples</t>
        </is>
      </c>
    </row>
    <row r="549">
      <c r="A549" s="3" t="inlineStr">
        <is>
          <t>CC[N-]C(C)C</t>
        </is>
      </c>
      <c r="B549" s="3" t="inlineStr"/>
      <c r="C549" s="3" t="inlineStr">
        <is>
          <t>CC(C)NC(C)C.[I-]</t>
        </is>
      </c>
      <c r="D549" s="2" t="inlineStr">
        <is>
          <t>LDA deprotonates alpha to the ester/ketone and the enolate is methylated by MeI, releasing diisopropylamine and iodide.</t>
        </is>
      </c>
      <c r="E549" s="2" t="n">
        <v>123</v>
      </c>
      <c r="F549" s="2" t="inlineStr">
        <is>
          <t>atom balance (starting materials + CI = product + by-products) holds in 6 of 6 recorded examples; reagent supplies CI</t>
        </is>
      </c>
    </row>
    <row r="550">
      <c r="A550" s="3" t="inlineStr">
        <is>
          <t>O.[Li]</t>
        </is>
      </c>
      <c r="B550" s="3" t="inlineStr">
        <is>
          <t>[NH4+]</t>
        </is>
      </c>
      <c r="C550" s="3" t="inlineStr">
        <is>
          <t>[Li]Cl.N.O</t>
        </is>
      </c>
      <c r="D550" s="2" t="inlineStr">
        <is>
          <t>Organolithium addition to the lithium carboxylate gives the ketone after quench; NH4Cl leaves LiCl, ammonia and water.</t>
        </is>
      </c>
      <c r="E550" s="2" t="n">
        <v>122</v>
      </c>
      <c r="F550" s="2" t="inlineStr">
        <is>
          <t>atom balance (starting materials + [Cl-].[NH4+] = product + by-products) holds in 5 of 6 recorded examples; reagent supplies [Cl-].[NH4+]</t>
        </is>
      </c>
    </row>
    <row r="551">
      <c r="A551" s="3" t="inlineStr">
        <is>
          <t>O.[Li]</t>
        </is>
      </c>
      <c r="B551" s="3" t="inlineStr">
        <is>
          <t>Cl</t>
        </is>
      </c>
      <c r="C551" s="3" t="inlineStr">
        <is>
          <t>[Li]Cl.O</t>
        </is>
      </c>
      <c r="D551" s="2" t="inlineStr">
        <is>
          <t>Organolithium addition to the lithium carboxylate gives the ketone; acid work-up collapses the gem-diolate, leaving LiCl and water.</t>
        </is>
      </c>
      <c r="E551" s="2" t="n">
        <v>122</v>
      </c>
      <c r="F551" s="2" t="inlineStr">
        <is>
          <t>atom balance (starting materials + Cl = product + by-products) holds in 5 of 6 recorded examples; reagent supplies Cl</t>
        </is>
      </c>
    </row>
    <row r="552">
      <c r="A552" s="3" t="inlineStr">
        <is>
          <t>O.[Li]</t>
        </is>
      </c>
      <c r="B552" s="3" t="inlineStr"/>
      <c r="C552" s="3" t="inlineStr">
        <is>
          <t>[Li]O</t>
        </is>
      </c>
      <c r="D552" s="2" t="inlineStr">
        <is>
          <t>Organolithium addition to the carboxylic acid (via the dilithium gem-diolate) gives the ketone, the oxygen leaving as LiOH on work-up.</t>
        </is>
      </c>
      <c r="E552" s="2" t="n">
        <v>122</v>
      </c>
      <c r="F552" s="2" t="inlineStr">
        <is>
          <t>atom balance (starting materials + nothing = product + by-products) holds in 6 of 6 recorded examples</t>
        </is>
      </c>
    </row>
    <row r="553">
      <c r="A553" s="3" t="inlineStr">
        <is>
          <t>O.O=COCc1ccccc1</t>
        </is>
      </c>
      <c r="B553" s="3" t="inlineStr">
        <is>
          <t>Br</t>
        </is>
      </c>
      <c r="C553" s="3" t="inlineStr">
        <is>
          <t>BrCc1ccccc1.O=C=O.O</t>
        </is>
      </c>
      <c r="D553" s="2" t="inlineStr">
        <is>
          <t>HBr cleaves the Cbz group (benzyl bromide + CO2) and the freed amine is then coupled, releasing water.</t>
        </is>
      </c>
      <c r="E553" s="2" t="n">
        <v>122</v>
      </c>
      <c r="F553" s="2" t="inlineStr">
        <is>
          <t>atom balance (starting materials + Br = product + by-products) holds in 6 of 6 recorded examples; reagent supplies Br</t>
        </is>
      </c>
    </row>
    <row r="554">
      <c r="A554" s="3" t="inlineStr">
        <is>
          <t>O.O=COCc1ccccc1</t>
        </is>
      </c>
      <c r="B554" s="3" t="inlineStr"/>
      <c r="C554" s="3" t="inlineStr">
        <is>
          <t>OCc1ccccc1.O=C=O</t>
        </is>
      </c>
      <c r="D554" s="2" t="inlineStr">
        <is>
          <t>Cleavage of the Cbz group (with condensation of the freed amine) releases benzyl alcohol and CO2 overall.</t>
        </is>
      </c>
      <c r="E554" s="2" t="n">
        <v>122</v>
      </c>
      <c r="F554" s="2" t="inlineStr">
        <is>
          <t>atom balance (starting materials + nothing = product + by-products) holds in 5 of 6 recorded examples</t>
        </is>
      </c>
    </row>
    <row r="555">
      <c r="A555" s="3" t="inlineStr">
        <is>
          <t>CC=O.[O-]</t>
        </is>
      </c>
      <c r="B555" s="3" t="inlineStr"/>
      <c r="C555" s="3" t="inlineStr">
        <is>
          <t>CC(=O)O</t>
        </is>
      </c>
      <c r="D555" s="2" t="inlineStr">
        <is>
          <t>Boekelheide rearrangement / acetoxylation of the N-oxide with acetic anhydride releases acetic acid.</t>
        </is>
      </c>
      <c r="E555" s="2" t="n">
        <v>121</v>
      </c>
      <c r="F555" s="2" t="inlineStr">
        <is>
          <t>atom balance (starting materials + nothing = product + by-products) holds in 5 of 6 recorded examples</t>
        </is>
      </c>
    </row>
    <row r="556">
      <c r="A556" s="3" t="inlineStr">
        <is>
          <t>?.CCNC</t>
        </is>
      </c>
      <c r="B556" s="3" t="inlineStr"/>
      <c r="C556" s="3" t="inlineStr">
        <is>
          <t>2*c1c[nH]cn1</t>
        </is>
      </c>
      <c r="D556" s="2" t="inlineStr">
        <is>
          <t>CDI joins the two amines (or amine and alcohol) into the urea/carbamate, releasing two imidazole.</t>
        </is>
      </c>
      <c r="E556" s="2" t="n">
        <v>120</v>
      </c>
      <c r="F556" s="2" t="inlineStr">
        <is>
          <t>atom balance (starting materials + nothing = product + by-products) holds in 6 of 6 recorded examples</t>
        </is>
      </c>
    </row>
    <row r="557">
      <c r="A557" s="3" t="inlineStr">
        <is>
          <t>CO.[Mg][Br]</t>
        </is>
      </c>
      <c r="B557" s="3" t="inlineStr">
        <is>
          <t>Cl</t>
        </is>
      </c>
      <c r="C557" s="3" t="inlineStr">
        <is>
          <t>CO.Cl[Mg]Br</t>
        </is>
      </c>
      <c r="D557" s="2" t="inlineStr">
        <is>
          <t>Meyers SNAr: the aryl Grignard displaces the ortho-methoxy group of the aryl oxazoline; HCl work-up leaves methanol and MgBrCl.</t>
        </is>
      </c>
      <c r="E557" s="2" t="n">
        <v>119</v>
      </c>
      <c r="F557" s="2" t="inlineStr">
        <is>
          <t>atom balance (starting materials + Cl = product + by-products) holds in 6 of 6 recorded examples; reagent supplies Cl</t>
        </is>
      </c>
    </row>
    <row r="558">
      <c r="A558" s="3" t="inlineStr">
        <is>
          <t>CO.[Mg][Br]</t>
        </is>
      </c>
      <c r="B558" s="3" t="inlineStr"/>
      <c r="C558" s="3" t="inlineStr">
        <is>
          <t>CO.O[Mg]Br</t>
        </is>
      </c>
      <c r="D558" s="2" t="inlineStr">
        <is>
          <t>Meyers SNAr: the Grignard displaces the ortho-methoxy group of the aryl oxazoline/ester; work-up leaves methanol and Mg(OH)Br.</t>
        </is>
      </c>
      <c r="E558" s="2" t="n">
        <v>119</v>
      </c>
      <c r="F558" s="2" t="inlineStr">
        <is>
          <t>atom balance (starting materials + O = product + by-products) holds in 6 of 6 recorded examples; reagent supplies O</t>
        </is>
      </c>
    </row>
    <row r="559">
      <c r="A559" s="3" t="inlineStr">
        <is>
          <t>I.[CH3][Sn]([CH3])[CH3]</t>
        </is>
      </c>
      <c r="B559" s="3" t="inlineStr"/>
      <c r="C559" s="3" t="inlineStr">
        <is>
          <t>C[Sn](C)(C)I</t>
        </is>
      </c>
      <c r="D559" s="2" t="inlineStr">
        <is>
          <t>Stille coupling of the trimethylstannane with the aryl iodide releases trimethyltin iodide.</t>
        </is>
      </c>
      <c r="E559" s="2" t="n">
        <v>119</v>
      </c>
      <c r="F559" s="2" t="inlineStr">
        <is>
          <t>atom balance (starting materials + nothing = product + by-products) holds in 6 of 6 recorded examples</t>
        </is>
      </c>
    </row>
    <row r="560">
      <c r="A560" s="3" t="inlineStr">
        <is>
          <t>c1c[nH]cn1.c1c[nH]cn1</t>
        </is>
      </c>
      <c r="B560" s="3" t="inlineStr"/>
      <c r="C560" s="3" t="inlineStr">
        <is>
          <t>2*c1c[nH]cn1</t>
        </is>
      </c>
      <c r="D560" s="2" t="inlineStr">
        <is>
          <t>CDI (or thiocarbonyldiimidazole) transfers its C=O/C=S to the dinucleophile (cyclic urea, carbamate, isothiocyanate), releasing two imidazole.</t>
        </is>
      </c>
      <c r="E560" s="2" t="n">
        <v>119</v>
      </c>
      <c r="F560" s="2" t="inlineStr">
        <is>
          <t>atom balance (starting materials + nothing = product + by-products) holds in 6 of 6 recorded examples</t>
        </is>
      </c>
    </row>
    <row r="561">
      <c r="A561" s="3" t="inlineStr">
        <is>
          <t>CC.CC.O</t>
        </is>
      </c>
      <c r="B561" s="3" t="inlineStr">
        <is>
          <t>CCCCOC(=O)Cl</t>
        </is>
      </c>
      <c r="C561" s="3" t="inlineStr">
        <is>
          <t>CCN(CC)CC.CCCCO.O=C=O.Cl</t>
        </is>
      </c>
      <c r="D561" s="2" t="inlineStr">
        <is>
          <t>Mixed-anhydride coupling (butyl chloroformate) with ethylamine releases butanol, CO2 and HCl; the triethylamine recorded as a reactant is returned.</t>
        </is>
      </c>
      <c r="E561" s="2" t="n">
        <v>119</v>
      </c>
      <c r="F561" s="2" t="inlineStr">
        <is>
          <t>atom balance (starting materials + CCN.CCCCOC(=O)Cl = product + by-products) holds in 1 of 1 recorded examples; reagent supplies CCN.CCCCOC(=O)Cl</t>
        </is>
      </c>
    </row>
    <row r="562">
      <c r="A562" s="3" t="inlineStr">
        <is>
          <t>CC.CC.O</t>
        </is>
      </c>
      <c r="B562" s="3" t="inlineStr">
        <is>
          <t>CC(C)COC(=O)Cl</t>
        </is>
      </c>
      <c r="C562" s="3" t="inlineStr">
        <is>
          <t>CCN(CC)CC.CC(C)CO.O=C=O.Cl</t>
        </is>
      </c>
      <c r="D562" s="2" t="inlineStr">
        <is>
          <t>Mixed-anhydride coupling (isobutyl chloroformate) with ethylamine releases isobutanol, CO2 and HCl; the triethylamine recorded as a reactant is returned.</t>
        </is>
      </c>
      <c r="E562" s="2" t="n">
        <v>119</v>
      </c>
      <c r="F562" s="2" t="inlineStr">
        <is>
          <t>atom balance (starting materials + CCN.CC(C)COC(=O)Cl = product + by-products) holds in 5 of 6 recorded examples; reagent supplies CCN.CC(C)COC(=O)Cl</t>
        </is>
      </c>
    </row>
    <row r="563">
      <c r="A563" s="3" t="inlineStr">
        <is>
          <t>CC.CC.O</t>
        </is>
      </c>
      <c r="B563" s="3" t="inlineStr">
        <is>
          <t>Cc1ccc(S(=O)(=O)Cl)cc1</t>
        </is>
      </c>
      <c r="C563" s="3" t="inlineStr">
        <is>
          <t>CCN(CC)CC.Cc1ccc(S(=O)(=O)O)cc1.Cl</t>
        </is>
      </c>
      <c r="D563" s="2" t="inlineStr">
        <is>
          <t>Tosylation of the alcohol and displacement by ethylamine release TsOH and HCl; the triethylamine recorded as a reactant is returned.</t>
        </is>
      </c>
      <c r="E563" s="2" t="n">
        <v>119</v>
      </c>
      <c r="F563" s="2" t="inlineStr">
        <is>
          <t>atom balance (starting materials + CCN.Cc1ccc(S(=O)(=O)Cl)cc1 = product + by-products) holds in 5 of 5 recorded examples; reagent supplies CCN.Cc1ccc(S(=O)(=O)Cl)cc1</t>
        </is>
      </c>
    </row>
    <row r="564">
      <c r="A564" s="3" t="inlineStr">
        <is>
          <t>CC.CC.O</t>
        </is>
      </c>
      <c r="B564" s="3" t="inlineStr"/>
      <c r="C564" s="3" t="inlineStr">
        <is>
          <t>CCN(CC)CC.CCO.O=C=O.Cl</t>
        </is>
      </c>
      <c r="D564" s="2" t="inlineStr">
        <is>
          <t>Mixed-anhydride coupling (ethyl chloroformate) with ethylamine releases ethanol, CO2 and HCl; the triethylamine recorded as a reactant is returned.</t>
        </is>
      </c>
      <c r="E564" s="2" t="n">
        <v>119</v>
      </c>
      <c r="F564" s="2" t="inlineStr">
        <is>
          <t>atom balance (starting materials + CCN.CCOC(=O)Cl = product + by-products) holds in 6 of 6 recorded examples; reagent supplies CCN.CCOC(=O)Cl</t>
        </is>
      </c>
    </row>
    <row r="565">
      <c r="A565" s="3" t="inlineStr">
        <is>
          <t>CC(C)(C)O.O.O=CO</t>
        </is>
      </c>
      <c r="B565" s="3" t="inlineStr"/>
      <c r="C565" s="3" t="inlineStr">
        <is>
          <t>O=C=O.C=C(C)C.2*O</t>
        </is>
      </c>
      <c r="D565" s="2" t="inlineStr">
        <is>
          <t>Boc removal (CO2 + isobutylene) and two amide couplings (two water) build the product.</t>
        </is>
      </c>
      <c r="E565" s="2" t="n">
        <v>118</v>
      </c>
      <c r="F565" s="2" t="inlineStr">
        <is>
          <t>atom balance (starting materials + nothing = product + by-products) holds in 6 of 6 recorded examples</t>
        </is>
      </c>
    </row>
    <row r="566">
      <c r="A566" s="3" t="inlineStr">
        <is>
          <t>CC(C)C.CC(C)C</t>
        </is>
      </c>
      <c r="B566" s="3" t="inlineStr"/>
      <c r="C566" s="3" t="inlineStr">
        <is>
          <t>2*C=C(C)C</t>
        </is>
      </c>
      <c r="D566" s="2" t="inlineStr">
        <is>
          <t>Acidic cleavage of two tert-butyl esters (di-tert-butyl phosphate or malonate) releases two isobutylene.</t>
        </is>
      </c>
      <c r="E566" s="2" t="n">
        <v>118</v>
      </c>
      <c r="F566" s="2" t="inlineStr">
        <is>
          <t>atom balance (starting materials + nothing = product + by-products) holds in 5 of 6 recorded examples</t>
        </is>
      </c>
    </row>
    <row r="567">
      <c r="A567" s="3" t="inlineStr">
        <is>
          <t>CC=O.CC=O</t>
        </is>
      </c>
      <c r="B567" s="3" t="inlineStr">
        <is>
          <t>C[O-]</t>
        </is>
      </c>
      <c r="C567" s="3" t="inlineStr">
        <is>
          <t>2*COC(C)=O</t>
        </is>
      </c>
      <c r="D567" s="2" t="inlineStr">
        <is>
          <t>Zemplen methanolysis (NaOMe/MeOH) removes two acetyl groups as methyl acetate.</t>
        </is>
      </c>
      <c r="E567" s="2" t="n">
        <v>118</v>
      </c>
      <c r="F567" s="2" t="inlineStr">
        <is>
          <t>atom balance (starting materials + 2*CO = product + by-products) holds in 6 of 6 recorded examples; reagent supplies 2*CO</t>
        </is>
      </c>
    </row>
    <row r="568">
      <c r="A568" s="3" t="inlineStr">
        <is>
          <t>CC=O.CC=O</t>
        </is>
      </c>
      <c r="B568" s="3" t="inlineStr"/>
      <c r="C568" s="3" t="inlineStr">
        <is>
          <t>2*CC(=O)O</t>
        </is>
      </c>
      <c r="D568" s="2" t="inlineStr">
        <is>
          <t>Hydrolysis of two acetate esters/acetamides releases two acetic acid.</t>
        </is>
      </c>
      <c r="E568" s="2" t="n">
        <v>118</v>
      </c>
      <c r="F568" s="2" t="inlineStr">
        <is>
          <t>atom balance (starting materials + 2*O = product + by-products) holds in 6 of 6 recorded examples; reagent supplies 2*O</t>
        </is>
      </c>
    </row>
    <row r="569">
      <c r="A569" s="3" t="inlineStr">
        <is>
          <t>C.C[N+](C)=COn1nnc2cccnc21.O</t>
        </is>
      </c>
      <c r="B569" s="3" t="inlineStr"/>
      <c r="C569" s="3" t="inlineStr">
        <is>
          <t>CN(C)C(=O)N(C)C.On1nnc2cccnc21.[H+]</t>
        </is>
      </c>
      <c r="D569" s="2" t="inlineStr">
        <is>
          <t>HATU coupling of the acid with methylamine releases tetramethylurea, HOAt and a proton (taken by DIPEA).</t>
        </is>
      </c>
      <c r="E569" s="2" t="n">
        <v>116</v>
      </c>
      <c r="F569" s="2" t="inlineStr">
        <is>
          <t>atom balance (starting materials + CN = product + by-products) holds in 6 of 6 recorded examples; reagent supplies CN</t>
        </is>
      </c>
    </row>
    <row r="570">
      <c r="A570" s="3" t="inlineStr">
        <is>
          <t>Br.CC=O</t>
        </is>
      </c>
      <c r="B570" s="3" t="inlineStr">
        <is>
          <t>CCC[CH2][Sn+]([CH2]CCC)[CH2]CCC</t>
        </is>
      </c>
      <c r="C570" s="3" t="inlineStr">
        <is>
          <t>CCCC[Sn](CCCC)(CCCC)Br.COC(C)=O</t>
        </is>
      </c>
      <c r="D570" s="2" t="inlineStr">
        <is>
          <t>Kosugi-Migita alpha-arylation with isopropenyl acetate/Bu3SnOMe gives the aryl acetone, tributyltin bromide and methyl acetate.</t>
        </is>
      </c>
      <c r="E570" s="2" t="n">
        <v>116</v>
      </c>
      <c r="F570" s="2" t="inlineStr">
        <is>
          <t>atom balance (starting materials + CCCC[Sn](CCCC)(CCCC)OC = product + by-products) holds in 6 of 6 recorded examples; reagent supplies CCCC[Sn](CCCC)(CCCC)OC</t>
        </is>
      </c>
    </row>
    <row r="571">
      <c r="A571" s="3" t="inlineStr">
        <is>
          <t>Br.CC=O</t>
        </is>
      </c>
      <c r="B571" s="3" t="inlineStr"/>
      <c r="C571" s="3" t="inlineStr">
        <is>
          <t>Br.CC(=O)O</t>
        </is>
      </c>
      <c r="D571" s="2" t="inlineStr">
        <is>
          <t>The bromide is displaced (HBr) and an acetyl group (phenol/thiol acetate, acetoacetate or N-acetyl) is cleaved, releasing acetic acid.</t>
        </is>
      </c>
      <c r="E571" s="2" t="n">
        <v>116</v>
      </c>
      <c r="F571" s="2" t="inlineStr">
        <is>
          <t>atom balance (starting materials + O = product + by-products) holds in 6 of 6 recorded examples; reagent supplies O</t>
        </is>
      </c>
    </row>
    <row r="572">
      <c r="A572" s="3" t="inlineStr">
        <is>
          <t>Br.O=S(=O)(O)C(F)(F)F</t>
        </is>
      </c>
      <c r="B572" s="3" t="inlineStr">
        <is>
          <t>[Li][C](C)(C)C</t>
        </is>
      </c>
      <c r="C572" s="3" t="inlineStr">
        <is>
          <t>[Li]Br.CC(C)C.C=C(C)C.[Li]Cl.O=S(=O)(O[Zn]Cl)C(F)(F)F</t>
        </is>
      </c>
      <c r="D572" s="2" t="inlineStr">
        <is>
          <t>Br/Li exchange with two t-BuLi, transmetalation to zinc and Negishi coupling with the triflate release LiBr, isobutane, isobutene, LiCl and ClZnOTf.</t>
        </is>
      </c>
      <c r="E572" s="2" t="n">
        <v>116</v>
      </c>
      <c r="F572" s="2" t="inlineStr">
        <is>
          <t>atom balance (starting materials + 2*[Li]C(C)(C)C.Cl[Zn]Cl = product + by-products) holds in 6 of 6 recorded examples; reagent supplies 2*[Li]C(C)(C)C.Cl[Zn]Cl</t>
        </is>
      </c>
    </row>
    <row r="573">
      <c r="A573" s="3" t="inlineStr">
        <is>
          <t>Br.O=S(=O)(O)C(F)(F)F</t>
        </is>
      </c>
      <c r="B573" s="3" t="inlineStr">
        <is>
          <t>[Li][CH2]CCC</t>
        </is>
      </c>
      <c r="C573" s="3" t="inlineStr">
        <is>
          <t>CCCCBr.[Li]Cl.O=S(=O)(O[Zn]Cl)C(F)(F)F</t>
        </is>
      </c>
      <c r="D573" s="2" t="inlineStr">
        <is>
          <t>Br/Li exchange with n-BuLi, transmetalation to zinc and Negishi coupling with the triflate release n-BuBr, LiCl and ClZnOTf.</t>
        </is>
      </c>
      <c r="E573" s="2" t="n">
        <v>116</v>
      </c>
      <c r="F573" s="2" t="inlineStr">
        <is>
          <t>atom balance (starting materials + CCCC[Li].Cl[Zn]Cl = product + by-products) holds in 6 of 6 recorded examples; reagent supplies CCCC[Li].Cl[Zn]Cl</t>
        </is>
      </c>
    </row>
    <row r="574">
      <c r="A574" s="3" t="inlineStr">
        <is>
          <t>Br.O=S(=O)(O)C(F)(F)F</t>
        </is>
      </c>
      <c r="B574" s="3" t="inlineStr">
        <is>
          <t>CC1(C)OB(B2OC(C)(C)C(C)(C)O2)OC1(C)C</t>
        </is>
      </c>
      <c r="C574" s="3" t="inlineStr">
        <is>
          <t>CC(=O)OB1OC(C)(C)C(C)(C)O1.OB1OC(C)(C)C(C)(C)O1.O=S(=O)([O-])C(F)(F)F.[Br-]</t>
        </is>
      </c>
      <c r="D574" s="2" t="inlineStr">
        <is>
          <t>One-pot Miyaura borylation of the triflate (AcOBpin, triflate) and Suzuki coupling with the aryl bromide (HOBpin, bromide).</t>
        </is>
      </c>
      <c r="E574" s="2" t="n">
        <v>116</v>
      </c>
      <c r="F574" s="2" t="inlineStr">
        <is>
          <t>atom balance (starting materials + CC1(C)OB(B2OC(C)(C)C(C)(C)O2)OC1(C)C.CC(=O)[O-].[OH-] = product + by-products) holds in 6 of 6 recorded examples; reagent supplies CC1(C)OB(B2OC(C)(C)C(C)(C)O2)OC1(C)C.CC(=O)[O-].[OH-]</t>
        </is>
      </c>
    </row>
    <row r="575">
      <c r="A575" s="3" t="inlineStr">
        <is>
          <t>Br.O=S(=O)(O)C(F)(F)F</t>
        </is>
      </c>
      <c r="B575" s="3" t="inlineStr"/>
      <c r="C575" s="3" t="inlineStr">
        <is>
          <t>O=S(=O)(O[Zn]Br)C(F)(F)F</t>
        </is>
      </c>
      <c r="D575" s="2" t="inlineStr">
        <is>
          <t>Negishi coupling: the bromide is converted to the organozinc and couples with the triflate, leaving BrZnOTf.</t>
        </is>
      </c>
      <c r="E575" s="2" t="n">
        <v>116</v>
      </c>
      <c r="F575" s="2" t="inlineStr">
        <is>
          <t>atom balance (starting materials + [Zn] = product + by-products) holds in 6 of 6 recorded examples; reagent supplies [Zn]</t>
        </is>
      </c>
    </row>
    <row r="576">
      <c r="A576" s="3" t="inlineStr">
        <is>
          <t>Br.CC.CCC[CH2][Sn]([CH2]CCC)[CH2]CCC</t>
        </is>
      </c>
      <c r="B576" s="3" t="inlineStr"/>
      <c r="C576" s="3" t="inlineStr">
        <is>
          <t>CCCC[Sn](CCCC)(CCCC)Br.CCO</t>
        </is>
      </c>
      <c r="D576" s="2" t="inlineStr">
        <is>
          <t>Stille coupling with tributyl(1-ethoxyvinyl)tin releases tributyltin bromide; acid hydrolysis of the enol ether to the methyl ketone releases ethanol.</t>
        </is>
      </c>
      <c r="E576" s="2" t="n">
        <v>115</v>
      </c>
      <c r="F576" s="2" t="inlineStr">
        <is>
          <t>atom balance (starting materials + O = product + by-products) holds in 6 of 6 recorded examples; reagent supplies O</t>
        </is>
      </c>
    </row>
    <row r="577">
      <c r="A577" s="3" t="inlineStr">
        <is>
          <t>CC(C)O.O</t>
        </is>
      </c>
      <c r="B577" s="3" t="inlineStr"/>
      <c r="C577" s="3" t="inlineStr">
        <is>
          <t>CC(C)=O.O</t>
        </is>
      </c>
      <c r="D577" s="2" t="inlineStr">
        <is>
          <t>Acetone is released from a Meldrum's acid, dioxinone or acetone cyanohydrin (HCN source) together with water from the condensation.</t>
        </is>
      </c>
      <c r="E577" s="2" t="n">
        <v>114</v>
      </c>
      <c r="F577" s="2" t="inlineStr">
        <is>
          <t>atom balance (starting materials + nothing = product + by-products) holds in 5 of 6 recorded examples</t>
        </is>
      </c>
    </row>
    <row r="578">
      <c r="A578" s="3" t="inlineStr">
        <is>
          <t>O.O=[SH](=O)O</t>
        </is>
      </c>
      <c r="B578" s="3" t="inlineStr"/>
      <c r="C578" s="3" t="inlineStr"/>
      <c r="D578" s="2" t="inlineStr">
        <is>
          <t>Ritter reaction: the carbocation from the alcohol is trapped by the nitrile and hydrated to the amide; overall no by-product (H2SO4 is only the acid catalyst).</t>
        </is>
      </c>
      <c r="E578" s="2" t="n">
        <v>114</v>
      </c>
      <c r="F578" s="2" t="inlineStr">
        <is>
          <t>atom balance (starting materials + nothing = product + by-products) holds in 6 of 6 recorded examples</t>
        </is>
      </c>
    </row>
  </sheetData>
  <autoFilter ref="A1:F5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2026-10-06T16:14:28Z</dcterms:created>
  <dcterms:modified xmlns:dcterms="http://purl.org/dc/terms/" xmlns:xsi="http://www.w3.org/2001/XMLSchema-instance" xsi:type="dcterms:W3CDTF">2026-10-13T20:19:40Z</dcterms:modified>
</cp:coreProperties>
</file>